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KULIAH\ADW 1\Grey Markov\"/>
    </mc:Choice>
  </mc:AlternateContent>
  <bookViews>
    <workbookView xWindow="0" yWindow="0" windowWidth="13460" windowHeight="4330"/>
  </bookViews>
  <sheets>
    <sheet name="HARGA KONSUMEN" sheetId="1" r:id="rId1"/>
    <sheet name="peluang transisi" sheetId="3" r:id="rId2"/>
    <sheet name="INFLASI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7" i="1" l="1"/>
  <c r="Z17" i="1"/>
  <c r="Y17" i="1"/>
  <c r="X17" i="1"/>
  <c r="W17" i="1"/>
  <c r="Z9" i="1"/>
  <c r="V9" i="1"/>
  <c r="V17" i="1" s="1"/>
  <c r="AE16" i="3"/>
  <c r="AF16" i="3"/>
  <c r="AG16" i="3"/>
  <c r="AH16" i="3"/>
  <c r="AD16" i="3"/>
  <c r="AH8" i="3"/>
  <c r="AD8" i="3"/>
  <c r="Q28" i="3" l="1"/>
  <c r="N28" i="3"/>
  <c r="M28" i="3"/>
  <c r="Q20" i="3"/>
  <c r="M20" i="3"/>
  <c r="V34" i="1" l="1"/>
  <c r="O20" i="1"/>
  <c r="O19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3" i="1"/>
  <c r="L18" i="1"/>
  <c r="E18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3" i="1"/>
  <c r="V33" i="1" l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N26" i="1"/>
  <c r="N27" i="1"/>
  <c r="N28" i="1"/>
  <c r="N29" i="1"/>
  <c r="N25" i="1"/>
  <c r="M26" i="1"/>
  <c r="M27" i="1"/>
  <c r="M28" i="1"/>
  <c r="M29" i="1"/>
  <c r="M25" i="1"/>
  <c r="L29" i="1"/>
  <c r="L26" i="1"/>
  <c r="L27" i="1"/>
  <c r="L28" i="1"/>
  <c r="L25" i="1"/>
  <c r="L22" i="1"/>
  <c r="L20" i="1"/>
  <c r="L19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3" i="1"/>
  <c r="H16" i="1"/>
  <c r="H4" i="1"/>
  <c r="H5" i="1"/>
  <c r="H6" i="1"/>
  <c r="H7" i="1"/>
  <c r="H8" i="1"/>
  <c r="H9" i="1"/>
  <c r="H10" i="1"/>
  <c r="H11" i="1"/>
  <c r="H12" i="1"/>
  <c r="H13" i="1"/>
  <c r="H14" i="1"/>
  <c r="H15" i="1"/>
  <c r="H17" i="1"/>
  <c r="H3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4" i="1"/>
  <c r="B53" i="1" a="1"/>
  <c r="B53" i="1" s="1"/>
  <c r="A49" i="1" a="1"/>
  <c r="D49" i="1" s="1"/>
  <c r="D44" i="1" a="1"/>
  <c r="E44" i="1" s="1"/>
  <c r="A44" i="1" a="1"/>
  <c r="A45" i="1" s="1"/>
  <c r="D23" i="1"/>
  <c r="D24" i="1"/>
  <c r="D25" i="1"/>
  <c r="D26" i="1"/>
  <c r="D27" i="1"/>
  <c r="D28" i="1"/>
  <c r="D29" i="1"/>
  <c r="D30" i="1"/>
  <c r="D31" i="1"/>
  <c r="D32" i="1"/>
  <c r="D33" i="1"/>
  <c r="D34" i="1"/>
  <c r="D22" i="1"/>
  <c r="A23" i="1"/>
  <c r="A24" i="1"/>
  <c r="A25" i="1"/>
  <c r="A26" i="1"/>
  <c r="A27" i="1"/>
  <c r="A28" i="1"/>
  <c r="A29" i="1"/>
  <c r="A30" i="1"/>
  <c r="A31" i="1"/>
  <c r="A32" i="1"/>
  <c r="A33" i="1"/>
  <c r="A34" i="1"/>
  <c r="A22" i="1"/>
  <c r="G3" i="1"/>
  <c r="F16" i="1"/>
  <c r="F5" i="1"/>
  <c r="F6" i="1"/>
  <c r="F7" i="1"/>
  <c r="F8" i="1"/>
  <c r="F9" i="1"/>
  <c r="F10" i="1"/>
  <c r="F11" i="1"/>
  <c r="F12" i="1"/>
  <c r="F13" i="1"/>
  <c r="F14" i="1"/>
  <c r="F15" i="1"/>
  <c r="F4" i="1"/>
  <c r="E16" i="1"/>
  <c r="E4" i="1"/>
  <c r="E5" i="1"/>
  <c r="E6" i="1"/>
  <c r="E7" i="1"/>
  <c r="E8" i="1"/>
  <c r="E9" i="1"/>
  <c r="E10" i="1"/>
  <c r="E11" i="1"/>
  <c r="E12" i="1"/>
  <c r="E13" i="1"/>
  <c r="E14" i="1"/>
  <c r="E15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3" i="1"/>
  <c r="B19" i="1"/>
  <c r="B18" i="1"/>
  <c r="B54" i="1" l="1"/>
  <c r="F50" i="1"/>
  <c r="K49" i="1"/>
  <c r="C49" i="1"/>
  <c r="M50" i="1"/>
  <c r="E50" i="1"/>
  <c r="J49" i="1"/>
  <c r="B49" i="1"/>
  <c r="L50" i="1"/>
  <c r="D50" i="1"/>
  <c r="I49" i="1"/>
  <c r="A49" i="1"/>
  <c r="K50" i="1"/>
  <c r="C50" i="1"/>
  <c r="H49" i="1"/>
  <c r="G49" i="1"/>
  <c r="I50" i="1"/>
  <c r="F49" i="1"/>
  <c r="J50" i="1"/>
  <c r="B50" i="1"/>
  <c r="A50" i="1"/>
  <c r="H50" i="1"/>
  <c r="M49" i="1"/>
  <c r="E49" i="1"/>
  <c r="G50" i="1"/>
  <c r="L49" i="1"/>
  <c r="D44" i="1"/>
  <c r="E45" i="1"/>
  <c r="D45" i="1"/>
  <c r="B44" i="1"/>
  <c r="A44" i="1"/>
  <c r="B45" i="1"/>
</calcChain>
</file>

<file path=xl/sharedStrings.xml><?xml version="1.0" encoding="utf-8"?>
<sst xmlns="http://schemas.openxmlformats.org/spreadsheetml/2006/main" count="71" uniqueCount="57">
  <si>
    <t>Bulan</t>
  </si>
  <si>
    <t>Tanggal</t>
  </si>
  <si>
    <t>Indeks Harga Konsumen (2022 = 100)</t>
  </si>
  <si>
    <t>Inflasi per bulan (2022 = 100)</t>
  </si>
  <si>
    <t>Bulan ke</t>
  </si>
  <si>
    <t>Z (X0) Normalisasi</t>
  </si>
  <si>
    <t>Minimal</t>
  </si>
  <si>
    <t>Maksimum</t>
  </si>
  <si>
    <t>AGO (X1)</t>
  </si>
  <si>
    <t>MGO(Z1)</t>
  </si>
  <si>
    <t>X^(0) pred AGO</t>
  </si>
  <si>
    <t>B</t>
  </si>
  <si>
    <t>Y</t>
  </si>
  <si>
    <t>t(B)</t>
  </si>
  <si>
    <t>Bt</t>
  </si>
  <si>
    <t>Bt invers</t>
  </si>
  <si>
    <t>Bt invers t(B)</t>
  </si>
  <si>
    <t>Parameter</t>
  </si>
  <si>
    <t>a</t>
  </si>
  <si>
    <t>b</t>
  </si>
  <si>
    <t>Prediksi Grey(1,1)</t>
  </si>
  <si>
    <t>X^(0) pred AGO denormalisasi</t>
  </si>
  <si>
    <t>er(k)</t>
  </si>
  <si>
    <t>H</t>
  </si>
  <si>
    <t>L</t>
  </si>
  <si>
    <t>r</t>
  </si>
  <si>
    <t>Keadaan</t>
  </si>
  <si>
    <t>er-</t>
  </si>
  <si>
    <t>er+</t>
  </si>
  <si>
    <t>er- + er+</t>
  </si>
  <si>
    <t>Grey Markov(1,1)</t>
  </si>
  <si>
    <t>Prediksi Grey Markov(1,1)</t>
  </si>
  <si>
    <t>MAPE</t>
  </si>
  <si>
    <t>er/data</t>
  </si>
  <si>
    <t>S1</t>
  </si>
  <si>
    <t>rata rata</t>
  </si>
  <si>
    <t>rata-rata error</t>
  </si>
  <si>
    <t>x0 - x bar</t>
  </si>
  <si>
    <t>er(k) - er bar</t>
  </si>
  <si>
    <t>S2</t>
  </si>
  <si>
    <t>C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</si>
  <si>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</si>
  <si>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</si>
  <si>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</si>
  <si>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</si>
  <si>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</si>
  <si>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</si>
  <si>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</si>
  <si>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</si>
  <si>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</si>
  <si>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</si>
  <si>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</si>
  <si>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</si>
  <si>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</si>
  <si>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Keadaan Awal</t>
  </si>
  <si>
    <t>Transisi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</si>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</sst>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1" fillId="0" borderId="0" xfId="1" applyNumberFormat="1"/>
    <xf numFmtId="0" fontId="1" fillId="0" borderId="0" xfId="1" applyNumberFormat="1" applyAlignment="1"/>
    <xf numFmtId="17" fontId="1" fillId="0" borderId="0" xfId="1" applyNumberFormat="1"/>
    <xf numFmtId="0" fontId="0" fillId="0" borderId="0" xfId="0" applyNumberFormat="1"/>
    <xf numFmtId="17" fontId="0" fillId="0" borderId="0" xfId="0" applyNumberFormat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1" fillId="0" borderId="1" xfId="1" applyNumberFormat="1" applyBorder="1" applyAlignment="1"/>
    <xf numFmtId="17" fontId="1" fillId="0" borderId="1" xfId="1" applyNumberFormat="1" applyBorder="1"/>
    <xf numFmtId="0" fontId="1" fillId="0" borderId="1" xfId="1" applyNumberFormat="1" applyBorder="1"/>
    <xf numFmtId="0" fontId="1" fillId="3" borderId="1" xfId="1" applyNumberFormat="1" applyFill="1" applyBorder="1" applyAlignment="1"/>
    <xf numFmtId="0" fontId="1" fillId="4" borderId="1" xfId="1" applyNumberFormat="1" applyFill="1" applyBorder="1" applyAlignment="1"/>
    <xf numFmtId="0" fontId="1" fillId="5" borderId="1" xfId="1" applyNumberFormat="1" applyFill="1" applyBorder="1" applyAlignment="1"/>
    <xf numFmtId="0" fontId="1" fillId="0" borderId="2" xfId="1" applyNumberFormat="1" applyFill="1" applyBorder="1" applyAlignment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469816272965882E-2"/>
          <c:y val="5.5555555555555552E-2"/>
          <c:w val="0.89019685039370078"/>
          <c:h val="0.76505540974044917"/>
        </c:manualLayout>
      </c:layout>
      <c:lineChart>
        <c:grouping val="standard"/>
        <c:varyColors val="0"/>
        <c:ser>
          <c:idx val="0"/>
          <c:order val="0"/>
          <c:tx>
            <c:strRef>
              <c:f>'HARGA KONSUMEN'!$C$2</c:f>
              <c:strCache>
                <c:ptCount val="1"/>
                <c:pt idx="0">
                  <c:v>Indeks Harga Konsumen (2022 = 100)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'HARGA KONSUMEN'!$B$3:$B$16</c:f>
              <c:numCache>
                <c:formatCode>mmm\-yy</c:formatCode>
                <c:ptCount val="1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</c:numCache>
            </c:numRef>
          </c:cat>
          <c:val>
            <c:numRef>
              <c:f>'HARGA KONSUMEN'!$C$3:$C$16</c:f>
              <c:numCache>
                <c:formatCode>General</c:formatCode>
                <c:ptCount val="14"/>
                <c:pt idx="0">
                  <c:v>108.01</c:v>
                </c:pt>
                <c:pt idx="1">
                  <c:v>109.13</c:v>
                </c:pt>
                <c:pt idx="2">
                  <c:v>110.3</c:v>
                </c:pt>
                <c:pt idx="3">
                  <c:v>109.81</c:v>
                </c:pt>
                <c:pt idx="4">
                  <c:v>109.31</c:v>
                </c:pt>
                <c:pt idx="5">
                  <c:v>109.45</c:v>
                </c:pt>
                <c:pt idx="6">
                  <c:v>109.11</c:v>
                </c:pt>
                <c:pt idx="7">
                  <c:v>108.01</c:v>
                </c:pt>
                <c:pt idx="8">
                  <c:v>106.97</c:v>
                </c:pt>
                <c:pt idx="9">
                  <c:v>107.07</c:v>
                </c:pt>
                <c:pt idx="10">
                  <c:v>108.08</c:v>
                </c:pt>
                <c:pt idx="11">
                  <c:v>108.76</c:v>
                </c:pt>
                <c:pt idx="12">
                  <c:v>110.16</c:v>
                </c:pt>
                <c:pt idx="13">
                  <c:v>109.83</c:v>
                </c:pt>
              </c:numCache>
            </c:numRef>
          </c:val>
          <c:smooth val="0"/>
        </c:ser>
        <c:ser>
          <c:idx val="1"/>
          <c:order val="1"/>
          <c:tx>
            <c:v> Prediksi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'HARGA KONSUMEN'!$K$3:$K$17</c:f>
              <c:numCache>
                <c:formatCode>General</c:formatCode>
                <c:ptCount val="15"/>
                <c:pt idx="0">
                  <c:v>107.87776384685816</c:v>
                </c:pt>
                <c:pt idx="1">
                  <c:v>109.29799263637641</c:v>
                </c:pt>
                <c:pt idx="2">
                  <c:v>110.5981547728458</c:v>
                </c:pt>
                <c:pt idx="3">
                  <c:v>109.80201516915078</c:v>
                </c:pt>
                <c:pt idx="4">
                  <c:v>109.01097646886882</c:v>
                </c:pt>
                <c:pt idx="5">
                  <c:v>109.62109644664208</c:v>
                </c:pt>
                <c:pt idx="6">
                  <c:v>108.83849552688221</c:v>
                </c:pt>
                <c:pt idx="7">
                  <c:v>108.06037817994044</c:v>
                </c:pt>
                <c:pt idx="8">
                  <c:v>107.28654164618369</c:v>
                </c:pt>
                <c:pt idx="9">
                  <c:v>107.21289920681934</c:v>
                </c:pt>
                <c:pt idx="10">
                  <c:v>107.83788954871456</c:v>
                </c:pt>
                <c:pt idx="11">
                  <c:v>108.46486316431991</c:v>
                </c:pt>
                <c:pt idx="12">
                  <c:v>109.7885432175861</c:v>
                </c:pt>
                <c:pt idx="13">
                  <c:v>109.72451187331048</c:v>
                </c:pt>
                <c:pt idx="14">
                  <c:v>109.66307558639086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90578448"/>
        <c:axId val="-990577360"/>
      </c:lineChart>
      <c:dateAx>
        <c:axId val="-990578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90577360"/>
        <c:crosses val="autoZero"/>
        <c:auto val="1"/>
        <c:lblOffset val="100"/>
        <c:baseTimeUnit val="months"/>
      </c:dateAx>
      <c:valAx>
        <c:axId val="-99057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990578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4271</xdr:colOff>
      <xdr:row>16</xdr:row>
      <xdr:rowOff>164225</xdr:rowOff>
    </xdr:from>
    <xdr:to>
      <xdr:col>27</xdr:col>
      <xdr:colOff>312574</xdr:colOff>
      <xdr:row>31</xdr:row>
      <xdr:rowOff>19926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4"/>
  <sheetViews>
    <sheetView tabSelected="1" topLeftCell="H4" zoomScale="96" zoomScaleNormal="96" workbookViewId="0">
      <selection activeCell="M16" sqref="M16"/>
    </sheetView>
  </sheetViews>
  <sheetFormatPr defaultRowHeight="14.5" x14ac:dyDescent="0.35"/>
  <cols>
    <col min="4" max="4" width="15.90625" customWidth="1"/>
    <col min="6" max="6" width="15.54296875" customWidth="1"/>
    <col min="7" max="7" width="13.36328125" customWidth="1"/>
    <col min="10" max="10" width="21.81640625" customWidth="1"/>
    <col min="11" max="11" width="16.81640625" customWidth="1"/>
    <col min="12" max="12" width="14.26953125" customWidth="1"/>
  </cols>
  <sheetData>
    <row r="1" spans="1:66" ht="15.5" x14ac:dyDescent="0.35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 ht="15.5" x14ac:dyDescent="0.35">
      <c r="A2" s="14" t="s">
        <v>4</v>
      </c>
      <c r="B2" s="14" t="s">
        <v>1</v>
      </c>
      <c r="C2" s="14" t="s">
        <v>2</v>
      </c>
      <c r="D2" s="14" t="s">
        <v>5</v>
      </c>
      <c r="E2" s="14" t="s">
        <v>8</v>
      </c>
      <c r="F2" s="14" t="s">
        <v>9</v>
      </c>
      <c r="G2" s="14" t="s">
        <v>10</v>
      </c>
      <c r="H2" s="14" t="s">
        <v>21</v>
      </c>
      <c r="I2" s="13" t="s">
        <v>22</v>
      </c>
      <c r="J2" s="13" t="s">
        <v>26</v>
      </c>
      <c r="K2" s="13" t="s">
        <v>30</v>
      </c>
      <c r="M2" s="2" t="s">
        <v>33</v>
      </c>
      <c r="N2" s="2" t="s">
        <v>37</v>
      </c>
      <c r="O2" s="2" t="s">
        <v>38</v>
      </c>
      <c r="P2" s="2"/>
      <c r="Q2" s="2"/>
      <c r="R2" s="2"/>
      <c r="S2" s="18" t="s">
        <v>0</v>
      </c>
      <c r="T2" s="18" t="s">
        <v>54</v>
      </c>
      <c r="U2" s="18" t="s">
        <v>55</v>
      </c>
      <c r="V2" s="18" t="s">
        <v>26</v>
      </c>
      <c r="W2" s="18"/>
      <c r="X2" s="18"/>
      <c r="Y2" s="18"/>
      <c r="Z2" s="18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</row>
    <row r="3" spans="1:66" ht="15.5" x14ac:dyDescent="0.35">
      <c r="A3" s="10">
        <v>1</v>
      </c>
      <c r="B3" s="11">
        <v>45292</v>
      </c>
      <c r="C3" s="12">
        <v>108.01</v>
      </c>
      <c r="D3" s="10">
        <f>(C3-$B$18)/($B$19-$B$18)</f>
        <v>0.31231231231231438</v>
      </c>
      <c r="E3" s="10">
        <f>SUM($D$3:D3)</f>
        <v>0.31231231231231438</v>
      </c>
      <c r="F3" s="10"/>
      <c r="G3" s="10">
        <f>E3</f>
        <v>0.31231231231231438</v>
      </c>
      <c r="H3" s="10">
        <f>G3*($B$19-$B$18)+$B$18</f>
        <v>108.01</v>
      </c>
      <c r="I3" s="10">
        <f>((C3-H3)/C3)*100</f>
        <v>0</v>
      </c>
      <c r="J3" s="6">
        <v>3</v>
      </c>
      <c r="K3" s="10">
        <f>H3*(1+(N27/200))</f>
        <v>107.87776384685816</v>
      </c>
      <c r="L3">
        <f>C3-K3</f>
        <v>0.13223615314184656</v>
      </c>
      <c r="M3" s="2">
        <f>(ABS(L3))/C3</f>
        <v>1.2242954646962925E-3</v>
      </c>
      <c r="N3" s="2">
        <f>(C3-$E$18)^2</f>
        <v>0.71765102040816142</v>
      </c>
      <c r="O3">
        <f>(L3-$L$18)^2</f>
        <v>8.2735637004907828E-3</v>
      </c>
      <c r="S3" s="18"/>
      <c r="T3" s="18"/>
      <c r="U3" s="18"/>
      <c r="V3" s="6">
        <v>1</v>
      </c>
      <c r="W3" s="6">
        <v>2</v>
      </c>
      <c r="X3" s="6">
        <v>3</v>
      </c>
      <c r="Y3" s="6">
        <v>4</v>
      </c>
      <c r="Z3" s="6">
        <v>5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</row>
    <row r="4" spans="1:66" ht="15.5" x14ac:dyDescent="0.35">
      <c r="A4" s="6">
        <v>2</v>
      </c>
      <c r="B4" s="11">
        <v>45323</v>
      </c>
      <c r="C4" s="12">
        <v>109.13</v>
      </c>
      <c r="D4" s="10">
        <f t="shared" ref="D4:D16" si="0">(C4-$B$18)/($B$19-$B$18)</f>
        <v>0.64864864864864791</v>
      </c>
      <c r="E4" s="10">
        <f>SUM($D$3:D4)</f>
        <v>0.96096096096096228</v>
      </c>
      <c r="F4" s="10">
        <f>AVERAGE(E3:E4)</f>
        <v>0.63663663663663828</v>
      </c>
      <c r="G4" s="10">
        <f>(1-EXP($B$53))*($G$3-($B$54/$B$53))*EXP(-$B$53*A3)</f>
        <v>0.73933024041249562</v>
      </c>
      <c r="H4" s="10">
        <f t="shared" ref="H4:H17" si="1">G4*($B$19-$B$18)+$B$18</f>
        <v>109.4319697005736</v>
      </c>
      <c r="I4" s="10">
        <f t="shared" ref="I4:I16" si="2">((C4-H4)/C4)*100</f>
        <v>-0.27670640573042038</v>
      </c>
      <c r="J4" s="6">
        <v>3</v>
      </c>
      <c r="K4" s="10">
        <f>H4*(1+(N27/200))</f>
        <v>109.29799263637641</v>
      </c>
      <c r="L4">
        <f t="shared" ref="L4:L16" si="3">C4-K4</f>
        <v>-0.16799263637641104</v>
      </c>
      <c r="M4" s="2">
        <f t="shared" ref="M4:M16" si="4">(ABS(L4))/C4</f>
        <v>1.5393808886320082E-3</v>
      </c>
      <c r="N4" s="2">
        <f t="shared" ref="N4:N16" si="5">(C4-$E$18)^2</f>
        <v>7.4451020408158569E-2</v>
      </c>
      <c r="O4">
        <f t="shared" ref="O4:O16" si="6">(L4-$L$18)^2</f>
        <v>4.3793789543320499E-2</v>
      </c>
      <c r="P4" s="1"/>
      <c r="S4" s="11">
        <v>45323</v>
      </c>
      <c r="T4" s="6">
        <v>3</v>
      </c>
      <c r="U4" s="6">
        <v>13</v>
      </c>
      <c r="V4" s="6">
        <v>0</v>
      </c>
      <c r="W4" s="6">
        <v>0</v>
      </c>
      <c r="X4" s="6">
        <v>0</v>
      </c>
      <c r="Y4" s="6">
        <v>0</v>
      </c>
      <c r="Z4" s="6">
        <v>1</v>
      </c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</row>
    <row r="5" spans="1:66" ht="15.5" x14ac:dyDescent="0.35">
      <c r="A5" s="6">
        <v>3</v>
      </c>
      <c r="B5" s="11">
        <v>45352</v>
      </c>
      <c r="C5" s="12">
        <v>110.3</v>
      </c>
      <c r="D5" s="10">
        <f t="shared" si="0"/>
        <v>1</v>
      </c>
      <c r="E5" s="10">
        <f>SUM($D$3:D5)</f>
        <v>1.9609609609609624</v>
      </c>
      <c r="F5" s="10">
        <f t="shared" ref="F5:F15" si="7">AVERAGE(E4:E5)</f>
        <v>1.4609609609609624</v>
      </c>
      <c r="G5" s="10">
        <f t="shared" ref="G5:G17" si="8">(1-EXP($B$53))*($G$3-($B$54/$B$53))*EXP(-$B$53*A4)</f>
        <v>0.70936672175473314</v>
      </c>
      <c r="H5" s="10">
        <f t="shared" si="1"/>
        <v>109.33219118344326</v>
      </c>
      <c r="I5" s="10">
        <f t="shared" si="2"/>
        <v>0.87743319724092506</v>
      </c>
      <c r="J5" s="6">
        <v>5</v>
      </c>
      <c r="K5" s="10">
        <f>H5*(1+(N29/200))</f>
        <v>110.5981547728458</v>
      </c>
      <c r="L5">
        <f t="shared" si="3"/>
        <v>-0.29815477284580538</v>
      </c>
      <c r="M5" s="2">
        <f t="shared" si="4"/>
        <v>2.7031257737607016E-3</v>
      </c>
      <c r="N5" s="2">
        <f t="shared" si="5"/>
        <v>2.0818367346938578</v>
      </c>
      <c r="O5">
        <f t="shared" si="6"/>
        <v>0.11521394274617597</v>
      </c>
      <c r="S5" s="11">
        <v>45352</v>
      </c>
      <c r="T5" s="6">
        <v>5</v>
      </c>
      <c r="U5" s="19">
        <v>12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</row>
    <row r="6" spans="1:66" ht="15.5" x14ac:dyDescent="0.35">
      <c r="A6" s="10">
        <v>4</v>
      </c>
      <c r="B6" s="11">
        <v>45383</v>
      </c>
      <c r="C6" s="12">
        <v>109.81</v>
      </c>
      <c r="D6" s="10">
        <f t="shared" si="0"/>
        <v>0.85285285285285428</v>
      </c>
      <c r="E6" s="10">
        <f>SUM($D$3:D6)</f>
        <v>2.8138138138138169</v>
      </c>
      <c r="F6" s="10">
        <f t="shared" si="7"/>
        <v>2.3873873873873896</v>
      </c>
      <c r="G6" s="10">
        <f t="shared" si="8"/>
        <v>0.68061756225784187</v>
      </c>
      <c r="H6" s="10">
        <f t="shared" si="1"/>
        <v>109.23645648231862</v>
      </c>
      <c r="I6" s="10">
        <f t="shared" si="2"/>
        <v>0.52230536169874009</v>
      </c>
      <c r="J6" s="6">
        <v>4</v>
      </c>
      <c r="K6" s="10">
        <f>H6*(1+(N28/200))</f>
        <v>109.80201516915078</v>
      </c>
      <c r="L6">
        <f t="shared" si="3"/>
        <v>7.9848308492245224E-3</v>
      </c>
      <c r="M6" s="2">
        <f t="shared" si="4"/>
        <v>7.2714969941030158E-5</v>
      </c>
      <c r="N6" s="2">
        <f t="shared" si="5"/>
        <v>0.90793673469387415</v>
      </c>
      <c r="O6">
        <f t="shared" si="6"/>
        <v>1.1083699321752436E-3</v>
      </c>
      <c r="S6" s="11">
        <v>45383</v>
      </c>
      <c r="T6" s="6">
        <v>4</v>
      </c>
      <c r="U6" s="19">
        <v>11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</row>
    <row r="7" spans="1:66" ht="15.5" x14ac:dyDescent="0.35">
      <c r="A7" s="6">
        <v>5</v>
      </c>
      <c r="B7" s="11">
        <v>45413</v>
      </c>
      <c r="C7" s="12">
        <v>109.31</v>
      </c>
      <c r="D7" s="10">
        <f t="shared" si="0"/>
        <v>0.70270270270270407</v>
      </c>
      <c r="E7" s="10">
        <f>SUM($D$3:D7)</f>
        <v>3.5165165165165209</v>
      </c>
      <c r="F7" s="10">
        <f t="shared" si="7"/>
        <v>3.1651651651651687</v>
      </c>
      <c r="G7" s="10">
        <f t="shared" si="8"/>
        <v>0.65303354646790823</v>
      </c>
      <c r="H7" s="10">
        <f t="shared" si="1"/>
        <v>109.14460170973813</v>
      </c>
      <c r="I7" s="10">
        <f t="shared" si="2"/>
        <v>0.15131121604782405</v>
      </c>
      <c r="J7" s="6">
        <v>3</v>
      </c>
      <c r="K7" s="10">
        <f>H7*(1+(N27/200))</f>
        <v>109.01097646886882</v>
      </c>
      <c r="L7">
        <f t="shared" si="3"/>
        <v>0.29902353113118352</v>
      </c>
      <c r="M7" s="2">
        <f t="shared" si="4"/>
        <v>2.7355551288188043E-3</v>
      </c>
      <c r="N7" s="2">
        <f t="shared" si="5"/>
        <v>0.20507959183673308</v>
      </c>
      <c r="O7">
        <f t="shared" si="6"/>
        <v>6.6433263429527906E-2</v>
      </c>
      <c r="S7" s="11">
        <v>45413</v>
      </c>
      <c r="T7" s="6">
        <v>3</v>
      </c>
      <c r="U7" s="6">
        <v>10</v>
      </c>
      <c r="V7" s="6">
        <v>0</v>
      </c>
      <c r="W7" s="6">
        <v>0.5</v>
      </c>
      <c r="X7" s="6">
        <v>0.5</v>
      </c>
      <c r="Y7" s="6">
        <v>0</v>
      </c>
      <c r="Z7" s="6">
        <v>0</v>
      </c>
    </row>
    <row r="8" spans="1:66" ht="15.5" x14ac:dyDescent="0.35">
      <c r="A8" s="6">
        <v>6</v>
      </c>
      <c r="B8" s="11">
        <v>45444</v>
      </c>
      <c r="C8" s="12">
        <v>109.45</v>
      </c>
      <c r="D8" s="10">
        <f t="shared" si="0"/>
        <v>0.74474474474474628</v>
      </c>
      <c r="E8" s="10">
        <f>SUM($D$3:D8)</f>
        <v>4.261261261261267</v>
      </c>
      <c r="F8" s="10">
        <f t="shared" si="7"/>
        <v>3.8888888888888937</v>
      </c>
      <c r="G8" s="10">
        <f t="shared" si="8"/>
        <v>0.62656745353111876</v>
      </c>
      <c r="H8" s="10">
        <f t="shared" si="1"/>
        <v>109.05646962025862</v>
      </c>
      <c r="I8" s="10">
        <f t="shared" si="2"/>
        <v>0.35955265394369856</v>
      </c>
      <c r="J8" s="6">
        <v>4</v>
      </c>
      <c r="K8" s="10">
        <f>H8*(1+(N28/200))</f>
        <v>109.62109644664208</v>
      </c>
      <c r="L8">
        <f t="shared" si="3"/>
        <v>-0.1710964466420819</v>
      </c>
      <c r="M8" s="2">
        <f t="shared" si="4"/>
        <v>1.5632384343726075E-3</v>
      </c>
      <c r="N8" s="2">
        <f t="shared" si="5"/>
        <v>0.35147959183673327</v>
      </c>
      <c r="O8">
        <f t="shared" si="6"/>
        <v>4.5102489803868079E-2</v>
      </c>
      <c r="S8" s="11">
        <v>45444</v>
      </c>
      <c r="T8" s="6">
        <v>4</v>
      </c>
      <c r="U8" s="19">
        <v>9</v>
      </c>
      <c r="V8" s="6">
        <v>0</v>
      </c>
      <c r="W8" s="6">
        <v>0</v>
      </c>
      <c r="X8" s="6">
        <v>0</v>
      </c>
      <c r="Y8" s="6">
        <v>0</v>
      </c>
      <c r="Z8" s="6">
        <v>1</v>
      </c>
    </row>
    <row r="9" spans="1:66" ht="15.5" x14ac:dyDescent="0.35">
      <c r="A9" s="10">
        <v>7</v>
      </c>
      <c r="B9" s="11">
        <v>45474</v>
      </c>
      <c r="C9" s="12">
        <v>109.11</v>
      </c>
      <c r="D9" s="10">
        <f t="shared" si="0"/>
        <v>0.64264264264264315</v>
      </c>
      <c r="E9" s="10">
        <f>SUM($D$3:D9)</f>
        <v>4.9039039039039105</v>
      </c>
      <c r="F9" s="10">
        <f t="shared" si="7"/>
        <v>4.5825825825825888</v>
      </c>
      <c r="G9" s="10">
        <f t="shared" si="8"/>
        <v>0.60117397635676206</v>
      </c>
      <c r="H9" s="10">
        <f t="shared" si="1"/>
        <v>108.97190934126802</v>
      </c>
      <c r="I9" s="10">
        <f t="shared" si="2"/>
        <v>0.12656095567040856</v>
      </c>
      <c r="J9" s="6">
        <v>3</v>
      </c>
      <c r="K9" s="10">
        <f>H9*(1+(N27/200))</f>
        <v>108.83849552688221</v>
      </c>
      <c r="L9">
        <f t="shared" si="3"/>
        <v>0.27150447311778692</v>
      </c>
      <c r="M9" s="2">
        <f t="shared" si="4"/>
        <v>2.4883555413599753E-3</v>
      </c>
      <c r="N9" s="2">
        <f t="shared" si="5"/>
        <v>6.3936734693875216E-2</v>
      </c>
      <c r="O9">
        <f t="shared" si="6"/>
        <v>5.3004679659273225E-2</v>
      </c>
      <c r="S9" s="11">
        <v>45474</v>
      </c>
      <c r="T9" s="6">
        <v>3</v>
      </c>
      <c r="U9" s="19">
        <v>8</v>
      </c>
      <c r="V9" s="6">
        <f>2/3</f>
        <v>0.66666666666666663</v>
      </c>
      <c r="W9" s="6">
        <v>0</v>
      </c>
      <c r="X9" s="6">
        <v>0</v>
      </c>
      <c r="Y9" s="6">
        <v>0</v>
      </c>
      <c r="Z9" s="6">
        <f>1/3</f>
        <v>0.33333333333333331</v>
      </c>
    </row>
    <row r="10" spans="1:66" ht="15.5" x14ac:dyDescent="0.35">
      <c r="A10" s="6">
        <v>8</v>
      </c>
      <c r="B10" s="11">
        <v>45505</v>
      </c>
      <c r="C10" s="12">
        <v>108.01</v>
      </c>
      <c r="D10" s="10">
        <f t="shared" si="0"/>
        <v>0.31231231231231438</v>
      </c>
      <c r="E10" s="10">
        <f>SUM($D$3:D10)</f>
        <v>5.2162162162162247</v>
      </c>
      <c r="F10" s="10">
        <f t="shared" si="7"/>
        <v>5.0600600600600671</v>
      </c>
      <c r="G10" s="10">
        <f t="shared" si="8"/>
        <v>0.57680964405638568</v>
      </c>
      <c r="H10" s="10">
        <f t="shared" si="1"/>
        <v>108.89077611470776</v>
      </c>
      <c r="I10" s="10">
        <f t="shared" si="2"/>
        <v>-0.81545793417994361</v>
      </c>
      <c r="J10" s="6">
        <v>2</v>
      </c>
      <c r="K10" s="10">
        <f>H10*(1+(N26/200))</f>
        <v>108.06037817994044</v>
      </c>
      <c r="L10">
        <f t="shared" si="3"/>
        <v>-5.0378179940437917E-2</v>
      </c>
      <c r="M10" s="2">
        <f t="shared" si="4"/>
        <v>4.6642144190758183E-4</v>
      </c>
      <c r="N10" s="2">
        <f t="shared" si="5"/>
        <v>0.71765102040816142</v>
      </c>
      <c r="O10">
        <f t="shared" si="6"/>
        <v>8.4006758790884511E-3</v>
      </c>
      <c r="S10" s="11">
        <v>45505</v>
      </c>
      <c r="T10" s="6">
        <v>2</v>
      </c>
      <c r="U10" s="6">
        <v>7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</row>
    <row r="11" spans="1:66" ht="15.5" x14ac:dyDescent="0.35">
      <c r="A11" s="6">
        <v>9</v>
      </c>
      <c r="B11" s="11">
        <v>45536</v>
      </c>
      <c r="C11" s="12">
        <v>106.97</v>
      </c>
      <c r="D11" s="10">
        <f t="shared" si="0"/>
        <v>0</v>
      </c>
      <c r="E11" s="10">
        <f>SUM($D$3:D11)</f>
        <v>5.2162162162162247</v>
      </c>
      <c r="F11" s="10">
        <f t="shared" si="7"/>
        <v>5.2162162162162247</v>
      </c>
      <c r="G11" s="10">
        <f t="shared" si="8"/>
        <v>0.55343274752633442</v>
      </c>
      <c r="H11" s="10">
        <f t="shared" si="1"/>
        <v>108.81293104926269</v>
      </c>
      <c r="I11" s="10">
        <f t="shared" si="2"/>
        <v>-1.722848508238467</v>
      </c>
      <c r="J11" s="6">
        <v>1</v>
      </c>
      <c r="K11" s="10">
        <f>H11*(1+(N25/200))</f>
        <v>107.28654164618369</v>
      </c>
      <c r="L11">
        <f t="shared" si="3"/>
        <v>-0.31654164618369407</v>
      </c>
      <c r="M11" s="2">
        <f t="shared" si="4"/>
        <v>2.9591628137206139E-3</v>
      </c>
      <c r="N11" s="2">
        <f t="shared" si="5"/>
        <v>3.5613081632653256</v>
      </c>
      <c r="O11">
        <f t="shared" si="6"/>
        <v>0.12803419866185312</v>
      </c>
      <c r="S11" s="11">
        <v>45536</v>
      </c>
      <c r="T11" s="6">
        <v>1</v>
      </c>
      <c r="U11" s="19">
        <v>6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</row>
    <row r="12" spans="1:66" ht="15.5" x14ac:dyDescent="0.35">
      <c r="A12" s="10">
        <v>10</v>
      </c>
      <c r="B12" s="11">
        <v>45566</v>
      </c>
      <c r="C12" s="12">
        <v>107.07</v>
      </c>
      <c r="D12" s="10">
        <f t="shared" si="0"/>
        <v>3.0030030030028337E-2</v>
      </c>
      <c r="E12" s="10">
        <f>SUM($D$3:D12)</f>
        <v>5.2462462462462529</v>
      </c>
      <c r="F12" s="10">
        <f t="shared" si="7"/>
        <v>5.2312312312312388</v>
      </c>
      <c r="G12" s="10">
        <f t="shared" si="8"/>
        <v>0.5310032680462714</v>
      </c>
      <c r="H12" s="10">
        <f t="shared" si="1"/>
        <v>108.73824088259408</v>
      </c>
      <c r="I12" s="10">
        <f t="shared" si="2"/>
        <v>-1.5580843210928281</v>
      </c>
      <c r="J12" s="6">
        <v>1</v>
      </c>
      <c r="K12" s="10">
        <f>H12*(1+(N25/200))</f>
        <v>107.21289920681934</v>
      </c>
      <c r="L12">
        <f t="shared" si="3"/>
        <v>-0.14289920681935087</v>
      </c>
      <c r="M12" s="2">
        <f t="shared" si="4"/>
        <v>1.3346334810810767E-3</v>
      </c>
      <c r="N12" s="2">
        <f t="shared" si="5"/>
        <v>3.1938795918367737</v>
      </c>
      <c r="O12">
        <f t="shared" si="6"/>
        <v>3.3920882933263917E-2</v>
      </c>
      <c r="S12" s="11">
        <v>45566</v>
      </c>
      <c r="T12" s="6">
        <v>1</v>
      </c>
      <c r="U12" s="19">
        <v>5</v>
      </c>
      <c r="V12" s="6">
        <v>0</v>
      </c>
      <c r="W12" s="6">
        <v>0</v>
      </c>
      <c r="X12" s="6">
        <v>0</v>
      </c>
      <c r="Y12" s="6">
        <v>0</v>
      </c>
      <c r="Z12" s="6">
        <v>1</v>
      </c>
    </row>
    <row r="13" spans="1:66" ht="15.5" x14ac:dyDescent="0.35">
      <c r="A13" s="6">
        <v>11</v>
      </c>
      <c r="B13" s="11">
        <v>45597</v>
      </c>
      <c r="C13" s="12">
        <v>108.08</v>
      </c>
      <c r="D13" s="10">
        <f t="shared" si="0"/>
        <v>0.33333333333333331</v>
      </c>
      <c r="E13" s="10">
        <f>SUM($D$3:D13)</f>
        <v>5.5795795795795859</v>
      </c>
      <c r="F13" s="10">
        <f t="shared" si="7"/>
        <v>5.412912912912919</v>
      </c>
      <c r="G13" s="10">
        <f t="shared" si="8"/>
        <v>0.50948280877145502</v>
      </c>
      <c r="H13" s="10">
        <f t="shared" si="1"/>
        <v>108.66657775320894</v>
      </c>
      <c r="I13" s="10">
        <f t="shared" si="2"/>
        <v>-0.54272553035616433</v>
      </c>
      <c r="J13" s="6">
        <v>2</v>
      </c>
      <c r="K13" s="10">
        <f>H13*(1+(N26/200))</f>
        <v>107.83788954871456</v>
      </c>
      <c r="L13">
        <f t="shared" si="3"/>
        <v>0.24211045128544129</v>
      </c>
      <c r="M13" s="2">
        <f t="shared" si="4"/>
        <v>2.2401041014567108E-3</v>
      </c>
      <c r="N13" s="2">
        <f t="shared" si="5"/>
        <v>0.60395102040817228</v>
      </c>
      <c r="O13">
        <f t="shared" si="6"/>
        <v>4.033406667714641E-2</v>
      </c>
      <c r="S13" s="11">
        <v>45597</v>
      </c>
      <c r="T13" s="6">
        <v>2</v>
      </c>
      <c r="U13" s="6">
        <v>4</v>
      </c>
      <c r="V13" s="6">
        <v>0</v>
      </c>
      <c r="W13" s="6">
        <v>0</v>
      </c>
      <c r="X13" s="6">
        <v>1</v>
      </c>
      <c r="Y13" s="6">
        <v>0</v>
      </c>
      <c r="Z13" s="6">
        <v>0</v>
      </c>
    </row>
    <row r="14" spans="1:66" ht="15.5" x14ac:dyDescent="0.35">
      <c r="A14" s="6">
        <v>12</v>
      </c>
      <c r="B14" s="11">
        <v>45627</v>
      </c>
      <c r="C14" s="12">
        <v>108.76</v>
      </c>
      <c r="D14" s="10">
        <f t="shared" si="0"/>
        <v>0.53753753753753974</v>
      </c>
      <c r="E14" s="10">
        <f>SUM($D$3:D14)</f>
        <v>6.1171171171171252</v>
      </c>
      <c r="F14" s="10">
        <f t="shared" si="7"/>
        <v>5.848348348348356</v>
      </c>
      <c r="G14" s="10">
        <f t="shared" si="8"/>
        <v>0.48883452900148988</v>
      </c>
      <c r="H14" s="10">
        <f t="shared" si="1"/>
        <v>108.59781898157496</v>
      </c>
      <c r="I14" s="10">
        <f t="shared" si="2"/>
        <v>0.14911825894174782</v>
      </c>
      <c r="J14" s="6">
        <v>3</v>
      </c>
      <c r="K14" s="10">
        <f>H14*(1+(N27/200))</f>
        <v>108.46486316431991</v>
      </c>
      <c r="L14">
        <f t="shared" si="3"/>
        <v>0.29513683568009697</v>
      </c>
      <c r="M14" s="2">
        <f t="shared" si="4"/>
        <v>2.7136524060325205E-3</v>
      </c>
      <c r="N14" s="2">
        <f t="shared" si="5"/>
        <v>9.4367346938773466E-3</v>
      </c>
      <c r="O14">
        <f t="shared" si="6"/>
        <v>6.4444805454970333E-2</v>
      </c>
      <c r="S14" s="11">
        <v>45627</v>
      </c>
      <c r="T14" s="6">
        <v>3</v>
      </c>
      <c r="U14" s="19">
        <v>3</v>
      </c>
      <c r="V14" s="6">
        <v>0.25</v>
      </c>
      <c r="W14" s="6">
        <v>0.25</v>
      </c>
      <c r="X14" s="6">
        <v>0.25</v>
      </c>
      <c r="Y14" s="6">
        <v>0.25</v>
      </c>
      <c r="Z14" s="6">
        <v>0</v>
      </c>
    </row>
    <row r="15" spans="1:66" ht="15.5" x14ac:dyDescent="0.35">
      <c r="A15" s="10">
        <v>13</v>
      </c>
      <c r="B15" s="11">
        <v>45658</v>
      </c>
      <c r="C15" s="12">
        <v>110.16</v>
      </c>
      <c r="D15" s="10">
        <f t="shared" si="0"/>
        <v>0.9579579579579578</v>
      </c>
      <c r="E15" s="10">
        <f>SUM($D$3:D15)</f>
        <v>7.075075075075083</v>
      </c>
      <c r="F15" s="10">
        <f t="shared" si="7"/>
        <v>6.5960960960961046</v>
      </c>
      <c r="G15" s="10">
        <f t="shared" si="8"/>
        <v>0.46902308111302998</v>
      </c>
      <c r="H15" s="10">
        <f t="shared" si="1"/>
        <v>108.53184686010638</v>
      </c>
      <c r="I15" s="10">
        <f t="shared" si="2"/>
        <v>1.4779894152992124</v>
      </c>
      <c r="J15" s="6">
        <v>5</v>
      </c>
      <c r="K15" s="10">
        <f>H15*(1+(N29/200))</f>
        <v>109.7885432175861</v>
      </c>
      <c r="L15">
        <f t="shared" si="3"/>
        <v>0.37145678241390101</v>
      </c>
      <c r="M15" s="2">
        <f t="shared" si="4"/>
        <v>3.3719751490005538E-3</v>
      </c>
      <c r="N15" s="2">
        <f t="shared" si="5"/>
        <v>1.6974367346938581</v>
      </c>
      <c r="O15">
        <f t="shared" si="6"/>
        <v>0.10901867477653016</v>
      </c>
      <c r="S15" s="11">
        <v>45658</v>
      </c>
      <c r="T15" s="6">
        <v>5</v>
      </c>
      <c r="U15" s="19">
        <v>2</v>
      </c>
      <c r="V15" s="6">
        <v>0</v>
      </c>
      <c r="W15" s="6">
        <v>0</v>
      </c>
      <c r="X15" s="6">
        <v>1</v>
      </c>
      <c r="Y15" s="6">
        <v>0</v>
      </c>
      <c r="Z15" s="6">
        <v>0</v>
      </c>
    </row>
    <row r="16" spans="1:66" ht="15.5" x14ac:dyDescent="0.35">
      <c r="A16" s="6">
        <v>14</v>
      </c>
      <c r="B16" s="11">
        <v>45689</v>
      </c>
      <c r="C16" s="12">
        <v>109.83</v>
      </c>
      <c r="D16" s="10">
        <f t="shared" si="0"/>
        <v>0.85885885885885915</v>
      </c>
      <c r="E16" s="10">
        <f>SUM($D$3:D16)</f>
        <v>7.9339339339339423</v>
      </c>
      <c r="F16" s="10">
        <f>AVERAGE(E15:E16)</f>
        <v>7.5045045045045127</v>
      </c>
      <c r="G16" s="10">
        <f t="shared" si="8"/>
        <v>0.45001455004846735</v>
      </c>
      <c r="H16" s="10">
        <f>G16*($B$19-$B$18)+$B$18</f>
        <v>108.46854845166139</v>
      </c>
      <c r="I16" s="10">
        <f t="shared" si="2"/>
        <v>1.2395989696245173</v>
      </c>
      <c r="J16" s="6">
        <v>5</v>
      </c>
      <c r="K16" s="10">
        <f>H16*(1+(N29/200))</f>
        <v>109.72451187331048</v>
      </c>
      <c r="L16">
        <f t="shared" si="3"/>
        <v>0.10548812668952223</v>
      </c>
      <c r="M16" s="2">
        <f t="shared" si="4"/>
        <v>9.6046732850334367E-4</v>
      </c>
      <c r="N16" s="2">
        <f t="shared" si="5"/>
        <v>0.9464510204081521</v>
      </c>
      <c r="O16">
        <f t="shared" si="6"/>
        <v>4.1230660801002631E-3</v>
      </c>
      <c r="S16" s="11">
        <v>45689</v>
      </c>
      <c r="T16" s="6">
        <v>5</v>
      </c>
      <c r="U16" s="6">
        <v>1</v>
      </c>
      <c r="V16" s="6">
        <v>0</v>
      </c>
      <c r="W16" s="6">
        <v>0</v>
      </c>
      <c r="X16" s="6">
        <v>0</v>
      </c>
      <c r="Y16" s="6">
        <v>0.5</v>
      </c>
      <c r="Z16" s="6">
        <v>0.5</v>
      </c>
    </row>
    <row r="17" spans="1:26" ht="15.5" x14ac:dyDescent="0.35">
      <c r="A17" s="6"/>
      <c r="B17" s="6"/>
      <c r="C17" s="6"/>
      <c r="D17" s="6"/>
      <c r="E17" s="6"/>
      <c r="F17" s="6" t="s">
        <v>20</v>
      </c>
      <c r="G17" s="15">
        <f t="shared" si="8"/>
        <v>0.43177639525701894</v>
      </c>
      <c r="H17" s="15">
        <f t="shared" si="1"/>
        <v>108.40781539620588</v>
      </c>
      <c r="I17" s="6"/>
      <c r="J17" s="6" t="s">
        <v>31</v>
      </c>
      <c r="K17" s="15">
        <f>H17*(1+(N29/200))</f>
        <v>109.66307558639086</v>
      </c>
      <c r="S17" s="18" t="s">
        <v>56</v>
      </c>
      <c r="T17" s="18"/>
      <c r="U17" s="18"/>
      <c r="V17" s="6">
        <f>SUM(V4:V16)</f>
        <v>0.91666666666666663</v>
      </c>
      <c r="W17" s="6">
        <f t="shared" ref="W17:Z17" si="9">SUM(W4:W16)</f>
        <v>0.75</v>
      </c>
      <c r="X17" s="6">
        <f t="shared" si="9"/>
        <v>2.75</v>
      </c>
      <c r="Y17" s="6">
        <f t="shared" si="9"/>
        <v>0.75</v>
      </c>
      <c r="Z17" s="6">
        <f t="shared" si="9"/>
        <v>3.8333333333333335</v>
      </c>
    </row>
    <row r="18" spans="1:26" ht="15.5" x14ac:dyDescent="0.35">
      <c r="A18" t="s">
        <v>6</v>
      </c>
      <c r="B18">
        <f>MIN(C3:C16)</f>
        <v>106.97</v>
      </c>
      <c r="D18" t="s">
        <v>35</v>
      </c>
      <c r="E18" s="16">
        <f>AVERAGE(C3:C16)</f>
        <v>108.85714285714286</v>
      </c>
      <c r="K18" t="s">
        <v>36</v>
      </c>
      <c r="L18">
        <f>AVERAGE(L3:L16)</f>
        <v>4.1277021107230132E-2</v>
      </c>
    </row>
    <row r="19" spans="1:26" x14ac:dyDescent="0.35">
      <c r="A19" t="s">
        <v>7</v>
      </c>
      <c r="B19">
        <f>MAX(C3:C16)</f>
        <v>110.3</v>
      </c>
      <c r="K19" s="8" t="s">
        <v>23</v>
      </c>
      <c r="L19" s="6">
        <f>MAX(I3:I16)</f>
        <v>1.4779894152992124</v>
      </c>
      <c r="N19" t="s">
        <v>34</v>
      </c>
      <c r="O19">
        <f>SQRT(1/14*SUM(N3:N16))</f>
        <v>1.0396594811450015</v>
      </c>
    </row>
    <row r="20" spans="1:26" x14ac:dyDescent="0.35">
      <c r="K20" s="8" t="s">
        <v>24</v>
      </c>
      <c r="L20" s="6">
        <f>MIN(I3:I16)</f>
        <v>-1.722848508238467</v>
      </c>
      <c r="N20" t="s">
        <v>39</v>
      </c>
      <c r="O20">
        <f>SQRT(1/14*SUM(O3:O16))</f>
        <v>0.22696860533024391</v>
      </c>
    </row>
    <row r="21" spans="1:26" x14ac:dyDescent="0.35">
      <c r="A21" s="17" t="s">
        <v>11</v>
      </c>
      <c r="B21" s="17"/>
      <c r="D21" s="7" t="s">
        <v>12</v>
      </c>
    </row>
    <row r="22" spans="1:26" x14ac:dyDescent="0.35">
      <c r="A22" s="6">
        <f>-F4</f>
        <v>-0.63663663663663828</v>
      </c>
      <c r="B22" s="6">
        <v>1</v>
      </c>
      <c r="D22" s="6">
        <f>D4</f>
        <v>0.64864864864864791</v>
      </c>
      <c r="K22" t="s">
        <v>25</v>
      </c>
      <c r="L22">
        <f>ROUND(1+3.3*LOG(14),0)</f>
        <v>5</v>
      </c>
    </row>
    <row r="23" spans="1:26" x14ac:dyDescent="0.35">
      <c r="A23" s="6">
        <f t="shared" ref="A23:A34" si="10">-F5</f>
        <v>-1.4609609609609624</v>
      </c>
      <c r="B23" s="6">
        <v>1</v>
      </c>
      <c r="D23" s="6">
        <f t="shared" ref="D23:D34" si="11">D5</f>
        <v>1</v>
      </c>
    </row>
    <row r="24" spans="1:26" ht="15.5" x14ac:dyDescent="0.35">
      <c r="A24" s="6">
        <f t="shared" si="10"/>
        <v>-2.3873873873873896</v>
      </c>
      <c r="B24" s="6">
        <v>1</v>
      </c>
      <c r="D24" s="6">
        <f t="shared" si="11"/>
        <v>0.85285285285285428</v>
      </c>
      <c r="K24" s="9" t="s">
        <v>26</v>
      </c>
      <c r="L24" s="9" t="s">
        <v>27</v>
      </c>
      <c r="M24" s="9" t="s">
        <v>28</v>
      </c>
      <c r="N24" s="9" t="s">
        <v>29</v>
      </c>
      <c r="P24" s="2" t="s">
        <v>1</v>
      </c>
      <c r="Q24" s="2" t="s">
        <v>2</v>
      </c>
      <c r="R24" t="s">
        <v>22</v>
      </c>
      <c r="S24" t="s">
        <v>26</v>
      </c>
    </row>
    <row r="25" spans="1:26" ht="15.5" x14ac:dyDescent="0.35">
      <c r="A25" s="6">
        <f t="shared" si="10"/>
        <v>-3.1651651651651687</v>
      </c>
      <c r="B25" s="6">
        <v>1</v>
      </c>
      <c r="D25" s="6">
        <f t="shared" si="11"/>
        <v>0.70270270270270407</v>
      </c>
      <c r="K25" s="6">
        <v>1</v>
      </c>
      <c r="L25" s="6">
        <f>$L$20+(((K25-1)/5)*($L$19-$L$20))</f>
        <v>-1.722848508238467</v>
      </c>
      <c r="M25" s="6">
        <f>$L$20+((K25/5)*($L$19-$L$20))</f>
        <v>-1.0826809235309311</v>
      </c>
      <c r="N25" s="6">
        <f>SUM(L25:M25)</f>
        <v>-2.805529431769398</v>
      </c>
      <c r="P25" s="3">
        <v>45292</v>
      </c>
      <c r="Q25" s="1">
        <v>108.01</v>
      </c>
      <c r="R25">
        <v>0</v>
      </c>
      <c r="S25">
        <v>3</v>
      </c>
    </row>
    <row r="26" spans="1:26" ht="15.5" x14ac:dyDescent="0.35">
      <c r="A26" s="6">
        <f t="shared" si="10"/>
        <v>-3.8888888888888937</v>
      </c>
      <c r="B26" s="6">
        <v>1</v>
      </c>
      <c r="D26" s="6">
        <f t="shared" si="11"/>
        <v>0.74474474474474628</v>
      </c>
      <c r="K26" s="6">
        <v>2</v>
      </c>
      <c r="L26" s="6">
        <f t="shared" ref="L26:L28" si="12">$L$20+(((K26-1)/5)*($L$19-$L$20))</f>
        <v>-1.0826809235309311</v>
      </c>
      <c r="M26" s="6">
        <f t="shared" ref="M26:M29" si="13">$L$20+((K26/5)*($L$19-$L$20))</f>
        <v>-0.44251333882339527</v>
      </c>
      <c r="N26" s="6">
        <f t="shared" ref="N26:N29" si="14">SUM(L26:M26)</f>
        <v>-1.5251942623543264</v>
      </c>
      <c r="P26" s="3">
        <v>45323</v>
      </c>
      <c r="Q26" s="1">
        <v>109.13</v>
      </c>
      <c r="R26">
        <v>-0.27670640573042038</v>
      </c>
      <c r="S26">
        <v>3</v>
      </c>
    </row>
    <row r="27" spans="1:26" ht="15.5" x14ac:dyDescent="0.35">
      <c r="A27" s="6">
        <f t="shared" si="10"/>
        <v>-4.5825825825825888</v>
      </c>
      <c r="B27" s="6">
        <v>1</v>
      </c>
      <c r="D27" s="6">
        <f t="shared" si="11"/>
        <v>0.64264264264264315</v>
      </c>
      <c r="K27" s="6">
        <v>3</v>
      </c>
      <c r="L27" s="6">
        <f t="shared" si="12"/>
        <v>-0.44251333882339527</v>
      </c>
      <c r="M27" s="6">
        <f t="shared" si="13"/>
        <v>0.19765424588414038</v>
      </c>
      <c r="N27" s="6">
        <f t="shared" si="14"/>
        <v>-0.2448590929392549</v>
      </c>
      <c r="P27" s="3">
        <v>45352</v>
      </c>
      <c r="Q27" s="1">
        <v>110.3</v>
      </c>
      <c r="R27">
        <v>0.87743319724092506</v>
      </c>
      <c r="S27">
        <v>5</v>
      </c>
    </row>
    <row r="28" spans="1:26" ht="15.5" x14ac:dyDescent="0.35">
      <c r="A28" s="6">
        <f t="shared" si="10"/>
        <v>-5.0600600600600671</v>
      </c>
      <c r="B28" s="6">
        <v>1</v>
      </c>
      <c r="D28" s="6">
        <f t="shared" si="11"/>
        <v>0.31231231231231438</v>
      </c>
      <c r="K28" s="6">
        <v>4</v>
      </c>
      <c r="L28" s="6">
        <f t="shared" si="12"/>
        <v>0.19765424588414038</v>
      </c>
      <c r="M28" s="6">
        <f t="shared" si="13"/>
        <v>0.83782183059167648</v>
      </c>
      <c r="N28" s="6">
        <f t="shared" si="14"/>
        <v>1.0354760764758169</v>
      </c>
      <c r="P28" s="3">
        <v>45383</v>
      </c>
      <c r="Q28" s="1">
        <v>109.81</v>
      </c>
      <c r="R28">
        <v>0.52230536169874009</v>
      </c>
      <c r="S28">
        <v>4</v>
      </c>
    </row>
    <row r="29" spans="1:26" ht="15.5" x14ac:dyDescent="0.35">
      <c r="A29" s="6">
        <f t="shared" si="10"/>
        <v>-5.2162162162162247</v>
      </c>
      <c r="B29" s="6">
        <v>1</v>
      </c>
      <c r="D29" s="6">
        <f t="shared" si="11"/>
        <v>0</v>
      </c>
      <c r="K29" s="6">
        <v>5</v>
      </c>
      <c r="L29" s="6">
        <f>$L$20+(((K29-1)/5)*($L$19-$L$20))</f>
        <v>0.83782183059167648</v>
      </c>
      <c r="M29" s="6">
        <f t="shared" si="13"/>
        <v>1.4779894152992121</v>
      </c>
      <c r="N29" s="6">
        <f t="shared" si="14"/>
        <v>2.3158112458908886</v>
      </c>
      <c r="P29" s="3">
        <v>45413</v>
      </c>
      <c r="Q29" s="1">
        <v>109.31</v>
      </c>
      <c r="R29">
        <v>0.15131121604782405</v>
      </c>
      <c r="S29">
        <v>3</v>
      </c>
    </row>
    <row r="30" spans="1:26" ht="15.5" x14ac:dyDescent="0.35">
      <c r="A30" s="6">
        <f t="shared" si="10"/>
        <v>-5.2312312312312388</v>
      </c>
      <c r="B30" s="6">
        <v>1</v>
      </c>
      <c r="D30" s="6">
        <f t="shared" si="11"/>
        <v>3.0030030030028337E-2</v>
      </c>
      <c r="P30" s="3">
        <v>45444</v>
      </c>
      <c r="Q30" s="1">
        <v>109.45</v>
      </c>
      <c r="R30">
        <v>0.35955265394369856</v>
      </c>
      <c r="S30">
        <v>4</v>
      </c>
    </row>
    <row r="31" spans="1:26" ht="15.5" x14ac:dyDescent="0.35">
      <c r="A31" s="6">
        <f t="shared" si="10"/>
        <v>-5.412912912912919</v>
      </c>
      <c r="B31" s="6">
        <v>1</v>
      </c>
      <c r="D31" s="6">
        <f t="shared" si="11"/>
        <v>0.33333333333333331</v>
      </c>
      <c r="P31" s="3">
        <v>45474</v>
      </c>
      <c r="Q31" s="1">
        <v>109.11</v>
      </c>
      <c r="R31">
        <v>0.12656095567040856</v>
      </c>
      <c r="S31">
        <v>3</v>
      </c>
    </row>
    <row r="32" spans="1:26" ht="15.5" x14ac:dyDescent="0.35">
      <c r="A32" s="6">
        <f t="shared" si="10"/>
        <v>-5.848348348348356</v>
      </c>
      <c r="B32" s="6">
        <v>1</v>
      </c>
      <c r="D32" s="6">
        <f t="shared" si="11"/>
        <v>0.53753753753753974</v>
      </c>
      <c r="P32" s="3">
        <v>45505</v>
      </c>
      <c r="Q32" s="1">
        <v>108.01</v>
      </c>
      <c r="R32">
        <v>-0.81545793417994361</v>
      </c>
      <c r="S32">
        <v>2</v>
      </c>
    </row>
    <row r="33" spans="1:22" ht="15.5" x14ac:dyDescent="0.35">
      <c r="A33" s="6">
        <f t="shared" si="10"/>
        <v>-6.5960960960961046</v>
      </c>
      <c r="B33" s="6">
        <v>1</v>
      </c>
      <c r="D33" s="6">
        <f t="shared" si="11"/>
        <v>0.9579579579579578</v>
      </c>
      <c r="P33" s="3">
        <v>45536</v>
      </c>
      <c r="Q33" s="1">
        <v>106.97</v>
      </c>
      <c r="R33">
        <v>-1.722848508238467</v>
      </c>
      <c r="S33">
        <v>1</v>
      </c>
      <c r="U33" t="s">
        <v>32</v>
      </c>
      <c r="V33">
        <f>(SUM(M3:M16)/14)*100</f>
        <v>0.18837916373774158</v>
      </c>
    </row>
    <row r="34" spans="1:22" ht="15.5" x14ac:dyDescent="0.35">
      <c r="A34" s="6">
        <f t="shared" si="10"/>
        <v>-7.5045045045045127</v>
      </c>
      <c r="B34" s="6">
        <v>1</v>
      </c>
      <c r="D34" s="6">
        <f t="shared" si="11"/>
        <v>0.85885885885885915</v>
      </c>
      <c r="P34" s="3">
        <v>45566</v>
      </c>
      <c r="Q34" s="1">
        <v>107.07</v>
      </c>
      <c r="R34">
        <v>-1.5580843210928281</v>
      </c>
      <c r="S34">
        <v>1</v>
      </c>
      <c r="U34" t="s">
        <v>40</v>
      </c>
      <c r="V34">
        <f>O20/O19</f>
        <v>0.21831052324966826</v>
      </c>
    </row>
    <row r="35" spans="1:22" ht="15.5" x14ac:dyDescent="0.35">
      <c r="P35" s="3">
        <v>45597</v>
      </c>
      <c r="Q35" s="1">
        <v>108.08</v>
      </c>
      <c r="R35">
        <v>-0.54272553035616433</v>
      </c>
      <c r="S35">
        <v>2</v>
      </c>
    </row>
    <row r="36" spans="1:22" ht="15.5" x14ac:dyDescent="0.35">
      <c r="P36" s="3">
        <v>45627</v>
      </c>
      <c r="Q36" s="1">
        <v>108.76</v>
      </c>
      <c r="R36">
        <v>0.14911825894174782</v>
      </c>
      <c r="S36">
        <v>3</v>
      </c>
    </row>
    <row r="37" spans="1:22" ht="15.5" x14ac:dyDescent="0.35">
      <c r="P37" s="3">
        <v>45658</v>
      </c>
      <c r="Q37" s="1">
        <v>110.16</v>
      </c>
      <c r="R37">
        <v>1.4779894152992124</v>
      </c>
      <c r="S37">
        <v>5</v>
      </c>
    </row>
    <row r="38" spans="1:22" ht="15.5" x14ac:dyDescent="0.35">
      <c r="A38" s="17" t="s">
        <v>13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P38" s="3">
        <v>45689</v>
      </c>
      <c r="Q38" s="1">
        <v>109.83</v>
      </c>
      <c r="R38">
        <v>1.2395989696245173</v>
      </c>
      <c r="S38">
        <v>5</v>
      </c>
    </row>
    <row r="39" spans="1:22" x14ac:dyDescent="0.35">
      <c r="A39" s="6">
        <v>-0.63663663663663828</v>
      </c>
      <c r="B39" s="6">
        <v>-1.4609609609609624</v>
      </c>
      <c r="C39" s="6">
        <v>-2.3873873873873896</v>
      </c>
      <c r="D39" s="6">
        <v>-3.1651651651651687</v>
      </c>
      <c r="E39" s="6">
        <v>-3.8888888888888937</v>
      </c>
      <c r="F39" s="6">
        <v>-4.5825825825825888</v>
      </c>
      <c r="G39" s="6">
        <v>-5.0600600600600671</v>
      </c>
      <c r="H39" s="6">
        <v>-5.2162162162162247</v>
      </c>
      <c r="I39" s="6">
        <v>-5.2312312312312388</v>
      </c>
      <c r="J39" s="6">
        <v>-5.412912912912919</v>
      </c>
      <c r="K39" s="6">
        <v>-5.848348348348356</v>
      </c>
      <c r="L39" s="6">
        <v>-6.5960960960961046</v>
      </c>
      <c r="M39" s="6">
        <v>-7.5045045045045127</v>
      </c>
    </row>
    <row r="40" spans="1:22" x14ac:dyDescent="0.35">
      <c r="A40" s="6">
        <v>1</v>
      </c>
      <c r="B40" s="6">
        <v>1</v>
      </c>
      <c r="C40" s="6">
        <v>1</v>
      </c>
      <c r="D40" s="6">
        <v>1</v>
      </c>
      <c r="E40" s="6">
        <v>1</v>
      </c>
      <c r="F40" s="6">
        <v>1</v>
      </c>
      <c r="G40" s="6">
        <v>1</v>
      </c>
      <c r="H40" s="6">
        <v>1</v>
      </c>
      <c r="I40" s="6">
        <v>1</v>
      </c>
      <c r="J40" s="6">
        <v>1</v>
      </c>
      <c r="K40" s="6">
        <v>1</v>
      </c>
      <c r="L40" s="6">
        <v>1</v>
      </c>
      <c r="M40" s="6">
        <v>1</v>
      </c>
    </row>
    <row r="43" spans="1:22" x14ac:dyDescent="0.35">
      <c r="A43" s="17" t="s">
        <v>14</v>
      </c>
      <c r="B43" s="17"/>
      <c r="D43" s="17" t="s">
        <v>15</v>
      </c>
      <c r="E43" s="17"/>
    </row>
    <row r="44" spans="1:22" x14ac:dyDescent="0.35">
      <c r="A44" s="6">
        <f t="array" ref="A44:B45">MMULT(A39:M40,A22:B34)</f>
        <v>297.88889790691667</v>
      </c>
      <c r="B44" s="6">
        <v>-56.990990990991065</v>
      </c>
      <c r="D44" s="6">
        <f t="array" ref="D44:E45">MINVERSE(A44:B45)</f>
        <v>2.0813899733555033E-2</v>
      </c>
      <c r="E44" s="6">
        <v>9.1246520938648171E-2</v>
      </c>
    </row>
    <row r="45" spans="1:22" x14ac:dyDescent="0.35">
      <c r="A45" s="6">
        <v>-56.990990990991065</v>
      </c>
      <c r="B45" s="6">
        <v>13</v>
      </c>
      <c r="D45" s="6">
        <v>9.1246520938648171E-2</v>
      </c>
      <c r="E45" s="6">
        <v>0.47694074252105967</v>
      </c>
    </row>
    <row r="48" spans="1:22" x14ac:dyDescent="0.35">
      <c r="A48" s="17" t="s">
        <v>16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x14ac:dyDescent="0.35">
      <c r="A49" s="6">
        <f t="array" ref="A49:M50">MMULT(D44:E45,A39:M40)</f>
        <v>7.7995629816985476E-2</v>
      </c>
      <c r="B49" s="6">
        <v>6.0838225982568495E-2</v>
      </c>
      <c r="C49" s="6">
        <v>4.1555679232413135E-2</v>
      </c>
      <c r="D49" s="6">
        <v>2.5367090550759197E-2</v>
      </c>
      <c r="E49" s="6">
        <v>1.0303577530378499E-2</v>
      </c>
      <c r="F49" s="6">
        <v>-4.1348934559615053E-3</v>
      </c>
      <c r="G49" s="6">
        <v>-1.4073061797208519E-2</v>
      </c>
      <c r="H49" s="6">
        <v>-1.7323280374220151E-2</v>
      </c>
      <c r="I49" s="6">
        <v>-1.7635801391240477E-2</v>
      </c>
      <c r="J49" s="6">
        <v>-2.1417305697186625E-2</v>
      </c>
      <c r="K49" s="6">
        <v>-3.0480415190776697E-2</v>
      </c>
      <c r="L49" s="6">
        <v>-4.6043961838389921E-2</v>
      </c>
      <c r="M49" s="6">
        <v>-6.4951483368120858E-2</v>
      </c>
    </row>
    <row r="50" spans="1:13" x14ac:dyDescent="0.35">
      <c r="A50" s="6">
        <v>0.41884986432588411</v>
      </c>
      <c r="B50" s="6">
        <v>0.34363313760618763</v>
      </c>
      <c r="C50" s="6">
        <v>0.2590999492891517</v>
      </c>
      <c r="D50" s="6">
        <v>0.18813043300353632</v>
      </c>
      <c r="E50" s="6">
        <v>0.12209316109298302</v>
      </c>
      <c r="F50" s="6">
        <v>5.8796024946353054E-2</v>
      </c>
      <c r="G50" s="6">
        <v>1.5227866299971415E-2</v>
      </c>
      <c r="H50" s="6">
        <v>9.7916032756978355E-4</v>
      </c>
      <c r="I50" s="6">
        <v>-3.9090755439180613E-4</v>
      </c>
      <c r="J50" s="6">
        <v>-1.6968728926128052E-2</v>
      </c>
      <c r="K50" s="6">
        <v>-5.6700697503017095E-2</v>
      </c>
      <c r="L50" s="6">
        <v>-0.12493007802470901</v>
      </c>
      <c r="M50" s="6">
        <v>-0.20781918488339091</v>
      </c>
    </row>
    <row r="52" spans="1:13" x14ac:dyDescent="0.35">
      <c r="A52" s="17" t="s">
        <v>17</v>
      </c>
      <c r="B52" s="17"/>
    </row>
    <row r="53" spans="1:13" x14ac:dyDescent="0.35">
      <c r="A53" s="6" t="s">
        <v>18</v>
      </c>
      <c r="B53" s="6">
        <f t="array" ref="B53:B54">MMULT(A49:M50,D22:D34)</f>
        <v>4.1372065013265652E-2</v>
      </c>
    </row>
    <row r="54" spans="1:13" x14ac:dyDescent="0.35">
      <c r="A54" s="6" t="s">
        <v>19</v>
      </c>
      <c r="B54" s="6">
        <v>0.76765050815933455</v>
      </c>
    </row>
  </sheetData>
  <mergeCells count="11">
    <mergeCell ref="S2:S3"/>
    <mergeCell ref="T2:T3"/>
    <mergeCell ref="U2:U3"/>
    <mergeCell ref="V2:Z2"/>
    <mergeCell ref="S17:U17"/>
    <mergeCell ref="A52:B52"/>
    <mergeCell ref="A21:B21"/>
    <mergeCell ref="A38:M38"/>
    <mergeCell ref="A43:B43"/>
    <mergeCell ref="D43:E43"/>
    <mergeCell ref="A48:M4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8"/>
  <sheetViews>
    <sheetView topLeftCell="P1" zoomScaleNormal="100" workbookViewId="0">
      <selection activeCell="AA16" sqref="AA1:AH16"/>
    </sheetView>
  </sheetViews>
  <sheetFormatPr defaultRowHeight="14.5" x14ac:dyDescent="0.35"/>
  <sheetData>
    <row r="1" spans="1:34" ht="15.5" x14ac:dyDescent="0.35">
      <c r="A1" s="13" t="s">
        <v>26</v>
      </c>
      <c r="E1">
        <v>1</v>
      </c>
      <c r="F1">
        <v>2</v>
      </c>
      <c r="G1">
        <v>3</v>
      </c>
      <c r="H1">
        <v>4</v>
      </c>
      <c r="I1">
        <v>5</v>
      </c>
      <c r="M1">
        <v>1</v>
      </c>
      <c r="N1">
        <v>2</v>
      </c>
      <c r="O1">
        <v>3</v>
      </c>
      <c r="P1">
        <v>4</v>
      </c>
      <c r="Q1">
        <v>5</v>
      </c>
      <c r="U1">
        <v>1</v>
      </c>
      <c r="V1">
        <v>2</v>
      </c>
      <c r="W1">
        <v>3</v>
      </c>
      <c r="X1">
        <v>4</v>
      </c>
      <c r="Y1">
        <v>5</v>
      </c>
      <c r="AA1" s="18" t="s">
        <v>0</v>
      </c>
      <c r="AB1" s="18" t="s">
        <v>54</v>
      </c>
      <c r="AC1" s="18" t="s">
        <v>55</v>
      </c>
      <c r="AD1" s="18" t="s">
        <v>26</v>
      </c>
      <c r="AE1" s="18"/>
      <c r="AF1" s="18"/>
      <c r="AG1" s="18"/>
      <c r="AH1" s="18"/>
    </row>
    <row r="2" spans="1:34" x14ac:dyDescent="0.35">
      <c r="A2" s="6">
        <v>3</v>
      </c>
      <c r="C2" t="s">
        <v>41</v>
      </c>
      <c r="D2">
        <v>1</v>
      </c>
      <c r="E2">
        <v>0.5</v>
      </c>
      <c r="F2">
        <v>0.5</v>
      </c>
      <c r="G2">
        <v>0</v>
      </c>
      <c r="H2">
        <v>0</v>
      </c>
      <c r="I2">
        <v>0</v>
      </c>
      <c r="K2" t="s">
        <v>46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S2" t="s">
        <v>51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AA2" s="18"/>
      <c r="AB2" s="18"/>
      <c r="AC2" s="18"/>
      <c r="AD2" s="6">
        <v>1</v>
      </c>
      <c r="AE2" s="6">
        <v>2</v>
      </c>
      <c r="AF2" s="6">
        <v>3</v>
      </c>
      <c r="AG2" s="6">
        <v>4</v>
      </c>
      <c r="AH2" s="6">
        <v>5</v>
      </c>
    </row>
    <row r="3" spans="1:34" ht="15.5" x14ac:dyDescent="0.35">
      <c r="A3" s="6">
        <v>3</v>
      </c>
      <c r="D3">
        <v>2</v>
      </c>
      <c r="E3">
        <v>0.5</v>
      </c>
      <c r="F3">
        <v>0</v>
      </c>
      <c r="G3">
        <v>0.5</v>
      </c>
      <c r="H3">
        <v>0</v>
      </c>
      <c r="I3">
        <v>0</v>
      </c>
      <c r="L3">
        <v>2</v>
      </c>
      <c r="M3">
        <v>0</v>
      </c>
      <c r="N3">
        <v>0</v>
      </c>
      <c r="O3">
        <v>0</v>
      </c>
      <c r="P3">
        <v>0</v>
      </c>
      <c r="Q3">
        <v>1</v>
      </c>
      <c r="T3">
        <v>2</v>
      </c>
      <c r="U3">
        <v>0</v>
      </c>
      <c r="V3">
        <v>0</v>
      </c>
      <c r="W3">
        <v>0</v>
      </c>
      <c r="X3">
        <v>0</v>
      </c>
      <c r="Y3">
        <v>0</v>
      </c>
      <c r="AA3" s="11">
        <v>45323</v>
      </c>
      <c r="AB3" s="6">
        <v>3</v>
      </c>
      <c r="AC3" s="6">
        <v>13</v>
      </c>
      <c r="AD3" s="6">
        <v>0</v>
      </c>
      <c r="AE3" s="6">
        <v>0</v>
      </c>
      <c r="AF3" s="6">
        <v>0</v>
      </c>
      <c r="AG3" s="6">
        <v>0</v>
      </c>
      <c r="AH3" s="6">
        <v>1</v>
      </c>
    </row>
    <row r="4" spans="1:34" ht="15.5" x14ac:dyDescent="0.35">
      <c r="A4" s="6">
        <v>5</v>
      </c>
      <c r="D4">
        <v>3</v>
      </c>
      <c r="E4">
        <v>0</v>
      </c>
      <c r="F4">
        <v>0.2</v>
      </c>
      <c r="G4">
        <v>0.2</v>
      </c>
      <c r="H4">
        <v>0.2</v>
      </c>
      <c r="I4">
        <v>0.4</v>
      </c>
      <c r="L4">
        <v>3</v>
      </c>
      <c r="M4">
        <v>0</v>
      </c>
      <c r="N4">
        <v>0.5</v>
      </c>
      <c r="O4">
        <v>0.25</v>
      </c>
      <c r="P4">
        <v>0</v>
      </c>
      <c r="Q4">
        <v>0.25</v>
      </c>
      <c r="T4">
        <v>3</v>
      </c>
      <c r="U4">
        <v>0</v>
      </c>
      <c r="V4">
        <v>0</v>
      </c>
      <c r="W4">
        <v>0.5</v>
      </c>
      <c r="X4">
        <v>0</v>
      </c>
      <c r="Y4">
        <v>0.5</v>
      </c>
      <c r="AA4" s="11">
        <v>45352</v>
      </c>
      <c r="AB4" s="6">
        <v>5</v>
      </c>
      <c r="AC4" s="19">
        <v>12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</row>
    <row r="5" spans="1:34" ht="15.5" x14ac:dyDescent="0.35">
      <c r="A5" s="6">
        <v>4</v>
      </c>
      <c r="D5">
        <v>4</v>
      </c>
      <c r="E5">
        <v>0</v>
      </c>
      <c r="F5">
        <v>0</v>
      </c>
      <c r="G5">
        <v>1</v>
      </c>
      <c r="H5">
        <v>0</v>
      </c>
      <c r="I5">
        <v>0</v>
      </c>
      <c r="L5">
        <v>4</v>
      </c>
      <c r="M5">
        <v>0.5</v>
      </c>
      <c r="N5">
        <v>0</v>
      </c>
      <c r="O5">
        <v>0.5</v>
      </c>
      <c r="P5">
        <v>0</v>
      </c>
      <c r="Q5">
        <v>0</v>
      </c>
      <c r="T5">
        <v>4</v>
      </c>
      <c r="U5">
        <v>0</v>
      </c>
      <c r="V5">
        <v>0</v>
      </c>
      <c r="W5">
        <v>0</v>
      </c>
      <c r="X5">
        <v>0</v>
      </c>
      <c r="Y5">
        <v>0</v>
      </c>
      <c r="AA5" s="11">
        <v>45383</v>
      </c>
      <c r="AB5" s="6">
        <v>4</v>
      </c>
      <c r="AC5" s="19">
        <v>11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</row>
    <row r="6" spans="1:34" ht="15.5" x14ac:dyDescent="0.35">
      <c r="A6" s="6">
        <v>3</v>
      </c>
      <c r="D6">
        <v>5</v>
      </c>
      <c r="E6">
        <v>0</v>
      </c>
      <c r="F6">
        <v>0</v>
      </c>
      <c r="G6">
        <v>0</v>
      </c>
      <c r="H6">
        <v>0.5</v>
      </c>
      <c r="I6">
        <v>0.5</v>
      </c>
      <c r="L6">
        <v>5</v>
      </c>
      <c r="M6">
        <v>1</v>
      </c>
      <c r="N6">
        <v>0</v>
      </c>
      <c r="O6">
        <v>0</v>
      </c>
      <c r="P6">
        <v>0</v>
      </c>
      <c r="Q6">
        <v>0</v>
      </c>
      <c r="T6">
        <v>5</v>
      </c>
      <c r="U6">
        <v>0</v>
      </c>
      <c r="V6">
        <v>0</v>
      </c>
      <c r="W6">
        <v>0</v>
      </c>
      <c r="X6">
        <v>0</v>
      </c>
      <c r="Y6">
        <v>1</v>
      </c>
      <c r="AA6" s="11">
        <v>45413</v>
      </c>
      <c r="AB6" s="6">
        <v>3</v>
      </c>
      <c r="AC6" s="6">
        <v>10</v>
      </c>
      <c r="AD6" s="6">
        <v>0</v>
      </c>
      <c r="AE6" s="6">
        <v>0.5</v>
      </c>
      <c r="AF6" s="6">
        <v>0.5</v>
      </c>
      <c r="AG6" s="6">
        <v>0</v>
      </c>
      <c r="AH6" s="6">
        <v>0</v>
      </c>
    </row>
    <row r="7" spans="1:34" ht="15.5" x14ac:dyDescent="0.35">
      <c r="A7" s="6">
        <v>4</v>
      </c>
      <c r="AA7" s="11">
        <v>45444</v>
      </c>
      <c r="AB7" s="6">
        <v>4</v>
      </c>
      <c r="AC7" s="19">
        <v>9</v>
      </c>
      <c r="AD7" s="6">
        <v>0</v>
      </c>
      <c r="AE7" s="6">
        <v>0</v>
      </c>
      <c r="AF7" s="6">
        <v>0</v>
      </c>
      <c r="AG7" s="6">
        <v>0</v>
      </c>
      <c r="AH7" s="6">
        <v>1</v>
      </c>
    </row>
    <row r="8" spans="1:34" ht="15.5" x14ac:dyDescent="0.35">
      <c r="A8" s="6">
        <v>3</v>
      </c>
      <c r="AA8" s="11">
        <v>45474</v>
      </c>
      <c r="AB8" s="6">
        <v>3</v>
      </c>
      <c r="AC8" s="19">
        <v>8</v>
      </c>
      <c r="AD8" s="6">
        <f>2/3</f>
        <v>0.66666666666666663</v>
      </c>
      <c r="AE8" s="6">
        <v>0</v>
      </c>
      <c r="AF8" s="6">
        <v>0</v>
      </c>
      <c r="AG8" s="6">
        <v>0</v>
      </c>
      <c r="AH8" s="6">
        <f>1/3</f>
        <v>0.33333333333333331</v>
      </c>
    </row>
    <row r="9" spans="1:34" ht="15.5" x14ac:dyDescent="0.35">
      <c r="A9" s="6">
        <v>2</v>
      </c>
      <c r="E9">
        <v>1</v>
      </c>
      <c r="F9">
        <v>2</v>
      </c>
      <c r="G9">
        <v>3</v>
      </c>
      <c r="H9">
        <v>4</v>
      </c>
      <c r="I9">
        <v>5</v>
      </c>
      <c r="M9">
        <v>1</v>
      </c>
      <c r="N9">
        <v>2</v>
      </c>
      <c r="O9">
        <v>3</v>
      </c>
      <c r="P9">
        <v>4</v>
      </c>
      <c r="Q9">
        <v>5</v>
      </c>
      <c r="U9">
        <v>1</v>
      </c>
      <c r="V9">
        <v>2</v>
      </c>
      <c r="W9">
        <v>3</v>
      </c>
      <c r="X9">
        <v>4</v>
      </c>
      <c r="Y9">
        <v>5</v>
      </c>
      <c r="AA9" s="11">
        <v>45505</v>
      </c>
      <c r="AB9" s="6">
        <v>2</v>
      </c>
      <c r="AC9" s="6">
        <v>7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</row>
    <row r="10" spans="1:34" ht="15.5" x14ac:dyDescent="0.35">
      <c r="A10" s="6">
        <v>1</v>
      </c>
      <c r="C10" t="s">
        <v>42</v>
      </c>
      <c r="D10">
        <v>1</v>
      </c>
      <c r="E10">
        <v>0</v>
      </c>
      <c r="F10">
        <v>0.5</v>
      </c>
      <c r="G10">
        <v>0.5</v>
      </c>
      <c r="H10">
        <v>0</v>
      </c>
      <c r="I10">
        <v>0</v>
      </c>
      <c r="K10" t="s">
        <v>47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S10" t="s">
        <v>52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AA10" s="11">
        <v>45536</v>
      </c>
      <c r="AB10" s="6">
        <v>1</v>
      </c>
      <c r="AC10" s="19">
        <v>6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</row>
    <row r="11" spans="1:34" ht="15.5" x14ac:dyDescent="0.35">
      <c r="A11" s="6">
        <v>1</v>
      </c>
      <c r="D11">
        <v>2</v>
      </c>
      <c r="E11">
        <v>0.2</v>
      </c>
      <c r="F11">
        <v>0</v>
      </c>
      <c r="G11">
        <v>0</v>
      </c>
      <c r="H11">
        <v>0</v>
      </c>
      <c r="I11">
        <v>0.2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T11">
        <v>2</v>
      </c>
      <c r="U11">
        <v>0</v>
      </c>
      <c r="V11">
        <v>0</v>
      </c>
      <c r="W11">
        <v>0</v>
      </c>
      <c r="X11">
        <v>0</v>
      </c>
      <c r="Y11">
        <v>0</v>
      </c>
      <c r="AA11" s="11">
        <v>45566</v>
      </c>
      <c r="AB11" s="6">
        <v>1</v>
      </c>
      <c r="AC11" s="19">
        <v>5</v>
      </c>
      <c r="AD11" s="6">
        <v>0</v>
      </c>
      <c r="AE11" s="6">
        <v>0</v>
      </c>
      <c r="AF11" s="6">
        <v>0</v>
      </c>
      <c r="AG11" s="6">
        <v>0</v>
      </c>
      <c r="AH11" s="6">
        <v>1</v>
      </c>
    </row>
    <row r="12" spans="1:34" ht="15.5" x14ac:dyDescent="0.35">
      <c r="A12" s="6">
        <v>2</v>
      </c>
      <c r="D12">
        <v>3</v>
      </c>
      <c r="E12">
        <v>0.2</v>
      </c>
      <c r="F12">
        <v>0</v>
      </c>
      <c r="G12">
        <v>0.2</v>
      </c>
      <c r="H12">
        <v>0.2</v>
      </c>
      <c r="I12">
        <v>0.4</v>
      </c>
      <c r="L12">
        <v>3</v>
      </c>
      <c r="M12">
        <v>0.25</v>
      </c>
      <c r="N12">
        <v>0.25</v>
      </c>
      <c r="O12">
        <v>0.25</v>
      </c>
      <c r="P12">
        <v>0</v>
      </c>
      <c r="Q12">
        <v>0.25</v>
      </c>
      <c r="T12">
        <v>3</v>
      </c>
      <c r="U12">
        <v>0</v>
      </c>
      <c r="V12">
        <v>0</v>
      </c>
      <c r="W12">
        <v>0</v>
      </c>
      <c r="X12">
        <v>0</v>
      </c>
      <c r="Y12">
        <v>1</v>
      </c>
      <c r="AA12" s="11">
        <v>45597</v>
      </c>
      <c r="AB12" s="6">
        <v>2</v>
      </c>
      <c r="AC12" s="6">
        <v>4</v>
      </c>
      <c r="AD12" s="6">
        <v>0</v>
      </c>
      <c r="AE12" s="6">
        <v>0</v>
      </c>
      <c r="AF12" s="6">
        <v>1</v>
      </c>
      <c r="AG12" s="6">
        <v>0</v>
      </c>
      <c r="AH12" s="6">
        <v>0</v>
      </c>
    </row>
    <row r="13" spans="1:34" ht="15.5" x14ac:dyDescent="0.35">
      <c r="A13" s="6">
        <v>3</v>
      </c>
      <c r="D13">
        <v>4</v>
      </c>
      <c r="E13">
        <v>0</v>
      </c>
      <c r="F13">
        <v>0.5</v>
      </c>
      <c r="G13">
        <v>0</v>
      </c>
      <c r="H13">
        <v>0.5</v>
      </c>
      <c r="I13">
        <v>0</v>
      </c>
      <c r="L13">
        <v>4</v>
      </c>
      <c r="M13">
        <v>0</v>
      </c>
      <c r="N13">
        <v>0.5</v>
      </c>
      <c r="O13">
        <v>0</v>
      </c>
      <c r="P13">
        <v>0</v>
      </c>
      <c r="Q13">
        <v>0.5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AA13" s="11">
        <v>45627</v>
      </c>
      <c r="AB13" s="6">
        <v>3</v>
      </c>
      <c r="AC13" s="19">
        <v>3</v>
      </c>
      <c r="AD13" s="6">
        <v>0.25</v>
      </c>
      <c r="AE13" s="6">
        <v>0.25</v>
      </c>
      <c r="AF13" s="6">
        <v>0.25</v>
      </c>
      <c r="AG13" s="6">
        <v>0.25</v>
      </c>
      <c r="AH13" s="6">
        <v>0</v>
      </c>
    </row>
    <row r="14" spans="1:34" ht="15.5" x14ac:dyDescent="0.35">
      <c r="A14" s="6">
        <v>5</v>
      </c>
      <c r="D14">
        <v>5</v>
      </c>
      <c r="E14">
        <v>0</v>
      </c>
      <c r="F14">
        <v>0</v>
      </c>
      <c r="G14">
        <v>1</v>
      </c>
      <c r="H14">
        <v>0</v>
      </c>
      <c r="I14">
        <v>0</v>
      </c>
      <c r="L14">
        <v>5</v>
      </c>
      <c r="M14">
        <v>1</v>
      </c>
      <c r="N14">
        <v>0</v>
      </c>
      <c r="O14">
        <v>0</v>
      </c>
      <c r="P14">
        <v>0</v>
      </c>
      <c r="Q14">
        <v>0</v>
      </c>
      <c r="T14">
        <v>5</v>
      </c>
      <c r="U14">
        <v>0</v>
      </c>
      <c r="V14">
        <v>0</v>
      </c>
      <c r="W14">
        <v>0</v>
      </c>
      <c r="X14">
        <v>0</v>
      </c>
      <c r="Y14">
        <v>0</v>
      </c>
      <c r="AA14" s="11">
        <v>45658</v>
      </c>
      <c r="AB14" s="6">
        <v>5</v>
      </c>
      <c r="AC14" s="19">
        <v>2</v>
      </c>
      <c r="AD14" s="6">
        <v>0</v>
      </c>
      <c r="AE14" s="6">
        <v>0</v>
      </c>
      <c r="AF14" s="6">
        <v>1</v>
      </c>
      <c r="AG14" s="6">
        <v>0</v>
      </c>
      <c r="AH14" s="6">
        <v>0</v>
      </c>
    </row>
    <row r="15" spans="1:34" ht="15.5" x14ac:dyDescent="0.35">
      <c r="A15" s="6">
        <v>5</v>
      </c>
      <c r="AA15" s="11">
        <v>45689</v>
      </c>
      <c r="AB15" s="6">
        <v>5</v>
      </c>
      <c r="AC15" s="6">
        <v>1</v>
      </c>
      <c r="AD15" s="6">
        <v>0</v>
      </c>
      <c r="AE15" s="6">
        <v>0</v>
      </c>
      <c r="AF15" s="6">
        <v>0</v>
      </c>
      <c r="AG15" s="6">
        <v>0.5</v>
      </c>
      <c r="AH15" s="6">
        <v>0.5</v>
      </c>
    </row>
    <row r="16" spans="1:34" x14ac:dyDescent="0.35">
      <c r="AA16" s="18" t="s">
        <v>56</v>
      </c>
      <c r="AB16" s="18"/>
      <c r="AC16" s="18"/>
      <c r="AD16" s="6">
        <f>SUM(AD3:AD15)</f>
        <v>0.91666666666666663</v>
      </c>
      <c r="AE16" s="6">
        <f t="shared" ref="AE16:AH16" si="0">SUM(AE3:AE15)</f>
        <v>0.75</v>
      </c>
      <c r="AF16" s="6">
        <f t="shared" si="0"/>
        <v>2.75</v>
      </c>
      <c r="AG16" s="6">
        <f t="shared" si="0"/>
        <v>0.75</v>
      </c>
      <c r="AH16" s="6">
        <f t="shared" si="0"/>
        <v>3.8333333333333335</v>
      </c>
    </row>
    <row r="17" spans="3:25" x14ac:dyDescent="0.35">
      <c r="E17">
        <v>1</v>
      </c>
      <c r="F17">
        <v>2</v>
      </c>
      <c r="G17">
        <v>3</v>
      </c>
      <c r="H17">
        <v>4</v>
      </c>
      <c r="I17">
        <v>5</v>
      </c>
      <c r="M17">
        <v>1</v>
      </c>
      <c r="N17">
        <v>2</v>
      </c>
      <c r="O17">
        <v>3</v>
      </c>
      <c r="P17">
        <v>4</v>
      </c>
      <c r="Q17">
        <v>5</v>
      </c>
      <c r="U17">
        <v>1</v>
      </c>
      <c r="V17">
        <v>2</v>
      </c>
      <c r="W17">
        <v>3</v>
      </c>
      <c r="X17">
        <v>4</v>
      </c>
      <c r="Y17">
        <v>5</v>
      </c>
    </row>
    <row r="18" spans="3:25" x14ac:dyDescent="0.35">
      <c r="C18" t="s">
        <v>43</v>
      </c>
      <c r="D18">
        <v>1</v>
      </c>
      <c r="E18">
        <v>0</v>
      </c>
      <c r="F18">
        <v>0</v>
      </c>
      <c r="G18">
        <v>0.5</v>
      </c>
      <c r="H18">
        <v>0</v>
      </c>
      <c r="I18">
        <v>0.5</v>
      </c>
      <c r="K18" t="s">
        <v>48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S18" t="s">
        <v>53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3:25" x14ac:dyDescent="0.35">
      <c r="D19">
        <v>2</v>
      </c>
      <c r="E19">
        <v>0</v>
      </c>
      <c r="F19">
        <v>0.5</v>
      </c>
      <c r="G19">
        <v>0</v>
      </c>
      <c r="H19">
        <v>0</v>
      </c>
      <c r="I19">
        <v>0.5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T19">
        <v>2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3:25" x14ac:dyDescent="0.35">
      <c r="D20">
        <v>3</v>
      </c>
      <c r="E20">
        <v>0.25</v>
      </c>
      <c r="F20">
        <v>0.25</v>
      </c>
      <c r="G20">
        <v>0.25</v>
      </c>
      <c r="H20">
        <v>0.25</v>
      </c>
      <c r="I20">
        <v>0</v>
      </c>
      <c r="L20">
        <v>3</v>
      </c>
      <c r="M20">
        <f>2/3</f>
        <v>0.66666666666666663</v>
      </c>
      <c r="N20">
        <v>0</v>
      </c>
      <c r="O20">
        <v>0</v>
      </c>
      <c r="P20">
        <v>0</v>
      </c>
      <c r="Q20">
        <f>1/3</f>
        <v>0.33333333333333331</v>
      </c>
      <c r="T20">
        <v>3</v>
      </c>
      <c r="U20">
        <v>0</v>
      </c>
      <c r="V20">
        <v>0</v>
      </c>
      <c r="W20">
        <v>0</v>
      </c>
      <c r="X20">
        <v>0</v>
      </c>
      <c r="Y20">
        <v>1</v>
      </c>
    </row>
    <row r="21" spans="3:25" x14ac:dyDescent="0.35">
      <c r="D21">
        <v>4</v>
      </c>
      <c r="E21">
        <v>0.5</v>
      </c>
      <c r="F21">
        <v>0</v>
      </c>
      <c r="G21">
        <v>0.5</v>
      </c>
      <c r="H21">
        <v>0</v>
      </c>
      <c r="I21">
        <v>0</v>
      </c>
      <c r="L21">
        <v>4</v>
      </c>
      <c r="M21">
        <v>0</v>
      </c>
      <c r="N21">
        <v>0</v>
      </c>
      <c r="O21">
        <v>0.5</v>
      </c>
      <c r="P21">
        <v>0</v>
      </c>
      <c r="Q21">
        <v>0.5</v>
      </c>
      <c r="T21">
        <v>4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3:25" x14ac:dyDescent="0.35">
      <c r="D22">
        <v>5</v>
      </c>
      <c r="E22">
        <v>0</v>
      </c>
      <c r="F22">
        <v>0</v>
      </c>
      <c r="G22">
        <v>0</v>
      </c>
      <c r="H22">
        <v>1</v>
      </c>
      <c r="I22">
        <v>0</v>
      </c>
      <c r="L22">
        <v>5</v>
      </c>
      <c r="M22">
        <v>0</v>
      </c>
      <c r="N22">
        <v>1</v>
      </c>
      <c r="O22">
        <v>0</v>
      </c>
      <c r="P22">
        <v>0</v>
      </c>
      <c r="Q22">
        <v>0</v>
      </c>
      <c r="T22">
        <v>5</v>
      </c>
      <c r="U22">
        <v>0</v>
      </c>
      <c r="V22">
        <v>0</v>
      </c>
      <c r="W22">
        <v>0</v>
      </c>
      <c r="X22">
        <v>0</v>
      </c>
      <c r="Y22">
        <v>0</v>
      </c>
    </row>
    <row r="25" spans="3:25" x14ac:dyDescent="0.35">
      <c r="E25">
        <v>1</v>
      </c>
      <c r="F25">
        <v>2</v>
      </c>
      <c r="G25">
        <v>3</v>
      </c>
      <c r="H25">
        <v>4</v>
      </c>
      <c r="I25">
        <v>5</v>
      </c>
      <c r="M25">
        <v>1</v>
      </c>
      <c r="N25">
        <v>2</v>
      </c>
      <c r="O25">
        <v>3</v>
      </c>
      <c r="P25">
        <v>4</v>
      </c>
      <c r="Q25">
        <v>5</v>
      </c>
    </row>
    <row r="26" spans="3:25" x14ac:dyDescent="0.35">
      <c r="C26" t="s">
        <v>44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K26" t="s">
        <v>49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3:25" x14ac:dyDescent="0.35">
      <c r="D27">
        <v>2</v>
      </c>
      <c r="E27">
        <v>0</v>
      </c>
      <c r="F27">
        <v>0</v>
      </c>
      <c r="G27">
        <v>1</v>
      </c>
      <c r="H27">
        <v>0</v>
      </c>
      <c r="I27">
        <v>0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3:25" x14ac:dyDescent="0.35">
      <c r="D28">
        <v>3</v>
      </c>
      <c r="E28">
        <v>0.25</v>
      </c>
      <c r="F28">
        <v>0.25</v>
      </c>
      <c r="G28">
        <v>0.25</v>
      </c>
      <c r="H28">
        <v>0.25</v>
      </c>
      <c r="I28">
        <v>0</v>
      </c>
      <c r="L28">
        <v>3</v>
      </c>
      <c r="M28">
        <f>1/3</f>
        <v>0.33333333333333331</v>
      </c>
      <c r="N28">
        <f>1/3</f>
        <v>0.33333333333333331</v>
      </c>
      <c r="O28">
        <v>0</v>
      </c>
      <c r="P28">
        <v>0</v>
      </c>
      <c r="Q28">
        <f>1/3</f>
        <v>0.33333333333333331</v>
      </c>
    </row>
    <row r="29" spans="3:25" x14ac:dyDescent="0.35">
      <c r="D29">
        <v>4</v>
      </c>
      <c r="E29">
        <v>0.5</v>
      </c>
      <c r="F29">
        <v>0.5</v>
      </c>
      <c r="G29">
        <v>0</v>
      </c>
      <c r="H29">
        <v>0</v>
      </c>
      <c r="I29">
        <v>0</v>
      </c>
      <c r="L29">
        <v>4</v>
      </c>
      <c r="M29">
        <v>0</v>
      </c>
      <c r="N29">
        <v>0</v>
      </c>
      <c r="O29">
        <v>0</v>
      </c>
      <c r="P29">
        <v>0</v>
      </c>
      <c r="Q29">
        <v>1</v>
      </c>
    </row>
    <row r="30" spans="3:25" x14ac:dyDescent="0.35">
      <c r="D30">
        <v>5</v>
      </c>
      <c r="E30">
        <v>0</v>
      </c>
      <c r="F30">
        <v>0</v>
      </c>
      <c r="G30">
        <v>1</v>
      </c>
      <c r="H30">
        <v>0</v>
      </c>
      <c r="I30">
        <v>0</v>
      </c>
      <c r="L30">
        <v>5</v>
      </c>
      <c r="M30">
        <v>0</v>
      </c>
      <c r="N30">
        <v>0</v>
      </c>
      <c r="O30">
        <v>1</v>
      </c>
      <c r="P30">
        <v>0</v>
      </c>
      <c r="Q30">
        <v>0</v>
      </c>
    </row>
    <row r="33" spans="3:17" x14ac:dyDescent="0.35">
      <c r="E33">
        <v>1</v>
      </c>
      <c r="F33">
        <v>2</v>
      </c>
      <c r="G33">
        <v>3</v>
      </c>
      <c r="H33">
        <v>4</v>
      </c>
      <c r="I33">
        <v>5</v>
      </c>
      <c r="M33">
        <v>1</v>
      </c>
      <c r="N33">
        <v>2</v>
      </c>
      <c r="O33">
        <v>3</v>
      </c>
      <c r="P33">
        <v>4</v>
      </c>
      <c r="Q33">
        <v>5</v>
      </c>
    </row>
    <row r="34" spans="3:17" x14ac:dyDescent="0.35">
      <c r="C34" t="s">
        <v>45</v>
      </c>
      <c r="D34">
        <v>1</v>
      </c>
      <c r="E34">
        <v>0</v>
      </c>
      <c r="F34">
        <v>0</v>
      </c>
      <c r="G34">
        <v>0</v>
      </c>
      <c r="H34">
        <v>0</v>
      </c>
      <c r="I34">
        <v>1</v>
      </c>
      <c r="K34" t="s">
        <v>50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3:17" x14ac:dyDescent="0.35">
      <c r="D35">
        <v>2</v>
      </c>
      <c r="E35">
        <v>0</v>
      </c>
      <c r="F35">
        <v>0</v>
      </c>
      <c r="G35">
        <v>0</v>
      </c>
      <c r="H35">
        <v>0</v>
      </c>
      <c r="I35">
        <v>1</v>
      </c>
      <c r="L35">
        <v>2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3:17" x14ac:dyDescent="0.35">
      <c r="D36">
        <v>3</v>
      </c>
      <c r="E36">
        <v>0.25</v>
      </c>
      <c r="F36">
        <v>0</v>
      </c>
      <c r="G36">
        <v>0.5</v>
      </c>
      <c r="H36">
        <v>0.25</v>
      </c>
      <c r="I36">
        <v>0</v>
      </c>
      <c r="L36">
        <v>3</v>
      </c>
      <c r="M36">
        <v>0</v>
      </c>
      <c r="N36">
        <v>0.5</v>
      </c>
      <c r="O36">
        <v>0.5</v>
      </c>
      <c r="P36">
        <v>0</v>
      </c>
      <c r="Q36">
        <v>0</v>
      </c>
    </row>
    <row r="37" spans="3:17" x14ac:dyDescent="0.35">
      <c r="D37">
        <v>4</v>
      </c>
      <c r="E37">
        <v>0.5</v>
      </c>
      <c r="F37">
        <v>0.5</v>
      </c>
      <c r="G37">
        <v>0</v>
      </c>
      <c r="H37">
        <v>0</v>
      </c>
      <c r="I37">
        <v>0</v>
      </c>
      <c r="L37">
        <v>4</v>
      </c>
      <c r="M37">
        <v>0</v>
      </c>
      <c r="N37">
        <v>0</v>
      </c>
      <c r="O37">
        <v>0</v>
      </c>
      <c r="P37">
        <v>0</v>
      </c>
      <c r="Q37">
        <v>1</v>
      </c>
    </row>
    <row r="38" spans="3:17" x14ac:dyDescent="0.35">
      <c r="D38">
        <v>5</v>
      </c>
      <c r="E38">
        <v>0</v>
      </c>
      <c r="F38">
        <v>1</v>
      </c>
      <c r="G38">
        <v>0</v>
      </c>
      <c r="H38">
        <v>0</v>
      </c>
      <c r="I38">
        <v>0</v>
      </c>
      <c r="L38">
        <v>5</v>
      </c>
      <c r="M38">
        <v>0</v>
      </c>
      <c r="N38">
        <v>0</v>
      </c>
      <c r="O38">
        <v>0</v>
      </c>
      <c r="P38">
        <v>0</v>
      </c>
      <c r="Q38">
        <v>1</v>
      </c>
    </row>
  </sheetData>
  <mergeCells count="5">
    <mergeCell ref="AA1:AA2"/>
    <mergeCell ref="AB1:AB2"/>
    <mergeCell ref="AC1:AC2"/>
    <mergeCell ref="AD1:AH1"/>
    <mergeCell ref="AA16:AC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6"/>
  <sheetViews>
    <sheetView workbookViewId="0">
      <selection activeCell="C16" sqref="C16"/>
    </sheetView>
  </sheetViews>
  <sheetFormatPr defaultRowHeight="14.5" x14ac:dyDescent="0.35"/>
  <sheetData>
    <row r="1" spans="1:66" ht="15.5" x14ac:dyDescent="0.35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 ht="15.5" x14ac:dyDescent="0.35">
      <c r="A2" s="2" t="s">
        <v>4</v>
      </c>
      <c r="B2" s="2" t="s">
        <v>0</v>
      </c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</row>
    <row r="3" spans="1:66" ht="15.5" x14ac:dyDescent="0.35">
      <c r="A3" s="2">
        <v>1</v>
      </c>
      <c r="B3" s="5">
        <v>45292</v>
      </c>
      <c r="C3" s="4">
        <v>-0.28000000000000003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</row>
    <row r="4" spans="1:66" ht="15.5" x14ac:dyDescent="0.35">
      <c r="A4" s="2">
        <v>2</v>
      </c>
      <c r="B4" s="5">
        <v>45323</v>
      </c>
      <c r="C4" s="4">
        <v>0.46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</row>
    <row r="5" spans="1:66" ht="15.5" x14ac:dyDescent="0.35">
      <c r="A5" s="2">
        <v>3</v>
      </c>
      <c r="B5" s="5">
        <v>45352</v>
      </c>
      <c r="C5" s="4">
        <v>0.17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</row>
    <row r="6" spans="1:66" ht="15.5" x14ac:dyDescent="0.35">
      <c r="A6" s="2">
        <v>4</v>
      </c>
      <c r="B6" s="5">
        <v>45383</v>
      </c>
      <c r="C6" s="4">
        <v>0.04</v>
      </c>
    </row>
    <row r="7" spans="1:66" ht="15.5" x14ac:dyDescent="0.35">
      <c r="A7" s="2">
        <v>5</v>
      </c>
      <c r="B7" s="5">
        <v>45413</v>
      </c>
      <c r="C7" s="4">
        <v>0.08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66" ht="15.5" x14ac:dyDescent="0.35">
      <c r="A8" s="2">
        <v>6</v>
      </c>
      <c r="B8" s="5">
        <v>45444</v>
      </c>
      <c r="C8" s="4">
        <v>-0.01</v>
      </c>
    </row>
    <row r="9" spans="1:66" ht="15.5" x14ac:dyDescent="0.35">
      <c r="A9" s="2">
        <v>7</v>
      </c>
      <c r="B9" s="5">
        <v>45474</v>
      </c>
      <c r="C9" s="4">
        <v>-0.01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</row>
    <row r="10" spans="1:66" ht="15.5" x14ac:dyDescent="0.35">
      <c r="A10" s="2">
        <v>8</v>
      </c>
      <c r="B10" s="5">
        <v>45505</v>
      </c>
      <c r="C10" s="4">
        <v>0.26</v>
      </c>
    </row>
    <row r="11" spans="1:66" ht="15.5" x14ac:dyDescent="0.35">
      <c r="A11" s="2">
        <v>9</v>
      </c>
      <c r="B11" s="5">
        <v>45536</v>
      </c>
      <c r="C11" s="4">
        <v>0.19</v>
      </c>
    </row>
    <row r="12" spans="1:66" ht="15.5" x14ac:dyDescent="0.35">
      <c r="A12" s="2">
        <v>10</v>
      </c>
      <c r="B12" s="5">
        <v>45566</v>
      </c>
      <c r="C12" s="4">
        <v>0.16</v>
      </c>
    </row>
    <row r="13" spans="1:66" ht="15.5" x14ac:dyDescent="0.35">
      <c r="A13" s="2">
        <v>11</v>
      </c>
      <c r="B13" s="5">
        <v>45597</v>
      </c>
      <c r="C13" s="4">
        <v>0.24</v>
      </c>
    </row>
    <row r="14" spans="1:66" ht="15.5" x14ac:dyDescent="0.35">
      <c r="A14" s="2">
        <v>12</v>
      </c>
      <c r="B14" s="5">
        <v>45627</v>
      </c>
      <c r="C14" s="4">
        <v>0.36</v>
      </c>
    </row>
    <row r="15" spans="1:66" ht="15.5" x14ac:dyDescent="0.35">
      <c r="A15" s="2">
        <v>13</v>
      </c>
      <c r="B15" s="5">
        <v>45658</v>
      </c>
      <c r="C15" s="4">
        <v>-0.99</v>
      </c>
    </row>
    <row r="16" spans="1:66" ht="15.5" x14ac:dyDescent="0.35">
      <c r="A16" s="2">
        <v>14</v>
      </c>
      <c r="B16" s="5">
        <v>45689</v>
      </c>
      <c r="C16" s="4">
        <v>-0.53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HARGA KONSUMEN</vt:lpstr>
      <vt:lpstr>peluang transisi</vt:lpstr>
      <vt:lpstr>INFLASI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2025-03-25T05:47:36Z</dcterms:created>
  <dcterms:modified xsi:type="dcterms:W3CDTF">2025-04-05T08:09:37Z</dcterms:modified>
</cp:coreProperties>
</file>
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KULIAH\ADW 2\"/>
    </mc:Choice>
  </mc:AlternateContent>
  <bookViews>
    <workbookView xWindow="0" yWindow="0" windowWidth="1553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7" i="1" l="1"/>
  <c r="AH11" i="1"/>
  <c r="AJ11" i="1"/>
  <c r="AI16" i="1"/>
  <c r="AI20" i="1"/>
  <c r="Z24" i="1"/>
  <c r="AN27" i="1"/>
  <c r="AO27" i="1"/>
  <c r="AN36" i="1"/>
  <c r="Q44" i="1"/>
  <c r="AM45" i="1"/>
  <c r="AN48" i="1"/>
  <c r="AO51" i="1"/>
  <c r="AP51" i="1"/>
  <c r="Z53" i="1"/>
  <c r="AD56" i="1"/>
  <c r="M51" i="1"/>
  <c r="L51" i="1"/>
  <c r="L32" i="1"/>
  <c r="M19" i="1"/>
  <c r="L19" i="1"/>
  <c r="L12" i="1"/>
  <c r="L11" i="1"/>
  <c r="K53" i="1"/>
  <c r="K52" i="1"/>
  <c r="K29" i="1"/>
  <c r="K28" i="1"/>
  <c r="K19" i="1"/>
  <c r="I11" i="1"/>
  <c r="I12" i="1"/>
  <c r="I21" i="1"/>
  <c r="I43" i="1"/>
  <c r="I44" i="1"/>
  <c r="I53" i="1"/>
  <c r="J12" i="1"/>
  <c r="J21" i="1"/>
  <c r="J29" i="1"/>
  <c r="J37" i="1"/>
  <c r="J45" i="1"/>
  <c r="J53" i="1"/>
  <c r="H8" i="1"/>
  <c r="H16" i="1"/>
  <c r="H24" i="1"/>
  <c r="H32" i="1"/>
  <c r="H40" i="1"/>
  <c r="H48" i="1"/>
  <c r="H56" i="1"/>
  <c r="D3" i="1"/>
  <c r="D4" i="1"/>
  <c r="D5" i="1"/>
  <c r="D6" i="1"/>
  <c r="M6" i="1" s="1"/>
  <c r="D7" i="1"/>
  <c r="L7" i="1" s="1"/>
  <c r="D8" i="1"/>
  <c r="D9" i="1"/>
  <c r="D10" i="1"/>
  <c r="D11" i="1"/>
  <c r="D12" i="1"/>
  <c r="D13" i="1"/>
  <c r="D14" i="1"/>
  <c r="K14" i="1" s="1"/>
  <c r="D15" i="1"/>
  <c r="H15" i="1" s="1"/>
  <c r="D16" i="1"/>
  <c r="D17" i="1"/>
  <c r="D18" i="1"/>
  <c r="D19" i="1"/>
  <c r="D20" i="1"/>
  <c r="D21" i="1"/>
  <c r="D22" i="1"/>
  <c r="I22" i="1" s="1"/>
  <c r="D23" i="1"/>
  <c r="H23" i="1" s="1"/>
  <c r="D24" i="1"/>
  <c r="D25" i="1"/>
  <c r="D26" i="1"/>
  <c r="D27" i="1"/>
  <c r="L27" i="1" s="1"/>
  <c r="D28" i="1"/>
  <c r="D29" i="1"/>
  <c r="D30" i="1"/>
  <c r="J30" i="1" s="1"/>
  <c r="D31" i="1"/>
  <c r="M31" i="1" s="1"/>
  <c r="D32" i="1"/>
  <c r="D33" i="1"/>
  <c r="D34" i="1"/>
  <c r="D35" i="1"/>
  <c r="D36" i="1"/>
  <c r="D37" i="1"/>
  <c r="D38" i="1"/>
  <c r="M38" i="1" s="1"/>
  <c r="D39" i="1"/>
  <c r="AG39" i="1" s="1"/>
  <c r="D40" i="1"/>
  <c r="D41" i="1"/>
  <c r="D42" i="1"/>
  <c r="D43" i="1"/>
  <c r="L43" i="1" s="1"/>
  <c r="D44" i="1"/>
  <c r="D45" i="1"/>
  <c r="D46" i="1"/>
  <c r="J46" i="1" s="1"/>
  <c r="D47" i="1"/>
  <c r="H47" i="1" s="1"/>
  <c r="D48" i="1"/>
  <c r="D49" i="1"/>
  <c r="D50" i="1"/>
  <c r="D51" i="1"/>
  <c r="D52" i="1"/>
  <c r="D53" i="1"/>
  <c r="D54" i="1"/>
  <c r="AA54" i="1" s="1"/>
  <c r="D55" i="1"/>
  <c r="V55" i="1" s="1"/>
  <c r="D56" i="1"/>
  <c r="C4" i="1"/>
  <c r="L4" i="1" s="1"/>
  <c r="C5" i="1"/>
  <c r="K5" i="1" s="1"/>
  <c r="C6" i="1"/>
  <c r="H6" i="1" s="1"/>
  <c r="C7" i="1"/>
  <c r="M7" i="1" s="1"/>
  <c r="C8" i="1"/>
  <c r="J8" i="1" s="1"/>
  <c r="C9" i="1"/>
  <c r="O9" i="1" s="1"/>
  <c r="C10" i="1"/>
  <c r="M10" i="1" s="1"/>
  <c r="C11" i="1"/>
  <c r="H11" i="1" s="1"/>
  <c r="C12" i="1"/>
  <c r="K12" i="1" s="1"/>
  <c r="C13" i="1"/>
  <c r="H13" i="1" s="1"/>
  <c r="C14" i="1"/>
  <c r="M14" i="1" s="1"/>
  <c r="C15" i="1"/>
  <c r="AG15" i="1" s="1"/>
  <c r="C16" i="1"/>
  <c r="C17" i="1"/>
  <c r="C18" i="1"/>
  <c r="M18" i="1" s="1"/>
  <c r="C19" i="1"/>
  <c r="H19" i="1" s="1"/>
  <c r="C20" i="1"/>
  <c r="H20" i="1" s="1"/>
  <c r="C21" i="1"/>
  <c r="K21" i="1" s="1"/>
  <c r="C22" i="1"/>
  <c r="L22" i="1" s="1"/>
  <c r="C23" i="1"/>
  <c r="AF23" i="1" s="1"/>
  <c r="C24" i="1"/>
  <c r="C25" i="1"/>
  <c r="C26" i="1"/>
  <c r="AR26" i="1" s="1"/>
  <c r="C27" i="1"/>
  <c r="I27" i="1" s="1"/>
  <c r="C28" i="1"/>
  <c r="L28" i="1" s="1"/>
  <c r="C29" i="1"/>
  <c r="AH29" i="1" s="1"/>
  <c r="C30" i="1"/>
  <c r="X30" i="1" s="1"/>
  <c r="C31" i="1"/>
  <c r="C32" i="1"/>
  <c r="AG32" i="1" s="1"/>
  <c r="C33" i="1"/>
  <c r="J33" i="1" s="1"/>
  <c r="C34" i="1"/>
  <c r="K34" i="1" s="1"/>
  <c r="C35" i="1"/>
  <c r="Z35" i="1" s="1"/>
  <c r="C36" i="1"/>
  <c r="L36" i="1" s="1"/>
  <c r="C37" i="1"/>
  <c r="H37" i="1" s="1"/>
  <c r="C38" i="1"/>
  <c r="AQ38" i="1" s="1"/>
  <c r="C39" i="1"/>
  <c r="I39" i="1" s="1"/>
  <c r="C40" i="1"/>
  <c r="C41" i="1"/>
  <c r="J41" i="1" s="1"/>
  <c r="C42" i="1"/>
  <c r="H42" i="1" s="1"/>
  <c r="C43" i="1"/>
  <c r="S43" i="1" s="1"/>
  <c r="C44" i="1"/>
  <c r="H44" i="1" s="1"/>
  <c r="C45" i="1"/>
  <c r="P45" i="1" s="1"/>
  <c r="C46" i="1"/>
  <c r="AP46" i="1" s="1"/>
  <c r="C47" i="1"/>
  <c r="C48" i="1"/>
  <c r="Q48" i="1" s="1"/>
  <c r="C49" i="1"/>
  <c r="C50" i="1"/>
  <c r="AK50" i="1" s="1"/>
  <c r="C51" i="1"/>
  <c r="Q51" i="1" s="1"/>
  <c r="C52" i="1"/>
  <c r="AH52" i="1" s="1"/>
  <c r="C53" i="1"/>
  <c r="O53" i="1" s="1"/>
  <c r="C54" i="1"/>
  <c r="Q54" i="1" s="1"/>
  <c r="C55" i="1"/>
  <c r="AG55" i="1" s="1"/>
  <c r="C56" i="1"/>
  <c r="C57" i="1"/>
  <c r="C3" i="1"/>
  <c r="K3" i="1" s="1"/>
  <c r="I57" i="1" l="1"/>
  <c r="AT57" i="1"/>
  <c r="T57" i="1"/>
  <c r="AB57" i="1"/>
  <c r="AJ57" i="1"/>
  <c r="AR57" i="1"/>
  <c r="Q57" i="1"/>
  <c r="Z57" i="1"/>
  <c r="AI57" i="1"/>
  <c r="AS57" i="1"/>
  <c r="R57" i="1"/>
  <c r="AA57" i="1"/>
  <c r="AK57" i="1"/>
  <c r="L57" i="1"/>
  <c r="S57" i="1"/>
  <c r="AC57" i="1"/>
  <c r="AL57" i="1"/>
  <c r="AY57" i="1"/>
  <c r="BF17" i="1"/>
  <c r="BG17" i="1"/>
  <c r="BA17" i="1"/>
  <c r="BH17" i="1"/>
  <c r="AT17" i="1"/>
  <c r="BB17" i="1"/>
  <c r="AU17" i="1"/>
  <c r="BC17" i="1"/>
  <c r="BE17" i="1"/>
  <c r="AZ17" i="1"/>
  <c r="BI17" i="1"/>
  <c r="BD17" i="1"/>
  <c r="AY17" i="1"/>
  <c r="U17" i="1"/>
  <c r="AC17" i="1"/>
  <c r="AK17" i="1"/>
  <c r="AS17" i="1"/>
  <c r="N17" i="1"/>
  <c r="V17" i="1"/>
  <c r="AD17" i="1"/>
  <c r="AL17" i="1"/>
  <c r="O17" i="1"/>
  <c r="W17" i="1"/>
  <c r="AE17" i="1"/>
  <c r="AM17" i="1"/>
  <c r="R17" i="1"/>
  <c r="AF17" i="1"/>
  <c r="AQ17" i="1"/>
  <c r="T17" i="1"/>
  <c r="AH17" i="1"/>
  <c r="AW17" i="1"/>
  <c r="Y17" i="1"/>
  <c r="AJ17" i="1"/>
  <c r="AG17" i="1"/>
  <c r="P17" i="1"/>
  <c r="AI17" i="1"/>
  <c r="X17" i="1"/>
  <c r="AP17" i="1"/>
  <c r="S17" i="1"/>
  <c r="M17" i="1"/>
  <c r="Z17" i="1"/>
  <c r="L17" i="1"/>
  <c r="I17" i="1"/>
  <c r="AA17" i="1"/>
  <c r="AV17" i="1"/>
  <c r="AB17" i="1"/>
  <c r="AR17" i="1"/>
  <c r="Q17" i="1"/>
  <c r="K9" i="1"/>
  <c r="L39" i="1"/>
  <c r="Y50" i="1"/>
  <c r="X47" i="1"/>
  <c r="AR33" i="1"/>
  <c r="BD56" i="1"/>
  <c r="BE56" i="1"/>
  <c r="BF56" i="1"/>
  <c r="BI56" i="1"/>
  <c r="AY56" i="1"/>
  <c r="AZ56" i="1"/>
  <c r="BG56" i="1"/>
  <c r="BA56" i="1"/>
  <c r="BH56" i="1"/>
  <c r="AT56" i="1"/>
  <c r="BB56" i="1"/>
  <c r="AX56" i="1"/>
  <c r="AU56" i="1"/>
  <c r="AV56" i="1"/>
  <c r="BC56" i="1"/>
  <c r="T56" i="1"/>
  <c r="AB56" i="1"/>
  <c r="AJ56" i="1"/>
  <c r="AR56" i="1"/>
  <c r="AW56" i="1"/>
  <c r="V56" i="1"/>
  <c r="AE56" i="1"/>
  <c r="AN56" i="1"/>
  <c r="K56" i="1"/>
  <c r="I56" i="1"/>
  <c r="N56" i="1"/>
  <c r="W56" i="1"/>
  <c r="AF56" i="1"/>
  <c r="AO56" i="1"/>
  <c r="O56" i="1"/>
  <c r="X56" i="1"/>
  <c r="AG56" i="1"/>
  <c r="AP56" i="1"/>
  <c r="M56" i="1"/>
  <c r="P56" i="1"/>
  <c r="Y56" i="1"/>
  <c r="U56" i="1"/>
  <c r="BD16" i="1"/>
  <c r="AU16" i="1"/>
  <c r="BC16" i="1"/>
  <c r="BE16" i="1"/>
  <c r="AV16" i="1"/>
  <c r="BF16" i="1"/>
  <c r="AW16" i="1"/>
  <c r="AY16" i="1"/>
  <c r="AZ16" i="1"/>
  <c r="BA16" i="1"/>
  <c r="BB16" i="1"/>
  <c r="BI16" i="1"/>
  <c r="U16" i="1"/>
  <c r="AC16" i="1"/>
  <c r="AK16" i="1"/>
  <c r="AS16" i="1"/>
  <c r="AT16" i="1"/>
  <c r="N16" i="1"/>
  <c r="V16" i="1"/>
  <c r="AD16" i="1"/>
  <c r="AL16" i="1"/>
  <c r="AX16" i="1"/>
  <c r="O16" i="1"/>
  <c r="W16" i="1"/>
  <c r="AE16" i="1"/>
  <c r="AM16" i="1"/>
  <c r="Y16" i="1"/>
  <c r="AJ16" i="1"/>
  <c r="P16" i="1"/>
  <c r="AA16" i="1"/>
  <c r="AO16" i="1"/>
  <c r="BH16" i="1"/>
  <c r="R16" i="1"/>
  <c r="AF16" i="1"/>
  <c r="AQ16" i="1"/>
  <c r="X16" i="1"/>
  <c r="AR16" i="1"/>
  <c r="Z16" i="1"/>
  <c r="BG16" i="1"/>
  <c r="AH16" i="1"/>
  <c r="S16" i="1"/>
  <c r="K16" i="1"/>
  <c r="I16" i="1"/>
  <c r="T16" i="1"/>
  <c r="AB16" i="1"/>
  <c r="M16" i="1"/>
  <c r="AG16" i="1"/>
  <c r="AP16" i="1"/>
  <c r="Q16" i="1"/>
  <c r="H54" i="1"/>
  <c r="H46" i="1"/>
  <c r="H38" i="1"/>
  <c r="H30" i="1"/>
  <c r="H22" i="1"/>
  <c r="H14" i="1"/>
  <c r="J52" i="1"/>
  <c r="J44" i="1"/>
  <c r="J36" i="1"/>
  <c r="J28" i="1"/>
  <c r="J20" i="1"/>
  <c r="I52" i="1"/>
  <c r="I42" i="1"/>
  <c r="I30" i="1"/>
  <c r="I20" i="1"/>
  <c r="I10" i="1"/>
  <c r="K10" i="1"/>
  <c r="K20" i="1"/>
  <c r="K30" i="1"/>
  <c r="K43" i="1"/>
  <c r="K57" i="1"/>
  <c r="L20" i="1"/>
  <c r="L34" i="1"/>
  <c r="M39" i="1"/>
  <c r="M46" i="1"/>
  <c r="L52" i="1"/>
  <c r="AO57" i="1"/>
  <c r="Y57" i="1"/>
  <c r="AS56" i="1"/>
  <c r="AC56" i="1"/>
  <c r="AN55" i="1"/>
  <c r="N55" i="1"/>
  <c r="R54" i="1"/>
  <c r="P53" i="1"/>
  <c r="AE51" i="1"/>
  <c r="O50" i="1"/>
  <c r="AC48" i="1"/>
  <c r="AS46" i="1"/>
  <c r="AA45" i="1"/>
  <c r="AK43" i="1"/>
  <c r="AG41" i="1"/>
  <c r="AS38" i="1"/>
  <c r="V36" i="1"/>
  <c r="X33" i="1"/>
  <c r="Z30" i="1"/>
  <c r="P27" i="1"/>
  <c r="AP19" i="1"/>
  <c r="AO15" i="1"/>
  <c r="Y10" i="1"/>
  <c r="AR4" i="1"/>
  <c r="AY18" i="1"/>
  <c r="BG49" i="1"/>
  <c r="BH49" i="1"/>
  <c r="AW49" i="1"/>
  <c r="AX49" i="1"/>
  <c r="AY49" i="1"/>
  <c r="BI49" i="1"/>
  <c r="BD49" i="1"/>
  <c r="AZ49" i="1"/>
  <c r="AT49" i="1"/>
  <c r="BE49" i="1"/>
  <c r="AV49" i="1"/>
  <c r="BF49" i="1"/>
  <c r="BA49" i="1"/>
  <c r="BB49" i="1"/>
  <c r="T49" i="1"/>
  <c r="AB49" i="1"/>
  <c r="AJ49" i="1"/>
  <c r="AR49" i="1"/>
  <c r="BC49" i="1"/>
  <c r="N49" i="1"/>
  <c r="V49" i="1"/>
  <c r="AD49" i="1"/>
  <c r="AL49" i="1"/>
  <c r="W49" i="1"/>
  <c r="AG49" i="1"/>
  <c r="AQ49" i="1"/>
  <c r="O49" i="1"/>
  <c r="Z49" i="1"/>
  <c r="AM49" i="1"/>
  <c r="M49" i="1"/>
  <c r="AU49" i="1"/>
  <c r="P49" i="1"/>
  <c r="AA49" i="1"/>
  <c r="AN49" i="1"/>
  <c r="L49" i="1"/>
  <c r="I49" i="1"/>
  <c r="Q49" i="1"/>
  <c r="AC49" i="1"/>
  <c r="AO49" i="1"/>
  <c r="R49" i="1"/>
  <c r="AE49" i="1"/>
  <c r="AP49" i="1"/>
  <c r="X49" i="1"/>
  <c r="AI49" i="1"/>
  <c r="Y49" i="1"/>
  <c r="AK49" i="1"/>
  <c r="H31" i="1"/>
  <c r="H7" i="1"/>
  <c r="AP57" i="1"/>
  <c r="N57" i="1"/>
  <c r="AO55" i="1"/>
  <c r="AZ31" i="1"/>
  <c r="BD40" i="1"/>
  <c r="BE40" i="1"/>
  <c r="BF40" i="1"/>
  <c r="BI40" i="1"/>
  <c r="BG40" i="1"/>
  <c r="AY40" i="1"/>
  <c r="BH40" i="1"/>
  <c r="AZ40" i="1"/>
  <c r="BA40" i="1"/>
  <c r="AT40" i="1"/>
  <c r="BB40" i="1"/>
  <c r="AX40" i="1"/>
  <c r="BC40" i="1"/>
  <c r="AU40" i="1"/>
  <c r="T40" i="1"/>
  <c r="AB40" i="1"/>
  <c r="AJ40" i="1"/>
  <c r="AR40" i="1"/>
  <c r="N40" i="1"/>
  <c r="V40" i="1"/>
  <c r="AD40" i="1"/>
  <c r="AL40" i="1"/>
  <c r="P40" i="1"/>
  <c r="X40" i="1"/>
  <c r="AF40" i="1"/>
  <c r="AN40" i="1"/>
  <c r="U40" i="1"/>
  <c r="AH40" i="1"/>
  <c r="W40" i="1"/>
  <c r="AI40" i="1"/>
  <c r="AW40" i="1"/>
  <c r="O40" i="1"/>
  <c r="AA40" i="1"/>
  <c r="AO40" i="1"/>
  <c r="AE40" i="1"/>
  <c r="K40" i="1"/>
  <c r="I40" i="1"/>
  <c r="AV40" i="1"/>
  <c r="AG40" i="1"/>
  <c r="Q40" i="1"/>
  <c r="AK40" i="1"/>
  <c r="M40" i="1"/>
  <c r="R40" i="1"/>
  <c r="AM40" i="1"/>
  <c r="Z40" i="1"/>
  <c r="AS40" i="1"/>
  <c r="AC40" i="1"/>
  <c r="BD24" i="1"/>
  <c r="BE24" i="1"/>
  <c r="AV24" i="1"/>
  <c r="BF24" i="1"/>
  <c r="AW24" i="1"/>
  <c r="BI24" i="1"/>
  <c r="AU24" i="1"/>
  <c r="BG24" i="1"/>
  <c r="AX24" i="1"/>
  <c r="BH24" i="1"/>
  <c r="AY24" i="1"/>
  <c r="AZ24" i="1"/>
  <c r="AT24" i="1"/>
  <c r="BA24" i="1"/>
  <c r="BB24" i="1"/>
  <c r="U24" i="1"/>
  <c r="AC24" i="1"/>
  <c r="AK24" i="1"/>
  <c r="AS24" i="1"/>
  <c r="N24" i="1"/>
  <c r="V24" i="1"/>
  <c r="AD24" i="1"/>
  <c r="AL24" i="1"/>
  <c r="W24" i="1"/>
  <c r="AG24" i="1"/>
  <c r="AQ24" i="1"/>
  <c r="O24" i="1"/>
  <c r="Y24" i="1"/>
  <c r="AI24" i="1"/>
  <c r="Q24" i="1"/>
  <c r="AA24" i="1"/>
  <c r="AM24" i="1"/>
  <c r="S24" i="1"/>
  <c r="AJ24" i="1"/>
  <c r="T24" i="1"/>
  <c r="AN24" i="1"/>
  <c r="AB24" i="1"/>
  <c r="AR24" i="1"/>
  <c r="BC24" i="1"/>
  <c r="AO24" i="1"/>
  <c r="K24" i="1"/>
  <c r="I24" i="1"/>
  <c r="P24" i="1"/>
  <c r="AP24" i="1"/>
  <c r="R24" i="1"/>
  <c r="M24" i="1"/>
  <c r="X24" i="1"/>
  <c r="AF24" i="1"/>
  <c r="AH24" i="1"/>
  <c r="BD8" i="1"/>
  <c r="AU8" i="1"/>
  <c r="BC8" i="1"/>
  <c r="BE8" i="1"/>
  <c r="AV8" i="1"/>
  <c r="BF8" i="1"/>
  <c r="AW8" i="1"/>
  <c r="BI8" i="1"/>
  <c r="BA8" i="1"/>
  <c r="BG8" i="1"/>
  <c r="BB8" i="1"/>
  <c r="BH8" i="1"/>
  <c r="S8" i="1"/>
  <c r="AA8" i="1"/>
  <c r="AI8" i="1"/>
  <c r="AQ8" i="1"/>
  <c r="AT8" i="1"/>
  <c r="AX8" i="1"/>
  <c r="U8" i="1"/>
  <c r="AC8" i="1"/>
  <c r="AK8" i="1"/>
  <c r="AS8" i="1"/>
  <c r="Q8" i="1"/>
  <c r="AB8" i="1"/>
  <c r="AM8" i="1"/>
  <c r="R8" i="1"/>
  <c r="AD8" i="1"/>
  <c r="AN8" i="1"/>
  <c r="AY8" i="1"/>
  <c r="T8" i="1"/>
  <c r="AE8" i="1"/>
  <c r="AO8" i="1"/>
  <c r="O8" i="1"/>
  <c r="AG8" i="1"/>
  <c r="V8" i="1"/>
  <c r="AJ8" i="1"/>
  <c r="X8" i="1"/>
  <c r="AP8" i="1"/>
  <c r="N8" i="1"/>
  <c r="AR8" i="1"/>
  <c r="P8" i="1"/>
  <c r="Z8" i="1"/>
  <c r="AZ8" i="1"/>
  <c r="W8" i="1"/>
  <c r="K8" i="1"/>
  <c r="I8" i="1"/>
  <c r="Y8" i="1"/>
  <c r="AF8" i="1"/>
  <c r="M8" i="1"/>
  <c r="AH8" i="1"/>
  <c r="BI47" i="1"/>
  <c r="BH47" i="1"/>
  <c r="BA47" i="1"/>
  <c r="AT47" i="1"/>
  <c r="BB47" i="1"/>
  <c r="AU47" i="1"/>
  <c r="BC47" i="1"/>
  <c r="AV47" i="1"/>
  <c r="BD47" i="1"/>
  <c r="AW47" i="1"/>
  <c r="BE47" i="1"/>
  <c r="AX47" i="1"/>
  <c r="AY47" i="1"/>
  <c r="AZ47" i="1"/>
  <c r="T47" i="1"/>
  <c r="AB47" i="1"/>
  <c r="AJ47" i="1"/>
  <c r="AR47" i="1"/>
  <c r="N47" i="1"/>
  <c r="V47" i="1"/>
  <c r="AD47" i="1"/>
  <c r="AL47" i="1"/>
  <c r="BG47" i="1"/>
  <c r="W47" i="1"/>
  <c r="AG47" i="1"/>
  <c r="AQ47" i="1"/>
  <c r="Q47" i="1"/>
  <c r="AC47" i="1"/>
  <c r="AO47" i="1"/>
  <c r="R47" i="1"/>
  <c r="AE47" i="1"/>
  <c r="AP47" i="1"/>
  <c r="K47" i="1"/>
  <c r="S47" i="1"/>
  <c r="AF47" i="1"/>
  <c r="AS47" i="1"/>
  <c r="BF47" i="1"/>
  <c r="U47" i="1"/>
  <c r="AH47" i="1"/>
  <c r="O47" i="1"/>
  <c r="Z47" i="1"/>
  <c r="AM47" i="1"/>
  <c r="P47" i="1"/>
  <c r="AA47" i="1"/>
  <c r="AN47" i="1"/>
  <c r="BI23" i="1"/>
  <c r="BH23" i="1"/>
  <c r="AX23" i="1"/>
  <c r="AY23" i="1"/>
  <c r="BG23" i="1"/>
  <c r="AU23" i="1"/>
  <c r="AV23" i="1"/>
  <c r="AW23" i="1"/>
  <c r="AZ23" i="1"/>
  <c r="BF23" i="1"/>
  <c r="BD23" i="1"/>
  <c r="U23" i="1"/>
  <c r="AC23" i="1"/>
  <c r="AK23" i="1"/>
  <c r="AS23" i="1"/>
  <c r="BE23" i="1"/>
  <c r="AT23" i="1"/>
  <c r="N23" i="1"/>
  <c r="V23" i="1"/>
  <c r="AD23" i="1"/>
  <c r="AL23" i="1"/>
  <c r="BA23" i="1"/>
  <c r="W23" i="1"/>
  <c r="AG23" i="1"/>
  <c r="AQ23" i="1"/>
  <c r="O23" i="1"/>
  <c r="Y23" i="1"/>
  <c r="AI23" i="1"/>
  <c r="Q23" i="1"/>
  <c r="AA23" i="1"/>
  <c r="AM23" i="1"/>
  <c r="R23" i="1"/>
  <c r="AH23" i="1"/>
  <c r="S23" i="1"/>
  <c r="AJ23" i="1"/>
  <c r="BC23" i="1"/>
  <c r="Z23" i="1"/>
  <c r="AP23" i="1"/>
  <c r="P23" i="1"/>
  <c r="AR23" i="1"/>
  <c r="T23" i="1"/>
  <c r="K23" i="1"/>
  <c r="X23" i="1"/>
  <c r="AB23" i="1"/>
  <c r="AN23" i="1"/>
  <c r="BB23" i="1"/>
  <c r="AO23" i="1"/>
  <c r="BI7" i="1"/>
  <c r="BH7" i="1"/>
  <c r="AW7" i="1"/>
  <c r="AX7" i="1"/>
  <c r="AY7" i="1"/>
  <c r="BG7" i="1"/>
  <c r="AZ7" i="1"/>
  <c r="BA7" i="1"/>
  <c r="BB7" i="1"/>
  <c r="BC7" i="1"/>
  <c r="AV7" i="1"/>
  <c r="S7" i="1"/>
  <c r="AA7" i="1"/>
  <c r="AI7" i="1"/>
  <c r="AQ7" i="1"/>
  <c r="BD7" i="1"/>
  <c r="U7" i="1"/>
  <c r="AC7" i="1"/>
  <c r="AK7" i="1"/>
  <c r="AS7" i="1"/>
  <c r="AT7" i="1"/>
  <c r="Q7" i="1"/>
  <c r="AB7" i="1"/>
  <c r="AM7" i="1"/>
  <c r="AU7" i="1"/>
  <c r="R7" i="1"/>
  <c r="AD7" i="1"/>
  <c r="AN7" i="1"/>
  <c r="T7" i="1"/>
  <c r="AE7" i="1"/>
  <c r="AO7" i="1"/>
  <c r="N7" i="1"/>
  <c r="AF7" i="1"/>
  <c r="P7" i="1"/>
  <c r="AH7" i="1"/>
  <c r="W7" i="1"/>
  <c r="AL7" i="1"/>
  <c r="V7" i="1"/>
  <c r="BE7" i="1"/>
  <c r="X7" i="1"/>
  <c r="AG7" i="1"/>
  <c r="K7" i="1"/>
  <c r="BF7" i="1"/>
  <c r="O7" i="1"/>
  <c r="Y7" i="1"/>
  <c r="AP7" i="1"/>
  <c r="AR7" i="1"/>
  <c r="H53" i="1"/>
  <c r="H45" i="1"/>
  <c r="H29" i="1"/>
  <c r="H21" i="1"/>
  <c r="H5" i="1"/>
  <c r="J51" i="1"/>
  <c r="J43" i="1"/>
  <c r="J35" i="1"/>
  <c r="J27" i="1"/>
  <c r="J17" i="1"/>
  <c r="J7" i="1"/>
  <c r="I51" i="1"/>
  <c r="I29" i="1"/>
  <c r="I19" i="1"/>
  <c r="I7" i="1"/>
  <c r="K11" i="1"/>
  <c r="K33" i="1"/>
  <c r="K44" i="1"/>
  <c r="L8" i="1"/>
  <c r="L15" i="1"/>
  <c r="M27" i="1"/>
  <c r="M34" i="1"/>
  <c r="L40" i="1"/>
  <c r="L47" i="1"/>
  <c r="L54" i="1"/>
  <c r="AN57" i="1"/>
  <c r="X57" i="1"/>
  <c r="AQ56" i="1"/>
  <c r="AA56" i="1"/>
  <c r="AS54" i="1"/>
  <c r="AC51" i="1"/>
  <c r="AS49" i="1"/>
  <c r="AA48" i="1"/>
  <c r="Z45" i="1"/>
  <c r="AI43" i="1"/>
  <c r="AE41" i="1"/>
  <c r="R36" i="1"/>
  <c r="S33" i="1"/>
  <c r="AE23" i="1"/>
  <c r="AN19" i="1"/>
  <c r="W10" i="1"/>
  <c r="AD4" i="1"/>
  <c r="AX17" i="1"/>
  <c r="BD3" i="1"/>
  <c r="BE3" i="1"/>
  <c r="AW3" i="1"/>
  <c r="BF3" i="1"/>
  <c r="AX3" i="1"/>
  <c r="BG3" i="1"/>
  <c r="AY3" i="1"/>
  <c r="BA3" i="1"/>
  <c r="P3" i="1"/>
  <c r="X3" i="1"/>
  <c r="AF3" i="1"/>
  <c r="AN3" i="1"/>
  <c r="BI3" i="1"/>
  <c r="BB3" i="1"/>
  <c r="Q3" i="1"/>
  <c r="Y3" i="1"/>
  <c r="AG3" i="1"/>
  <c r="AO3" i="1"/>
  <c r="BC3" i="1"/>
  <c r="R3" i="1"/>
  <c r="Z3" i="1"/>
  <c r="AH3" i="1"/>
  <c r="AP3" i="1"/>
  <c r="O3" i="1"/>
  <c r="S3" i="1"/>
  <c r="AA3" i="1"/>
  <c r="AI3" i="1"/>
  <c r="AQ3" i="1"/>
  <c r="W3" i="1"/>
  <c r="AM3" i="1"/>
  <c r="AT3" i="1"/>
  <c r="AU3" i="1"/>
  <c r="AC3" i="1"/>
  <c r="AS3" i="1"/>
  <c r="L3" i="1"/>
  <c r="AV3" i="1"/>
  <c r="U3" i="1"/>
  <c r="AR3" i="1"/>
  <c r="BH3" i="1"/>
  <c r="AZ3" i="1"/>
  <c r="V3" i="1"/>
  <c r="AB3" i="1"/>
  <c r="AJ3" i="1"/>
  <c r="AL3" i="1"/>
  <c r="N3" i="1"/>
  <c r="AD3" i="1"/>
  <c r="T3" i="1"/>
  <c r="AE3" i="1"/>
  <c r="I3" i="1"/>
  <c r="AK3" i="1"/>
  <c r="AZ26" i="1"/>
  <c r="BD26" i="1"/>
  <c r="BA26" i="1"/>
  <c r="BH26" i="1"/>
  <c r="AW26" i="1"/>
  <c r="AX26" i="1"/>
  <c r="AY26" i="1"/>
  <c r="BB26" i="1"/>
  <c r="AV26" i="1"/>
  <c r="BC26" i="1"/>
  <c r="BE26" i="1"/>
  <c r="AT26" i="1"/>
  <c r="U26" i="1"/>
  <c r="AC26" i="1"/>
  <c r="AK26" i="1"/>
  <c r="AS26" i="1"/>
  <c r="AU26" i="1"/>
  <c r="N26" i="1"/>
  <c r="V26" i="1"/>
  <c r="AD26" i="1"/>
  <c r="AL26" i="1"/>
  <c r="BF26" i="1"/>
  <c r="BG26" i="1"/>
  <c r="W26" i="1"/>
  <c r="AG26" i="1"/>
  <c r="AQ26" i="1"/>
  <c r="O26" i="1"/>
  <c r="Y26" i="1"/>
  <c r="AI26" i="1"/>
  <c r="Q26" i="1"/>
  <c r="AA26" i="1"/>
  <c r="AM26" i="1"/>
  <c r="X26" i="1"/>
  <c r="AO26" i="1"/>
  <c r="Z26" i="1"/>
  <c r="AP26" i="1"/>
  <c r="P26" i="1"/>
  <c r="AF26" i="1"/>
  <c r="AE26" i="1"/>
  <c r="BI26" i="1"/>
  <c r="AH26" i="1"/>
  <c r="AJ26" i="1"/>
  <c r="AN26" i="1"/>
  <c r="T26" i="1"/>
  <c r="AB26" i="1"/>
  <c r="L14" i="1"/>
  <c r="L46" i="1"/>
  <c r="Z54" i="1"/>
  <c r="BI55" i="1"/>
  <c r="BG55" i="1"/>
  <c r="BA55" i="1"/>
  <c r="BH55" i="1"/>
  <c r="AT55" i="1"/>
  <c r="BB55" i="1"/>
  <c r="AU55" i="1"/>
  <c r="BC55" i="1"/>
  <c r="AV55" i="1"/>
  <c r="BF55" i="1"/>
  <c r="AX55" i="1"/>
  <c r="AZ55" i="1"/>
  <c r="AY55" i="1"/>
  <c r="BD55" i="1"/>
  <c r="AW55" i="1"/>
  <c r="T55" i="1"/>
  <c r="AB55" i="1"/>
  <c r="AJ55" i="1"/>
  <c r="AR55" i="1"/>
  <c r="Q55" i="1"/>
  <c r="Z55" i="1"/>
  <c r="AI55" i="1"/>
  <c r="AS55" i="1"/>
  <c r="R55" i="1"/>
  <c r="AA55" i="1"/>
  <c r="AK55" i="1"/>
  <c r="K55" i="1"/>
  <c r="S55" i="1"/>
  <c r="AC55" i="1"/>
  <c r="AL55" i="1"/>
  <c r="U55" i="1"/>
  <c r="AD55" i="1"/>
  <c r="AM55" i="1"/>
  <c r="P55" i="1"/>
  <c r="Y55" i="1"/>
  <c r="AH55" i="1"/>
  <c r="AQ55" i="1"/>
  <c r="BI39" i="1"/>
  <c r="BA39" i="1"/>
  <c r="AT39" i="1"/>
  <c r="BB39" i="1"/>
  <c r="AU39" i="1"/>
  <c r="BC39" i="1"/>
  <c r="BD39" i="1"/>
  <c r="AV39" i="1"/>
  <c r="BH39" i="1"/>
  <c r="AW39" i="1"/>
  <c r="AX39" i="1"/>
  <c r="BG39" i="1"/>
  <c r="AY39" i="1"/>
  <c r="AZ39" i="1"/>
  <c r="BE39" i="1"/>
  <c r="T39" i="1"/>
  <c r="AB39" i="1"/>
  <c r="AJ39" i="1"/>
  <c r="AR39" i="1"/>
  <c r="N39" i="1"/>
  <c r="V39" i="1"/>
  <c r="AD39" i="1"/>
  <c r="AL39" i="1"/>
  <c r="P39" i="1"/>
  <c r="X39" i="1"/>
  <c r="AF39" i="1"/>
  <c r="AN39" i="1"/>
  <c r="O39" i="1"/>
  <c r="AA39" i="1"/>
  <c r="AO39" i="1"/>
  <c r="Q39" i="1"/>
  <c r="AC39" i="1"/>
  <c r="AP39" i="1"/>
  <c r="U39" i="1"/>
  <c r="AH39" i="1"/>
  <c r="W39" i="1"/>
  <c r="AQ39" i="1"/>
  <c r="BF39" i="1"/>
  <c r="Y39" i="1"/>
  <c r="AS39" i="1"/>
  <c r="K39" i="1"/>
  <c r="Z39" i="1"/>
  <c r="AE39" i="1"/>
  <c r="R39" i="1"/>
  <c r="AK39" i="1"/>
  <c r="S39" i="1"/>
  <c r="AM39" i="1"/>
  <c r="BI31" i="1"/>
  <c r="AX31" i="1"/>
  <c r="AY31" i="1"/>
  <c r="BA31" i="1"/>
  <c r="BB31" i="1"/>
  <c r="BD31" i="1"/>
  <c r="BC31" i="1"/>
  <c r="BE31" i="1"/>
  <c r="AT31" i="1"/>
  <c r="BF31" i="1"/>
  <c r="AU31" i="1"/>
  <c r="BG31" i="1"/>
  <c r="AV31" i="1"/>
  <c r="U31" i="1"/>
  <c r="AC31" i="1"/>
  <c r="AK31" i="1"/>
  <c r="AS31" i="1"/>
  <c r="AW31" i="1"/>
  <c r="P31" i="1"/>
  <c r="Y31" i="1"/>
  <c r="AH31" i="1"/>
  <c r="AQ31" i="1"/>
  <c r="R31" i="1"/>
  <c r="AA31" i="1"/>
  <c r="AJ31" i="1"/>
  <c r="BH31" i="1"/>
  <c r="T31" i="1"/>
  <c r="AD31" i="1"/>
  <c r="AM31" i="1"/>
  <c r="Z31" i="1"/>
  <c r="AO31" i="1"/>
  <c r="N31" i="1"/>
  <c r="AB31" i="1"/>
  <c r="AP31" i="1"/>
  <c r="S31" i="1"/>
  <c r="AG31" i="1"/>
  <c r="X31" i="1"/>
  <c r="AE31" i="1"/>
  <c r="K31" i="1"/>
  <c r="AF31" i="1"/>
  <c r="AI31" i="1"/>
  <c r="V31" i="1"/>
  <c r="AR31" i="1"/>
  <c r="W31" i="1"/>
  <c r="BI15" i="1"/>
  <c r="BH15" i="1"/>
  <c r="AW15" i="1"/>
  <c r="AX15" i="1"/>
  <c r="AY15" i="1"/>
  <c r="AU15" i="1"/>
  <c r="BD15" i="1"/>
  <c r="AV15" i="1"/>
  <c r="BE15" i="1"/>
  <c r="AZ15" i="1"/>
  <c r="BF15" i="1"/>
  <c r="BA15" i="1"/>
  <c r="AT15" i="1"/>
  <c r="S15" i="1"/>
  <c r="AA15" i="1"/>
  <c r="BB15" i="1"/>
  <c r="BC15" i="1"/>
  <c r="U15" i="1"/>
  <c r="AC15" i="1"/>
  <c r="Q15" i="1"/>
  <c r="AB15" i="1"/>
  <c r="AK15" i="1"/>
  <c r="AS15" i="1"/>
  <c r="R15" i="1"/>
  <c r="AD15" i="1"/>
  <c r="AL15" i="1"/>
  <c r="BG15" i="1"/>
  <c r="T15" i="1"/>
  <c r="AE15" i="1"/>
  <c r="AM15" i="1"/>
  <c r="N15" i="1"/>
  <c r="AF15" i="1"/>
  <c r="AQ15" i="1"/>
  <c r="P15" i="1"/>
  <c r="AH15" i="1"/>
  <c r="W15" i="1"/>
  <c r="AJ15" i="1"/>
  <c r="AI15" i="1"/>
  <c r="AN15" i="1"/>
  <c r="X15" i="1"/>
  <c r="AR15" i="1"/>
  <c r="O15" i="1"/>
  <c r="V15" i="1"/>
  <c r="K15" i="1"/>
  <c r="Y15" i="1"/>
  <c r="Z15" i="1"/>
  <c r="AP15" i="1"/>
  <c r="BI54" i="1"/>
  <c r="BF54" i="1"/>
  <c r="BG54" i="1"/>
  <c r="BH54" i="1"/>
  <c r="AU54" i="1"/>
  <c r="BC54" i="1"/>
  <c r="AV54" i="1"/>
  <c r="AW54" i="1"/>
  <c r="BD54" i="1"/>
  <c r="AX54" i="1"/>
  <c r="BB54" i="1"/>
  <c r="AT54" i="1"/>
  <c r="T54" i="1"/>
  <c r="AY54" i="1"/>
  <c r="S54" i="1"/>
  <c r="AB54" i="1"/>
  <c r="AJ54" i="1"/>
  <c r="AR54" i="1"/>
  <c r="V54" i="1"/>
  <c r="AE54" i="1"/>
  <c r="AN54" i="1"/>
  <c r="W54" i="1"/>
  <c r="AF54" i="1"/>
  <c r="AO54" i="1"/>
  <c r="N54" i="1"/>
  <c r="X54" i="1"/>
  <c r="AG54" i="1"/>
  <c r="AP54" i="1"/>
  <c r="K54" i="1"/>
  <c r="O54" i="1"/>
  <c r="Y54" i="1"/>
  <c r="AH54" i="1"/>
  <c r="AQ54" i="1"/>
  <c r="BA54" i="1"/>
  <c r="U54" i="1"/>
  <c r="AD54" i="1"/>
  <c r="AM54" i="1"/>
  <c r="BI46" i="1"/>
  <c r="BF46" i="1"/>
  <c r="BG46" i="1"/>
  <c r="BH46" i="1"/>
  <c r="AU46" i="1"/>
  <c r="BC46" i="1"/>
  <c r="AV46" i="1"/>
  <c r="BD46" i="1"/>
  <c r="AW46" i="1"/>
  <c r="BE46" i="1"/>
  <c r="AX46" i="1"/>
  <c r="BB46" i="1"/>
  <c r="BA46" i="1"/>
  <c r="T46" i="1"/>
  <c r="AB46" i="1"/>
  <c r="AJ46" i="1"/>
  <c r="AR46" i="1"/>
  <c r="AT46" i="1"/>
  <c r="N46" i="1"/>
  <c r="V46" i="1"/>
  <c r="AD46" i="1"/>
  <c r="AL46" i="1"/>
  <c r="AZ46" i="1"/>
  <c r="W46" i="1"/>
  <c r="AG46" i="1"/>
  <c r="AQ46" i="1"/>
  <c r="Y46" i="1"/>
  <c r="AK46" i="1"/>
  <c r="O46" i="1"/>
  <c r="Z46" i="1"/>
  <c r="AM46" i="1"/>
  <c r="P46" i="1"/>
  <c r="AA46" i="1"/>
  <c r="AN46" i="1"/>
  <c r="K46" i="1"/>
  <c r="Q46" i="1"/>
  <c r="AC46" i="1"/>
  <c r="AO46" i="1"/>
  <c r="AY46" i="1"/>
  <c r="U46" i="1"/>
  <c r="AH46" i="1"/>
  <c r="X46" i="1"/>
  <c r="AI46" i="1"/>
  <c r="BI38" i="1"/>
  <c r="BF38" i="1"/>
  <c r="BG38" i="1"/>
  <c r="BH38" i="1"/>
  <c r="AU38" i="1"/>
  <c r="BC38" i="1"/>
  <c r="BD38" i="1"/>
  <c r="AV38" i="1"/>
  <c r="BE38" i="1"/>
  <c r="AW38" i="1"/>
  <c r="AX38" i="1"/>
  <c r="BB38" i="1"/>
  <c r="T38" i="1"/>
  <c r="AB38" i="1"/>
  <c r="AJ38" i="1"/>
  <c r="AR38" i="1"/>
  <c r="AT38" i="1"/>
  <c r="N38" i="1"/>
  <c r="V38" i="1"/>
  <c r="AD38" i="1"/>
  <c r="AL38" i="1"/>
  <c r="AZ38" i="1"/>
  <c r="P38" i="1"/>
  <c r="X38" i="1"/>
  <c r="AF38" i="1"/>
  <c r="AN38" i="1"/>
  <c r="U38" i="1"/>
  <c r="AH38" i="1"/>
  <c r="AY38" i="1"/>
  <c r="W38" i="1"/>
  <c r="AI38" i="1"/>
  <c r="O38" i="1"/>
  <c r="AA38" i="1"/>
  <c r="AO38" i="1"/>
  <c r="BA38" i="1"/>
  <c r="AG38" i="1"/>
  <c r="Q38" i="1"/>
  <c r="AK38" i="1"/>
  <c r="R38" i="1"/>
  <c r="AM38" i="1"/>
  <c r="K38" i="1"/>
  <c r="S38" i="1"/>
  <c r="AP38" i="1"/>
  <c r="AC38" i="1"/>
  <c r="AE38" i="1"/>
  <c r="BI30" i="1"/>
  <c r="BF30" i="1"/>
  <c r="BG30" i="1"/>
  <c r="AZ30" i="1"/>
  <c r="BH30" i="1"/>
  <c r="BA30" i="1"/>
  <c r="BD30" i="1"/>
  <c r="AY30" i="1"/>
  <c r="BE30" i="1"/>
  <c r="BB30" i="1"/>
  <c r="BC30" i="1"/>
  <c r="AT30" i="1"/>
  <c r="AX30" i="1"/>
  <c r="U30" i="1"/>
  <c r="AC30" i="1"/>
  <c r="AK30" i="1"/>
  <c r="AS30" i="1"/>
  <c r="AU30" i="1"/>
  <c r="AV30" i="1"/>
  <c r="T30" i="1"/>
  <c r="AD30" i="1"/>
  <c r="AM30" i="1"/>
  <c r="N30" i="1"/>
  <c r="W30" i="1"/>
  <c r="AF30" i="1"/>
  <c r="AO30" i="1"/>
  <c r="P30" i="1"/>
  <c r="Y30" i="1"/>
  <c r="AH30" i="1"/>
  <c r="AQ30" i="1"/>
  <c r="O30" i="1"/>
  <c r="AB30" i="1"/>
  <c r="AR30" i="1"/>
  <c r="Q30" i="1"/>
  <c r="AE30" i="1"/>
  <c r="V30" i="1"/>
  <c r="AJ30" i="1"/>
  <c r="AI30" i="1"/>
  <c r="AL30" i="1"/>
  <c r="R30" i="1"/>
  <c r="AN30" i="1"/>
  <c r="AW30" i="1"/>
  <c r="S30" i="1"/>
  <c r="AP30" i="1"/>
  <c r="AA30" i="1"/>
  <c r="AG30" i="1"/>
  <c r="BE22" i="1"/>
  <c r="BI22" i="1"/>
  <c r="BF22" i="1"/>
  <c r="BG22" i="1"/>
  <c r="AZ22" i="1"/>
  <c r="BH22" i="1"/>
  <c r="BA22" i="1"/>
  <c r="AU22" i="1"/>
  <c r="AV22" i="1"/>
  <c r="AW22" i="1"/>
  <c r="AX22" i="1"/>
  <c r="AT22" i="1"/>
  <c r="AY22" i="1"/>
  <c r="BB22" i="1"/>
  <c r="BC22" i="1"/>
  <c r="U22" i="1"/>
  <c r="AC22" i="1"/>
  <c r="AK22" i="1"/>
  <c r="AS22" i="1"/>
  <c r="N22" i="1"/>
  <c r="V22" i="1"/>
  <c r="AD22" i="1"/>
  <c r="AL22" i="1"/>
  <c r="W22" i="1"/>
  <c r="AG22" i="1"/>
  <c r="AQ22" i="1"/>
  <c r="O22" i="1"/>
  <c r="Y22" i="1"/>
  <c r="AI22" i="1"/>
  <c r="Q22" i="1"/>
  <c r="AA22" i="1"/>
  <c r="AM22" i="1"/>
  <c r="P22" i="1"/>
  <c r="AF22" i="1"/>
  <c r="R22" i="1"/>
  <c r="AH22" i="1"/>
  <c r="X22" i="1"/>
  <c r="AO22" i="1"/>
  <c r="T22" i="1"/>
  <c r="Z22" i="1"/>
  <c r="AB22" i="1"/>
  <c r="AE22" i="1"/>
  <c r="BD22" i="1"/>
  <c r="AP22" i="1"/>
  <c r="S22" i="1"/>
  <c r="AR22" i="1"/>
  <c r="BE14" i="1"/>
  <c r="BI14" i="1"/>
  <c r="BF14" i="1"/>
  <c r="AY14" i="1"/>
  <c r="BG14" i="1"/>
  <c r="AZ14" i="1"/>
  <c r="BH14" i="1"/>
  <c r="BA14" i="1"/>
  <c r="BD14" i="1"/>
  <c r="AT14" i="1"/>
  <c r="AU14" i="1"/>
  <c r="AV14" i="1"/>
  <c r="AW14" i="1"/>
  <c r="S14" i="1"/>
  <c r="AA14" i="1"/>
  <c r="AI14" i="1"/>
  <c r="AQ14" i="1"/>
  <c r="U14" i="1"/>
  <c r="AC14" i="1"/>
  <c r="AK14" i="1"/>
  <c r="AS14" i="1"/>
  <c r="BC14" i="1"/>
  <c r="Q14" i="1"/>
  <c r="AB14" i="1"/>
  <c r="AM14" i="1"/>
  <c r="R14" i="1"/>
  <c r="AD14" i="1"/>
  <c r="AN14" i="1"/>
  <c r="T14" i="1"/>
  <c r="AE14" i="1"/>
  <c r="AO14" i="1"/>
  <c r="Z14" i="1"/>
  <c r="BB14" i="1"/>
  <c r="O14" i="1"/>
  <c r="AG14" i="1"/>
  <c r="V14" i="1"/>
  <c r="AJ14" i="1"/>
  <c r="N14" i="1"/>
  <c r="AP14" i="1"/>
  <c r="P14" i="1"/>
  <c r="AR14" i="1"/>
  <c r="AX14" i="1"/>
  <c r="Y14" i="1"/>
  <c r="W14" i="1"/>
  <c r="AH14" i="1"/>
  <c r="AL14" i="1"/>
  <c r="BE6" i="1"/>
  <c r="BI6" i="1"/>
  <c r="BF6" i="1"/>
  <c r="AY6" i="1"/>
  <c r="BG6" i="1"/>
  <c r="AZ6" i="1"/>
  <c r="BH6" i="1"/>
  <c r="BA6" i="1"/>
  <c r="AV6" i="1"/>
  <c r="AW6" i="1"/>
  <c r="AX6" i="1"/>
  <c r="BB6" i="1"/>
  <c r="S6" i="1"/>
  <c r="AA6" i="1"/>
  <c r="AI6" i="1"/>
  <c r="AQ6" i="1"/>
  <c r="BD6" i="1"/>
  <c r="U6" i="1"/>
  <c r="AC6" i="1"/>
  <c r="AK6" i="1"/>
  <c r="AS6" i="1"/>
  <c r="Q6" i="1"/>
  <c r="AB6" i="1"/>
  <c r="AM6" i="1"/>
  <c r="R6" i="1"/>
  <c r="AD6" i="1"/>
  <c r="AN6" i="1"/>
  <c r="T6" i="1"/>
  <c r="AE6" i="1"/>
  <c r="AO6" i="1"/>
  <c r="BC6" i="1"/>
  <c r="Z6" i="1"/>
  <c r="O6" i="1"/>
  <c r="AG6" i="1"/>
  <c r="V6" i="1"/>
  <c r="AJ6" i="1"/>
  <c r="X6" i="1"/>
  <c r="Y6" i="1"/>
  <c r="AL6" i="1"/>
  <c r="AP6" i="1"/>
  <c r="AR6" i="1"/>
  <c r="N6" i="1"/>
  <c r="AT6" i="1"/>
  <c r="AF6" i="1"/>
  <c r="AU6" i="1"/>
  <c r="AH6" i="1"/>
  <c r="H52" i="1"/>
  <c r="H36" i="1"/>
  <c r="H28" i="1"/>
  <c r="H12" i="1"/>
  <c r="J3" i="1"/>
  <c r="J50" i="1"/>
  <c r="J42" i="1"/>
  <c r="J34" i="1"/>
  <c r="J26" i="1"/>
  <c r="J16" i="1"/>
  <c r="J6" i="1"/>
  <c r="I50" i="1"/>
  <c r="I38" i="1"/>
  <c r="I28" i="1"/>
  <c r="I18" i="1"/>
  <c r="I6" i="1"/>
  <c r="K22" i="1"/>
  <c r="K45" i="1"/>
  <c r="L10" i="1"/>
  <c r="M15" i="1"/>
  <c r="M22" i="1"/>
  <c r="L35" i="1"/>
  <c r="L42" i="1"/>
  <c r="M47" i="1"/>
  <c r="M54" i="1"/>
  <c r="AM57" i="1"/>
  <c r="W57" i="1"/>
  <c r="AM56" i="1"/>
  <c r="Z56" i="1"/>
  <c r="AF55" i="1"/>
  <c r="AL54" i="1"/>
  <c r="P54" i="1"/>
  <c r="AI52" i="1"/>
  <c r="R51" i="1"/>
  <c r="AH49" i="1"/>
  <c r="AF46" i="1"/>
  <c r="U43" i="1"/>
  <c r="AQ40" i="1"/>
  <c r="Z38" i="1"/>
  <c r="AB35" i="1"/>
  <c r="S26" i="1"/>
  <c r="AN22" i="1"/>
  <c r="AN18" i="1"/>
  <c r="AF14" i="1"/>
  <c r="AZ54" i="1"/>
  <c r="BE55" i="1"/>
  <c r="BF25" i="1"/>
  <c r="BG25" i="1"/>
  <c r="BH25" i="1"/>
  <c r="AT25" i="1"/>
  <c r="BB25" i="1"/>
  <c r="AU25" i="1"/>
  <c r="BC25" i="1"/>
  <c r="AW25" i="1"/>
  <c r="AX25" i="1"/>
  <c r="AY25" i="1"/>
  <c r="BD25" i="1"/>
  <c r="AZ25" i="1"/>
  <c r="BI25" i="1"/>
  <c r="BE25" i="1"/>
  <c r="U25" i="1"/>
  <c r="AC25" i="1"/>
  <c r="AK25" i="1"/>
  <c r="AS25" i="1"/>
  <c r="N25" i="1"/>
  <c r="V25" i="1"/>
  <c r="AD25" i="1"/>
  <c r="AL25" i="1"/>
  <c r="AV25" i="1"/>
  <c r="W25" i="1"/>
  <c r="AG25" i="1"/>
  <c r="AQ25" i="1"/>
  <c r="O25" i="1"/>
  <c r="Y25" i="1"/>
  <c r="AI25" i="1"/>
  <c r="Q25" i="1"/>
  <c r="AA25" i="1"/>
  <c r="AM25" i="1"/>
  <c r="T25" i="1"/>
  <c r="AN25" i="1"/>
  <c r="X25" i="1"/>
  <c r="AO25" i="1"/>
  <c r="AE25" i="1"/>
  <c r="AH25" i="1"/>
  <c r="M25" i="1"/>
  <c r="BA25" i="1"/>
  <c r="AJ25" i="1"/>
  <c r="L25" i="1"/>
  <c r="I25" i="1"/>
  <c r="P25" i="1"/>
  <c r="AP25" i="1"/>
  <c r="R25" i="1"/>
  <c r="AR25" i="1"/>
  <c r="AB25" i="1"/>
  <c r="AF25" i="1"/>
  <c r="H39" i="1"/>
  <c r="M26" i="1"/>
  <c r="AD57" i="1"/>
  <c r="P6" i="1"/>
  <c r="BD48" i="1"/>
  <c r="BE48" i="1"/>
  <c r="BF48" i="1"/>
  <c r="AY48" i="1"/>
  <c r="BG48" i="1"/>
  <c r="AZ48" i="1"/>
  <c r="BH48" i="1"/>
  <c r="BA48" i="1"/>
  <c r="AT48" i="1"/>
  <c r="BB48" i="1"/>
  <c r="AX48" i="1"/>
  <c r="BI48" i="1"/>
  <c r="BC48" i="1"/>
  <c r="T48" i="1"/>
  <c r="AB48" i="1"/>
  <c r="AJ48" i="1"/>
  <c r="AR48" i="1"/>
  <c r="N48" i="1"/>
  <c r="V48" i="1"/>
  <c r="AD48" i="1"/>
  <c r="AL48" i="1"/>
  <c r="W48" i="1"/>
  <c r="AG48" i="1"/>
  <c r="AQ48" i="1"/>
  <c r="AU48" i="1"/>
  <c r="AW48" i="1"/>
  <c r="U48" i="1"/>
  <c r="AH48" i="1"/>
  <c r="K48" i="1"/>
  <c r="I48" i="1"/>
  <c r="X48" i="1"/>
  <c r="AI48" i="1"/>
  <c r="Y48" i="1"/>
  <c r="AK48" i="1"/>
  <c r="M48" i="1"/>
  <c r="O48" i="1"/>
  <c r="Z48" i="1"/>
  <c r="AM48" i="1"/>
  <c r="R48" i="1"/>
  <c r="AE48" i="1"/>
  <c r="AP48" i="1"/>
  <c r="AV48" i="1"/>
  <c r="S48" i="1"/>
  <c r="AF48" i="1"/>
  <c r="AS48" i="1"/>
  <c r="BD32" i="1"/>
  <c r="BE32" i="1"/>
  <c r="AV32" i="1"/>
  <c r="BF32" i="1"/>
  <c r="AW32" i="1"/>
  <c r="BH32" i="1"/>
  <c r="BA32" i="1"/>
  <c r="BB32" i="1"/>
  <c r="BC32" i="1"/>
  <c r="AT32" i="1"/>
  <c r="AZ32" i="1"/>
  <c r="BG32" i="1"/>
  <c r="AY32" i="1"/>
  <c r="U32" i="1"/>
  <c r="AC32" i="1"/>
  <c r="AK32" i="1"/>
  <c r="AS32" i="1"/>
  <c r="T32" i="1"/>
  <c r="AD32" i="1"/>
  <c r="AM32" i="1"/>
  <c r="BI32" i="1"/>
  <c r="AU32" i="1"/>
  <c r="N32" i="1"/>
  <c r="W32" i="1"/>
  <c r="AF32" i="1"/>
  <c r="AO32" i="1"/>
  <c r="P32" i="1"/>
  <c r="Y32" i="1"/>
  <c r="AH32" i="1"/>
  <c r="AQ32" i="1"/>
  <c r="X32" i="1"/>
  <c r="AL32" i="1"/>
  <c r="Z32" i="1"/>
  <c r="AN32" i="1"/>
  <c r="AX32" i="1"/>
  <c r="Q32" i="1"/>
  <c r="AE32" i="1"/>
  <c r="R32" i="1"/>
  <c r="AP32" i="1"/>
  <c r="K32" i="1"/>
  <c r="I32" i="1"/>
  <c r="S32" i="1"/>
  <c r="AR32" i="1"/>
  <c r="V32" i="1"/>
  <c r="M32" i="1"/>
  <c r="AA32" i="1"/>
  <c r="AI32" i="1"/>
  <c r="O32" i="1"/>
  <c r="AJ32" i="1"/>
  <c r="BI53" i="1"/>
  <c r="BD53" i="1"/>
  <c r="BE53" i="1"/>
  <c r="BF53" i="1"/>
  <c r="AW53" i="1"/>
  <c r="BG53" i="1"/>
  <c r="AX53" i="1"/>
  <c r="BH53" i="1"/>
  <c r="AY53" i="1"/>
  <c r="AZ53" i="1"/>
  <c r="AV53" i="1"/>
  <c r="BB53" i="1"/>
  <c r="BA53" i="1"/>
  <c r="BC53" i="1"/>
  <c r="T53" i="1"/>
  <c r="AB53" i="1"/>
  <c r="AJ53" i="1"/>
  <c r="AR53" i="1"/>
  <c r="AT53" i="1"/>
  <c r="N53" i="1"/>
  <c r="V53" i="1"/>
  <c r="AD53" i="1"/>
  <c r="W53" i="1"/>
  <c r="AG53" i="1"/>
  <c r="AP53" i="1"/>
  <c r="S53" i="1"/>
  <c r="AF53" i="1"/>
  <c r="AQ53" i="1"/>
  <c r="M53" i="1"/>
  <c r="U53" i="1"/>
  <c r="AH53" i="1"/>
  <c r="AS53" i="1"/>
  <c r="L53" i="1"/>
  <c r="X53" i="1"/>
  <c r="AI53" i="1"/>
  <c r="Y53" i="1"/>
  <c r="AK53" i="1"/>
  <c r="Q53" i="1"/>
  <c r="AC53" i="1"/>
  <c r="R53" i="1"/>
  <c r="AE53" i="1"/>
  <c r="AO53" i="1"/>
  <c r="BI45" i="1"/>
  <c r="BD45" i="1"/>
  <c r="BE45" i="1"/>
  <c r="BG45" i="1"/>
  <c r="AW45" i="1"/>
  <c r="BH45" i="1"/>
  <c r="AX45" i="1"/>
  <c r="AY45" i="1"/>
  <c r="AZ45" i="1"/>
  <c r="BF45" i="1"/>
  <c r="AV45" i="1"/>
  <c r="BA45" i="1"/>
  <c r="BB45" i="1"/>
  <c r="AT45" i="1"/>
  <c r="AU45" i="1"/>
  <c r="T45" i="1"/>
  <c r="AB45" i="1"/>
  <c r="AJ45" i="1"/>
  <c r="AR45" i="1"/>
  <c r="N45" i="1"/>
  <c r="V45" i="1"/>
  <c r="AD45" i="1"/>
  <c r="AL45" i="1"/>
  <c r="W45" i="1"/>
  <c r="AG45" i="1"/>
  <c r="AQ45" i="1"/>
  <c r="S45" i="1"/>
  <c r="AF45" i="1"/>
  <c r="AS45" i="1"/>
  <c r="M45" i="1"/>
  <c r="U45" i="1"/>
  <c r="AH45" i="1"/>
  <c r="L45" i="1"/>
  <c r="X45" i="1"/>
  <c r="AI45" i="1"/>
  <c r="Y45" i="1"/>
  <c r="AK45" i="1"/>
  <c r="Q45" i="1"/>
  <c r="AC45" i="1"/>
  <c r="AO45" i="1"/>
  <c r="R45" i="1"/>
  <c r="AE45" i="1"/>
  <c r="AP45" i="1"/>
  <c r="BI37" i="1"/>
  <c r="BD37" i="1"/>
  <c r="AT37" i="1"/>
  <c r="BB37" i="1"/>
  <c r="BE37" i="1"/>
  <c r="AU37" i="1"/>
  <c r="BC37" i="1"/>
  <c r="BH37" i="1"/>
  <c r="AV37" i="1"/>
  <c r="AW37" i="1"/>
  <c r="AX37" i="1"/>
  <c r="AY37" i="1"/>
  <c r="AZ37" i="1"/>
  <c r="U37" i="1"/>
  <c r="AC37" i="1"/>
  <c r="AK37" i="1"/>
  <c r="AS37" i="1"/>
  <c r="P37" i="1"/>
  <c r="Y37" i="1"/>
  <c r="AH37" i="1"/>
  <c r="AQ37" i="1"/>
  <c r="R37" i="1"/>
  <c r="AA37" i="1"/>
  <c r="AJ37" i="1"/>
  <c r="T37" i="1"/>
  <c r="AD37" i="1"/>
  <c r="AM37" i="1"/>
  <c r="BA37" i="1"/>
  <c r="X37" i="1"/>
  <c r="AN37" i="1"/>
  <c r="Z37" i="1"/>
  <c r="AO37" i="1"/>
  <c r="BG37" i="1"/>
  <c r="Q37" i="1"/>
  <c r="AF37" i="1"/>
  <c r="BF37" i="1"/>
  <c r="V37" i="1"/>
  <c r="AR37" i="1"/>
  <c r="M37" i="1"/>
  <c r="W37" i="1"/>
  <c r="L37" i="1"/>
  <c r="AB37" i="1"/>
  <c r="AE37" i="1"/>
  <c r="O37" i="1"/>
  <c r="AL37" i="1"/>
  <c r="S37" i="1"/>
  <c r="AP37" i="1"/>
  <c r="BI29" i="1"/>
  <c r="BD29" i="1"/>
  <c r="AT29" i="1"/>
  <c r="BB29" i="1"/>
  <c r="BE29" i="1"/>
  <c r="AU29" i="1"/>
  <c r="BC29" i="1"/>
  <c r="AY29" i="1"/>
  <c r="AZ29" i="1"/>
  <c r="BA29" i="1"/>
  <c r="BH29" i="1"/>
  <c r="AV29" i="1"/>
  <c r="AX29" i="1"/>
  <c r="U29" i="1"/>
  <c r="AC29" i="1"/>
  <c r="AK29" i="1"/>
  <c r="AS29" i="1"/>
  <c r="N29" i="1"/>
  <c r="V29" i="1"/>
  <c r="AD29" i="1"/>
  <c r="AL29" i="1"/>
  <c r="W29" i="1"/>
  <c r="AG29" i="1"/>
  <c r="AQ29" i="1"/>
  <c r="BF29" i="1"/>
  <c r="O29" i="1"/>
  <c r="Y29" i="1"/>
  <c r="AI29" i="1"/>
  <c r="Q29" i="1"/>
  <c r="AA29" i="1"/>
  <c r="AM29" i="1"/>
  <c r="AE29" i="1"/>
  <c r="BG29" i="1"/>
  <c r="AW29" i="1"/>
  <c r="P29" i="1"/>
  <c r="AF29" i="1"/>
  <c r="T29" i="1"/>
  <c r="AN29" i="1"/>
  <c r="R29" i="1"/>
  <c r="AP29" i="1"/>
  <c r="M29" i="1"/>
  <c r="S29" i="1"/>
  <c r="AR29" i="1"/>
  <c r="L29" i="1"/>
  <c r="X29" i="1"/>
  <c r="Z29" i="1"/>
  <c r="AJ29" i="1"/>
  <c r="AO29" i="1"/>
  <c r="BI21" i="1"/>
  <c r="BD21" i="1"/>
  <c r="AT21" i="1"/>
  <c r="BB21" i="1"/>
  <c r="BE21" i="1"/>
  <c r="AU21" i="1"/>
  <c r="BC21" i="1"/>
  <c r="BF21" i="1"/>
  <c r="AV21" i="1"/>
  <c r="BG21" i="1"/>
  <c r="AW21" i="1"/>
  <c r="BH21" i="1"/>
  <c r="AX21" i="1"/>
  <c r="U21" i="1"/>
  <c r="AC21" i="1"/>
  <c r="AK21" i="1"/>
  <c r="AS21" i="1"/>
  <c r="N21" i="1"/>
  <c r="V21" i="1"/>
  <c r="AD21" i="1"/>
  <c r="AL21" i="1"/>
  <c r="O21" i="1"/>
  <c r="W21" i="1"/>
  <c r="AE21" i="1"/>
  <c r="AM21" i="1"/>
  <c r="R21" i="1"/>
  <c r="AF21" i="1"/>
  <c r="AQ21" i="1"/>
  <c r="AY21" i="1"/>
  <c r="T21" i="1"/>
  <c r="AH21" i="1"/>
  <c r="BA21" i="1"/>
  <c r="Y21" i="1"/>
  <c r="AJ21" i="1"/>
  <c r="AA21" i="1"/>
  <c r="AB21" i="1"/>
  <c r="Q21" i="1"/>
  <c r="AN21" i="1"/>
  <c r="X21" i="1"/>
  <c r="M21" i="1"/>
  <c r="Z21" i="1"/>
  <c r="L21" i="1"/>
  <c r="AG21" i="1"/>
  <c r="AI21" i="1"/>
  <c r="AZ21" i="1"/>
  <c r="P21" i="1"/>
  <c r="AR21" i="1"/>
  <c r="S21" i="1"/>
  <c r="BA13" i="1"/>
  <c r="BI13" i="1"/>
  <c r="BD13" i="1"/>
  <c r="AT13" i="1"/>
  <c r="BB13" i="1"/>
  <c r="BE13" i="1"/>
  <c r="AU13" i="1"/>
  <c r="BC13" i="1"/>
  <c r="AV13" i="1"/>
  <c r="S13" i="1"/>
  <c r="AA13" i="1"/>
  <c r="AI13" i="1"/>
  <c r="AQ13" i="1"/>
  <c r="AW13" i="1"/>
  <c r="BF13" i="1"/>
  <c r="AX13" i="1"/>
  <c r="U13" i="1"/>
  <c r="AC13" i="1"/>
  <c r="AK13" i="1"/>
  <c r="AS13" i="1"/>
  <c r="BG13" i="1"/>
  <c r="Q13" i="1"/>
  <c r="AB13" i="1"/>
  <c r="AM13" i="1"/>
  <c r="BH13" i="1"/>
  <c r="R13" i="1"/>
  <c r="AD13" i="1"/>
  <c r="AN13" i="1"/>
  <c r="T13" i="1"/>
  <c r="AE13" i="1"/>
  <c r="AO13" i="1"/>
  <c r="AZ13" i="1"/>
  <c r="Y13" i="1"/>
  <c r="AR13" i="1"/>
  <c r="N13" i="1"/>
  <c r="AF13" i="1"/>
  <c r="P13" i="1"/>
  <c r="AH13" i="1"/>
  <c r="V13" i="1"/>
  <c r="W13" i="1"/>
  <c r="AG13" i="1"/>
  <c r="AJ13" i="1"/>
  <c r="M13" i="1"/>
  <c r="AL13" i="1"/>
  <c r="L13" i="1"/>
  <c r="AY13" i="1"/>
  <c r="AP13" i="1"/>
  <c r="X13" i="1"/>
  <c r="Z13" i="1"/>
  <c r="BA5" i="1"/>
  <c r="BI5" i="1"/>
  <c r="BD5" i="1"/>
  <c r="AT5" i="1"/>
  <c r="BB5" i="1"/>
  <c r="BE5" i="1"/>
  <c r="AU5" i="1"/>
  <c r="BC5" i="1"/>
  <c r="BF5" i="1"/>
  <c r="AV5" i="1"/>
  <c r="BG5" i="1"/>
  <c r="AW5" i="1"/>
  <c r="BH5" i="1"/>
  <c r="AX5" i="1"/>
  <c r="S5" i="1"/>
  <c r="AA5" i="1"/>
  <c r="AI5" i="1"/>
  <c r="AQ5" i="1"/>
  <c r="AY5" i="1"/>
  <c r="AZ5" i="1"/>
  <c r="U5" i="1"/>
  <c r="AC5" i="1"/>
  <c r="AK5" i="1"/>
  <c r="AS5" i="1"/>
  <c r="Q5" i="1"/>
  <c r="AB5" i="1"/>
  <c r="AM5" i="1"/>
  <c r="R5" i="1"/>
  <c r="AD5" i="1"/>
  <c r="AN5" i="1"/>
  <c r="T5" i="1"/>
  <c r="AE5" i="1"/>
  <c r="AO5" i="1"/>
  <c r="Y5" i="1"/>
  <c r="AR5" i="1"/>
  <c r="N5" i="1"/>
  <c r="AF5" i="1"/>
  <c r="P5" i="1"/>
  <c r="AH5" i="1"/>
  <c r="Z5" i="1"/>
  <c r="AG5" i="1"/>
  <c r="O5" i="1"/>
  <c r="AP5" i="1"/>
  <c r="X5" i="1"/>
  <c r="M5" i="1"/>
  <c r="AJ5" i="1"/>
  <c r="L5" i="1"/>
  <c r="AL5" i="1"/>
  <c r="V5" i="1"/>
  <c r="W5" i="1"/>
  <c r="H3" i="1"/>
  <c r="H51" i="1"/>
  <c r="H43" i="1"/>
  <c r="H35" i="1"/>
  <c r="H27" i="1"/>
  <c r="J57" i="1"/>
  <c r="J49" i="1"/>
  <c r="J25" i="1"/>
  <c r="J15" i="1"/>
  <c r="J5" i="1"/>
  <c r="I47" i="1"/>
  <c r="I37" i="1"/>
  <c r="I15" i="1"/>
  <c r="I5" i="1"/>
  <c r="K13" i="1"/>
  <c r="K25" i="1"/>
  <c r="K35" i="1"/>
  <c r="K49" i="1"/>
  <c r="M3" i="1"/>
  <c r="L16" i="1"/>
  <c r="L23" i="1"/>
  <c r="L30" i="1"/>
  <c r="M35" i="1"/>
  <c r="M42" i="1"/>
  <c r="L48" i="1"/>
  <c r="L55" i="1"/>
  <c r="AH57" i="1"/>
  <c r="V57" i="1"/>
  <c r="AL56" i="1"/>
  <c r="S56" i="1"/>
  <c r="AE55" i="1"/>
  <c r="AK54" i="1"/>
  <c r="AN53" i="1"/>
  <c r="AF49" i="1"/>
  <c r="P48" i="1"/>
  <c r="AE46" i="1"/>
  <c r="O45" i="1"/>
  <c r="AP40" i="1"/>
  <c r="Y38" i="1"/>
  <c r="AB32" i="1"/>
  <c r="AB29" i="1"/>
  <c r="R26" i="1"/>
  <c r="AJ22" i="1"/>
  <c r="AI18" i="1"/>
  <c r="X14" i="1"/>
  <c r="AL8" i="1"/>
  <c r="AU53" i="1"/>
  <c r="BE54" i="1"/>
  <c r="AZ34" i="1"/>
  <c r="BD34" i="1"/>
  <c r="BA34" i="1"/>
  <c r="BC34" i="1"/>
  <c r="AT34" i="1"/>
  <c r="BI34" i="1"/>
  <c r="AU34" i="1"/>
  <c r="AV34" i="1"/>
  <c r="BH34" i="1"/>
  <c r="BB34" i="1"/>
  <c r="U34" i="1"/>
  <c r="AC34" i="1"/>
  <c r="AK34" i="1"/>
  <c r="AS34" i="1"/>
  <c r="BE34" i="1"/>
  <c r="BF34" i="1"/>
  <c r="T34" i="1"/>
  <c r="AD34" i="1"/>
  <c r="AM34" i="1"/>
  <c r="N34" i="1"/>
  <c r="W34" i="1"/>
  <c r="AF34" i="1"/>
  <c r="AO34" i="1"/>
  <c r="AW34" i="1"/>
  <c r="P34" i="1"/>
  <c r="Y34" i="1"/>
  <c r="AH34" i="1"/>
  <c r="AQ34" i="1"/>
  <c r="R34" i="1"/>
  <c r="AG34" i="1"/>
  <c r="S34" i="1"/>
  <c r="AI34" i="1"/>
  <c r="Z34" i="1"/>
  <c r="AN34" i="1"/>
  <c r="X34" i="1"/>
  <c r="AA34" i="1"/>
  <c r="AB34" i="1"/>
  <c r="AE34" i="1"/>
  <c r="AY34" i="1"/>
  <c r="Q34" i="1"/>
  <c r="AP34" i="1"/>
  <c r="BG34" i="1"/>
  <c r="V34" i="1"/>
  <c r="AR34" i="1"/>
  <c r="BG33" i="1"/>
  <c r="BH33" i="1"/>
  <c r="AT33" i="1"/>
  <c r="BB33" i="1"/>
  <c r="AU33" i="1"/>
  <c r="BC33" i="1"/>
  <c r="BA33" i="1"/>
  <c r="BD33" i="1"/>
  <c r="BE33" i="1"/>
  <c r="BI33" i="1"/>
  <c r="BF33" i="1"/>
  <c r="AV33" i="1"/>
  <c r="AW33" i="1"/>
  <c r="AX33" i="1"/>
  <c r="U33" i="1"/>
  <c r="AC33" i="1"/>
  <c r="AK33" i="1"/>
  <c r="AS33" i="1"/>
  <c r="AY33" i="1"/>
  <c r="AZ33" i="1"/>
  <c r="P33" i="1"/>
  <c r="Y33" i="1"/>
  <c r="AH33" i="1"/>
  <c r="AQ33" i="1"/>
  <c r="R33" i="1"/>
  <c r="AA33" i="1"/>
  <c r="AJ33" i="1"/>
  <c r="T33" i="1"/>
  <c r="AD33" i="1"/>
  <c r="AM33" i="1"/>
  <c r="V33" i="1"/>
  <c r="AI33" i="1"/>
  <c r="W33" i="1"/>
  <c r="AL33" i="1"/>
  <c r="N33" i="1"/>
  <c r="AB33" i="1"/>
  <c r="AP33" i="1"/>
  <c r="AF33" i="1"/>
  <c r="M33" i="1"/>
  <c r="AG33" i="1"/>
  <c r="L33" i="1"/>
  <c r="I33" i="1"/>
  <c r="O33" i="1"/>
  <c r="AN33" i="1"/>
  <c r="Q33" i="1"/>
  <c r="AO33" i="1"/>
  <c r="Z33" i="1"/>
  <c r="AE33" i="1"/>
  <c r="I31" i="1"/>
  <c r="R42" i="1"/>
  <c r="H18" i="1"/>
  <c r="J56" i="1"/>
  <c r="J32" i="1"/>
  <c r="J4" i="1"/>
  <c r="I36" i="1"/>
  <c r="I14" i="1"/>
  <c r="I4" i="1"/>
  <c r="K26" i="1"/>
  <c r="K36" i="1"/>
  <c r="K50" i="1"/>
  <c r="X55" i="1"/>
  <c r="Y40" i="1"/>
  <c r="BD42" i="1"/>
  <c r="BH42" i="1"/>
  <c r="AU42" i="1"/>
  <c r="BC42" i="1"/>
  <c r="AV42" i="1"/>
  <c r="AW42" i="1"/>
  <c r="AX42" i="1"/>
  <c r="AT42" i="1"/>
  <c r="AY42" i="1"/>
  <c r="BE42" i="1"/>
  <c r="AZ42" i="1"/>
  <c r="BI42" i="1"/>
  <c r="BF42" i="1"/>
  <c r="BG42" i="1"/>
  <c r="BA42" i="1"/>
  <c r="T42" i="1"/>
  <c r="AB42" i="1"/>
  <c r="AJ42" i="1"/>
  <c r="AR42" i="1"/>
  <c r="N42" i="1"/>
  <c r="V42" i="1"/>
  <c r="AD42" i="1"/>
  <c r="AL42" i="1"/>
  <c r="P42" i="1"/>
  <c r="X42" i="1"/>
  <c r="U42" i="1"/>
  <c r="AG42" i="1"/>
  <c r="AQ42" i="1"/>
  <c r="W42" i="1"/>
  <c r="AH42" i="1"/>
  <c r="AS42" i="1"/>
  <c r="O42" i="1"/>
  <c r="AA42" i="1"/>
  <c r="AM42" i="1"/>
  <c r="AC42" i="1"/>
  <c r="AE42" i="1"/>
  <c r="AF42" i="1"/>
  <c r="BB42" i="1"/>
  <c r="Q42" i="1"/>
  <c r="AI42" i="1"/>
  <c r="Y42" i="1"/>
  <c r="AO42" i="1"/>
  <c r="Z42" i="1"/>
  <c r="AP42" i="1"/>
  <c r="AY10" i="1"/>
  <c r="AZ10" i="1"/>
  <c r="BD10" i="1"/>
  <c r="BA10" i="1"/>
  <c r="BH10" i="1"/>
  <c r="AU10" i="1"/>
  <c r="AV10" i="1"/>
  <c r="AW10" i="1"/>
  <c r="AX10" i="1"/>
  <c r="BG10" i="1"/>
  <c r="AT10" i="1"/>
  <c r="S10" i="1"/>
  <c r="AA10" i="1"/>
  <c r="AI10" i="1"/>
  <c r="AQ10" i="1"/>
  <c r="BB10" i="1"/>
  <c r="BC10" i="1"/>
  <c r="U10" i="1"/>
  <c r="AC10" i="1"/>
  <c r="AK10" i="1"/>
  <c r="AS10" i="1"/>
  <c r="Q10" i="1"/>
  <c r="AB10" i="1"/>
  <c r="AM10" i="1"/>
  <c r="R10" i="1"/>
  <c r="AD10" i="1"/>
  <c r="AN10" i="1"/>
  <c r="T10" i="1"/>
  <c r="AE10" i="1"/>
  <c r="AO10" i="1"/>
  <c r="V10" i="1"/>
  <c r="AJ10" i="1"/>
  <c r="BF10" i="1"/>
  <c r="X10" i="1"/>
  <c r="AP10" i="1"/>
  <c r="BI10" i="1"/>
  <c r="Z10" i="1"/>
  <c r="AG10" i="1"/>
  <c r="AH10" i="1"/>
  <c r="P10" i="1"/>
  <c r="AR10" i="1"/>
  <c r="J10" i="1"/>
  <c r="N10" i="1"/>
  <c r="BE10" i="1"/>
  <c r="O10" i="1"/>
  <c r="AF10" i="1"/>
  <c r="AL10" i="1"/>
  <c r="BG41" i="1"/>
  <c r="BH41" i="1"/>
  <c r="AW41" i="1"/>
  <c r="AX41" i="1"/>
  <c r="BD41" i="1"/>
  <c r="AY41" i="1"/>
  <c r="BE41" i="1"/>
  <c r="AZ41" i="1"/>
  <c r="BF41" i="1"/>
  <c r="AT41" i="1"/>
  <c r="BB41" i="1"/>
  <c r="BC41" i="1"/>
  <c r="BI41" i="1"/>
  <c r="AU41" i="1"/>
  <c r="T41" i="1"/>
  <c r="AB41" i="1"/>
  <c r="AJ41" i="1"/>
  <c r="AR41" i="1"/>
  <c r="BA41" i="1"/>
  <c r="N41" i="1"/>
  <c r="V41" i="1"/>
  <c r="AD41" i="1"/>
  <c r="AL41" i="1"/>
  <c r="P41" i="1"/>
  <c r="X41" i="1"/>
  <c r="AF41" i="1"/>
  <c r="AN41" i="1"/>
  <c r="O41" i="1"/>
  <c r="AA41" i="1"/>
  <c r="AO41" i="1"/>
  <c r="Q41" i="1"/>
  <c r="AC41" i="1"/>
  <c r="AP41" i="1"/>
  <c r="U41" i="1"/>
  <c r="AH41" i="1"/>
  <c r="S41" i="1"/>
  <c r="AM41" i="1"/>
  <c r="M41" i="1"/>
  <c r="W41" i="1"/>
  <c r="AQ41" i="1"/>
  <c r="L41" i="1"/>
  <c r="I41" i="1"/>
  <c r="AV41" i="1"/>
  <c r="Y41" i="1"/>
  <c r="AS41" i="1"/>
  <c r="Z41" i="1"/>
  <c r="AI41" i="1"/>
  <c r="R41" i="1"/>
  <c r="AK41" i="1"/>
  <c r="BF9" i="1"/>
  <c r="BG9" i="1"/>
  <c r="BA9" i="1"/>
  <c r="BH9" i="1"/>
  <c r="AT9" i="1"/>
  <c r="BB9" i="1"/>
  <c r="AU9" i="1"/>
  <c r="BC9" i="1"/>
  <c r="AV9" i="1"/>
  <c r="BD9" i="1"/>
  <c r="AW9" i="1"/>
  <c r="S9" i="1"/>
  <c r="AA9" i="1"/>
  <c r="AI9" i="1"/>
  <c r="AQ9" i="1"/>
  <c r="U9" i="1"/>
  <c r="AC9" i="1"/>
  <c r="AK9" i="1"/>
  <c r="AS9" i="1"/>
  <c r="Q9" i="1"/>
  <c r="AB9" i="1"/>
  <c r="AM9" i="1"/>
  <c r="R9" i="1"/>
  <c r="AD9" i="1"/>
  <c r="AN9" i="1"/>
  <c r="T9" i="1"/>
  <c r="AE9" i="1"/>
  <c r="AO9" i="1"/>
  <c r="BE9" i="1"/>
  <c r="P9" i="1"/>
  <c r="AH9" i="1"/>
  <c r="AX9" i="1"/>
  <c r="W9" i="1"/>
  <c r="AL9" i="1"/>
  <c r="AZ9" i="1"/>
  <c r="Y9" i="1"/>
  <c r="AR9" i="1"/>
  <c r="BI9" i="1"/>
  <c r="AY9" i="1"/>
  <c r="AJ9" i="1"/>
  <c r="N9" i="1"/>
  <c r="AP9" i="1"/>
  <c r="X9" i="1"/>
  <c r="AF9" i="1"/>
  <c r="M9" i="1"/>
  <c r="AG9" i="1"/>
  <c r="L9" i="1"/>
  <c r="I9" i="1"/>
  <c r="V9" i="1"/>
  <c r="Z9" i="1"/>
  <c r="H55" i="1"/>
  <c r="J9" i="1"/>
  <c r="K42" i="1"/>
  <c r="O55" i="1"/>
  <c r="O31" i="1"/>
  <c r="BH52" i="1"/>
  <c r="BI52" i="1"/>
  <c r="AY52" i="1"/>
  <c r="AZ52" i="1"/>
  <c r="BA52" i="1"/>
  <c r="AT52" i="1"/>
  <c r="BB52" i="1"/>
  <c r="BD52" i="1"/>
  <c r="BE52" i="1"/>
  <c r="AV52" i="1"/>
  <c r="AU52" i="1"/>
  <c r="BG52" i="1"/>
  <c r="AX52" i="1"/>
  <c r="T52" i="1"/>
  <c r="AB52" i="1"/>
  <c r="AJ52" i="1"/>
  <c r="AR52" i="1"/>
  <c r="N52" i="1"/>
  <c r="V52" i="1"/>
  <c r="AD52" i="1"/>
  <c r="AL52" i="1"/>
  <c r="W52" i="1"/>
  <c r="AG52" i="1"/>
  <c r="AQ52" i="1"/>
  <c r="BF52" i="1"/>
  <c r="BC52" i="1"/>
  <c r="P52" i="1"/>
  <c r="AA52" i="1"/>
  <c r="AN52" i="1"/>
  <c r="Q52" i="1"/>
  <c r="AC52" i="1"/>
  <c r="AO52" i="1"/>
  <c r="R52" i="1"/>
  <c r="AE52" i="1"/>
  <c r="AP52" i="1"/>
  <c r="M52" i="1"/>
  <c r="AW52" i="1"/>
  <c r="S52" i="1"/>
  <c r="AF52" i="1"/>
  <c r="AS52" i="1"/>
  <c r="Y52" i="1"/>
  <c r="AK52" i="1"/>
  <c r="O52" i="1"/>
  <c r="Z52" i="1"/>
  <c r="AM52" i="1"/>
  <c r="BH44" i="1"/>
  <c r="BI44" i="1"/>
  <c r="AY44" i="1"/>
  <c r="AZ44" i="1"/>
  <c r="BA44" i="1"/>
  <c r="BD44" i="1"/>
  <c r="AT44" i="1"/>
  <c r="BB44" i="1"/>
  <c r="AU44" i="1"/>
  <c r="AV44" i="1"/>
  <c r="AX44" i="1"/>
  <c r="BC44" i="1"/>
  <c r="T44" i="1"/>
  <c r="AB44" i="1"/>
  <c r="AJ44" i="1"/>
  <c r="AR44" i="1"/>
  <c r="BE44" i="1"/>
  <c r="N44" i="1"/>
  <c r="V44" i="1"/>
  <c r="AD44" i="1"/>
  <c r="AL44" i="1"/>
  <c r="BG44" i="1"/>
  <c r="W44" i="1"/>
  <c r="AG44" i="1"/>
  <c r="AQ44" i="1"/>
  <c r="AW44" i="1"/>
  <c r="X44" i="1"/>
  <c r="AH44" i="1"/>
  <c r="AS44" i="1"/>
  <c r="Y44" i="1"/>
  <c r="AM44" i="1"/>
  <c r="Z44" i="1"/>
  <c r="AN44" i="1"/>
  <c r="BF44" i="1"/>
  <c r="O44" i="1"/>
  <c r="AA44" i="1"/>
  <c r="AO44" i="1"/>
  <c r="M44" i="1"/>
  <c r="P44" i="1"/>
  <c r="AC44" i="1"/>
  <c r="AP44" i="1"/>
  <c r="S44" i="1"/>
  <c r="AI44" i="1"/>
  <c r="U44" i="1"/>
  <c r="AK44" i="1"/>
  <c r="BH36" i="1"/>
  <c r="AV36" i="1"/>
  <c r="BI36" i="1"/>
  <c r="AW36" i="1"/>
  <c r="BC36" i="1"/>
  <c r="AT36" i="1"/>
  <c r="BD36" i="1"/>
  <c r="AU36" i="1"/>
  <c r="BE36" i="1"/>
  <c r="AX36" i="1"/>
  <c r="BB36" i="1"/>
  <c r="BF36" i="1"/>
  <c r="BG36" i="1"/>
  <c r="AY36" i="1"/>
  <c r="U36" i="1"/>
  <c r="AC36" i="1"/>
  <c r="AK36" i="1"/>
  <c r="AS36" i="1"/>
  <c r="AZ36" i="1"/>
  <c r="BA36" i="1"/>
  <c r="T36" i="1"/>
  <c r="AD36" i="1"/>
  <c r="AM36" i="1"/>
  <c r="N36" i="1"/>
  <c r="W36" i="1"/>
  <c r="AF36" i="1"/>
  <c r="AO36" i="1"/>
  <c r="P36" i="1"/>
  <c r="Y36" i="1"/>
  <c r="AH36" i="1"/>
  <c r="AQ36" i="1"/>
  <c r="AA36" i="1"/>
  <c r="AP36" i="1"/>
  <c r="O36" i="1"/>
  <c r="AB36" i="1"/>
  <c r="AR36" i="1"/>
  <c r="S36" i="1"/>
  <c r="AI36" i="1"/>
  <c r="AE36" i="1"/>
  <c r="AG36" i="1"/>
  <c r="AJ36" i="1"/>
  <c r="M36" i="1"/>
  <c r="Q36" i="1"/>
  <c r="AL36" i="1"/>
  <c r="X36" i="1"/>
  <c r="Z36" i="1"/>
  <c r="BG28" i="1"/>
  <c r="BH28" i="1"/>
  <c r="AV28" i="1"/>
  <c r="BI28" i="1"/>
  <c r="AW28" i="1"/>
  <c r="AY28" i="1"/>
  <c r="AZ28" i="1"/>
  <c r="BD28" i="1"/>
  <c r="BA28" i="1"/>
  <c r="BE28" i="1"/>
  <c r="BB28" i="1"/>
  <c r="AX28" i="1"/>
  <c r="BC28" i="1"/>
  <c r="U28" i="1"/>
  <c r="AC28" i="1"/>
  <c r="AK28" i="1"/>
  <c r="AS28" i="1"/>
  <c r="N28" i="1"/>
  <c r="V28" i="1"/>
  <c r="AD28" i="1"/>
  <c r="AL28" i="1"/>
  <c r="W28" i="1"/>
  <c r="AG28" i="1"/>
  <c r="AQ28" i="1"/>
  <c r="O28" i="1"/>
  <c r="Y28" i="1"/>
  <c r="AI28" i="1"/>
  <c r="AT28" i="1"/>
  <c r="Q28" i="1"/>
  <c r="AA28" i="1"/>
  <c r="AM28" i="1"/>
  <c r="BF28" i="1"/>
  <c r="AU28" i="1"/>
  <c r="AB28" i="1"/>
  <c r="AR28" i="1"/>
  <c r="AE28" i="1"/>
  <c r="S28" i="1"/>
  <c r="AJ28" i="1"/>
  <c r="T28" i="1"/>
  <c r="X28" i="1"/>
  <c r="Z28" i="1"/>
  <c r="M28" i="1"/>
  <c r="AF28" i="1"/>
  <c r="P28" i="1"/>
  <c r="AO28" i="1"/>
  <c r="R28" i="1"/>
  <c r="AP28" i="1"/>
  <c r="BG20" i="1"/>
  <c r="BH20" i="1"/>
  <c r="AV20" i="1"/>
  <c r="BI20" i="1"/>
  <c r="AW20" i="1"/>
  <c r="BF20" i="1"/>
  <c r="BC20" i="1"/>
  <c r="AT20" i="1"/>
  <c r="AU20" i="1"/>
  <c r="AX20" i="1"/>
  <c r="AY20" i="1"/>
  <c r="AZ20" i="1"/>
  <c r="U20" i="1"/>
  <c r="AC20" i="1"/>
  <c r="AK20" i="1"/>
  <c r="AS20" i="1"/>
  <c r="N20" i="1"/>
  <c r="V20" i="1"/>
  <c r="AD20" i="1"/>
  <c r="AL20" i="1"/>
  <c r="O20" i="1"/>
  <c r="W20" i="1"/>
  <c r="AE20" i="1"/>
  <c r="AM20" i="1"/>
  <c r="BA20" i="1"/>
  <c r="Y20" i="1"/>
  <c r="AJ20" i="1"/>
  <c r="P20" i="1"/>
  <c r="AA20" i="1"/>
  <c r="AO20" i="1"/>
  <c r="R20" i="1"/>
  <c r="AF20" i="1"/>
  <c r="AQ20" i="1"/>
  <c r="S20" i="1"/>
  <c r="AN20" i="1"/>
  <c r="BB20" i="1"/>
  <c r="T20" i="1"/>
  <c r="AP20" i="1"/>
  <c r="AB20" i="1"/>
  <c r="X20" i="1"/>
  <c r="Z20" i="1"/>
  <c r="AG20" i="1"/>
  <c r="M20" i="1"/>
  <c r="AH20" i="1"/>
  <c r="Q20" i="1"/>
  <c r="BG12" i="1"/>
  <c r="BH12" i="1"/>
  <c r="AU12" i="1"/>
  <c r="BC12" i="1"/>
  <c r="AV12" i="1"/>
  <c r="BI12" i="1"/>
  <c r="AW12" i="1"/>
  <c r="AZ12" i="1"/>
  <c r="BA12" i="1"/>
  <c r="BD12" i="1"/>
  <c r="BB12" i="1"/>
  <c r="BE12" i="1"/>
  <c r="AY12" i="1"/>
  <c r="S12" i="1"/>
  <c r="AA12" i="1"/>
  <c r="AI12" i="1"/>
  <c r="AQ12" i="1"/>
  <c r="BF12" i="1"/>
  <c r="U12" i="1"/>
  <c r="AC12" i="1"/>
  <c r="AK12" i="1"/>
  <c r="AS12" i="1"/>
  <c r="Q12" i="1"/>
  <c r="AB12" i="1"/>
  <c r="AM12" i="1"/>
  <c r="R12" i="1"/>
  <c r="AD12" i="1"/>
  <c r="AN12" i="1"/>
  <c r="AT12" i="1"/>
  <c r="T12" i="1"/>
  <c r="AE12" i="1"/>
  <c r="AO12" i="1"/>
  <c r="X12" i="1"/>
  <c r="AP12" i="1"/>
  <c r="Z12" i="1"/>
  <c r="O12" i="1"/>
  <c r="AG12" i="1"/>
  <c r="W12" i="1"/>
  <c r="Y12" i="1"/>
  <c r="AJ12" i="1"/>
  <c r="V12" i="1"/>
  <c r="AX12" i="1"/>
  <c r="AF12" i="1"/>
  <c r="AH12" i="1"/>
  <c r="M12" i="1"/>
  <c r="AL12" i="1"/>
  <c r="N12" i="1"/>
  <c r="P12" i="1"/>
  <c r="BG4" i="1"/>
  <c r="BH4" i="1"/>
  <c r="AU4" i="1"/>
  <c r="BC4" i="1"/>
  <c r="AV4" i="1"/>
  <c r="BI4" i="1"/>
  <c r="AW4" i="1"/>
  <c r="BF4" i="1"/>
  <c r="BB4" i="1"/>
  <c r="P4" i="1"/>
  <c r="X4" i="1"/>
  <c r="AF4" i="1"/>
  <c r="AN4" i="1"/>
  <c r="Q4" i="1"/>
  <c r="Y4" i="1"/>
  <c r="AG4" i="1"/>
  <c r="AO4" i="1"/>
  <c r="R4" i="1"/>
  <c r="Z4" i="1"/>
  <c r="AH4" i="1"/>
  <c r="AP4" i="1"/>
  <c r="AT4" i="1"/>
  <c r="S4" i="1"/>
  <c r="AA4" i="1"/>
  <c r="AI4" i="1"/>
  <c r="AQ4" i="1"/>
  <c r="BE4" i="1"/>
  <c r="BA4" i="1"/>
  <c r="W4" i="1"/>
  <c r="AM4" i="1"/>
  <c r="AC4" i="1"/>
  <c r="AS4" i="1"/>
  <c r="AE4" i="1"/>
  <c r="N4" i="1"/>
  <c r="AJ4" i="1"/>
  <c r="BD4" i="1"/>
  <c r="AX4" i="1"/>
  <c r="O4" i="1"/>
  <c r="AK4" i="1"/>
  <c r="AL4" i="1"/>
  <c r="AY4" i="1"/>
  <c r="U4" i="1"/>
  <c r="V4" i="1"/>
  <c r="AB4" i="1"/>
  <c r="AZ4" i="1"/>
  <c r="M4" i="1"/>
  <c r="T4" i="1"/>
  <c r="H4" i="1"/>
  <c r="H50" i="1"/>
  <c r="H34" i="1"/>
  <c r="H26" i="1"/>
  <c r="H10" i="1"/>
  <c r="J48" i="1"/>
  <c r="J40" i="1"/>
  <c r="J24" i="1"/>
  <c r="J14" i="1"/>
  <c r="I46" i="1"/>
  <c r="I26" i="1"/>
  <c r="L18" i="1"/>
  <c r="M23" i="1"/>
  <c r="M30" i="1"/>
  <c r="L50" i="1"/>
  <c r="M55" i="1"/>
  <c r="AG57" i="1"/>
  <c r="U57" i="1"/>
  <c r="AK56" i="1"/>
  <c r="R56" i="1"/>
  <c r="AI54" i="1"/>
  <c r="AM53" i="1"/>
  <c r="X52" i="1"/>
  <c r="AM50" i="1"/>
  <c r="U49" i="1"/>
  <c r="AK47" i="1"/>
  <c r="S46" i="1"/>
  <c r="AF44" i="1"/>
  <c r="AN42" i="1"/>
  <c r="AI37" i="1"/>
  <c r="AL34" i="1"/>
  <c r="AN31" i="1"/>
  <c r="AN28" i="1"/>
  <c r="Z25" i="1"/>
  <c r="AP21" i="1"/>
  <c r="AO17" i="1"/>
  <c r="O13" i="1"/>
  <c r="AJ7" i="1"/>
  <c r="BC45" i="1"/>
  <c r="BE20" i="1"/>
  <c r="BE51" i="1"/>
  <c r="BF51" i="1"/>
  <c r="BG51" i="1"/>
  <c r="BA51" i="1"/>
  <c r="BI51" i="1"/>
  <c r="AT51" i="1"/>
  <c r="BB51" i="1"/>
  <c r="BD51" i="1"/>
  <c r="AU51" i="1"/>
  <c r="BC51" i="1"/>
  <c r="BH51" i="1"/>
  <c r="AV51" i="1"/>
  <c r="AZ51" i="1"/>
  <c r="AX51" i="1"/>
  <c r="AY51" i="1"/>
  <c r="T51" i="1"/>
  <c r="AB51" i="1"/>
  <c r="AJ51" i="1"/>
  <c r="AR51" i="1"/>
  <c r="N51" i="1"/>
  <c r="V51" i="1"/>
  <c r="AD51" i="1"/>
  <c r="AL51" i="1"/>
  <c r="W51" i="1"/>
  <c r="AG51" i="1"/>
  <c r="AQ51" i="1"/>
  <c r="X51" i="1"/>
  <c r="AI51" i="1"/>
  <c r="Y51" i="1"/>
  <c r="AK51" i="1"/>
  <c r="AW51" i="1"/>
  <c r="O51" i="1"/>
  <c r="Z51" i="1"/>
  <c r="AM51" i="1"/>
  <c r="P51" i="1"/>
  <c r="AA51" i="1"/>
  <c r="AN51" i="1"/>
  <c r="S51" i="1"/>
  <c r="AF51" i="1"/>
  <c r="AS51" i="1"/>
  <c r="U51" i="1"/>
  <c r="AH51" i="1"/>
  <c r="BE43" i="1"/>
  <c r="BF43" i="1"/>
  <c r="BG43" i="1"/>
  <c r="BA43" i="1"/>
  <c r="BD43" i="1"/>
  <c r="AT43" i="1"/>
  <c r="BB43" i="1"/>
  <c r="BH43" i="1"/>
  <c r="AU43" i="1"/>
  <c r="BC43" i="1"/>
  <c r="AV43" i="1"/>
  <c r="AZ43" i="1"/>
  <c r="BI43" i="1"/>
  <c r="T43" i="1"/>
  <c r="AB43" i="1"/>
  <c r="AJ43" i="1"/>
  <c r="AR43" i="1"/>
  <c r="N43" i="1"/>
  <c r="V43" i="1"/>
  <c r="AD43" i="1"/>
  <c r="AL43" i="1"/>
  <c r="AW43" i="1"/>
  <c r="AY43" i="1"/>
  <c r="W43" i="1"/>
  <c r="AG43" i="1"/>
  <c r="AQ43" i="1"/>
  <c r="X43" i="1"/>
  <c r="AH43" i="1"/>
  <c r="AS43" i="1"/>
  <c r="O43" i="1"/>
  <c r="AA43" i="1"/>
  <c r="AO43" i="1"/>
  <c r="P43" i="1"/>
  <c r="AC43" i="1"/>
  <c r="AP43" i="1"/>
  <c r="Q43" i="1"/>
  <c r="AE43" i="1"/>
  <c r="R43" i="1"/>
  <c r="AF43" i="1"/>
  <c r="Y43" i="1"/>
  <c r="AM43" i="1"/>
  <c r="Z43" i="1"/>
  <c r="AN43" i="1"/>
  <c r="BE35" i="1"/>
  <c r="BF35" i="1"/>
  <c r="AX35" i="1"/>
  <c r="BG35" i="1"/>
  <c r="AY35" i="1"/>
  <c r="BD35" i="1"/>
  <c r="BC35" i="1"/>
  <c r="BI35" i="1"/>
  <c r="BH35" i="1"/>
  <c r="AT35" i="1"/>
  <c r="AU35" i="1"/>
  <c r="AV35" i="1"/>
  <c r="AW35" i="1"/>
  <c r="AZ35" i="1"/>
  <c r="U35" i="1"/>
  <c r="AC35" i="1"/>
  <c r="AK35" i="1"/>
  <c r="AS35" i="1"/>
  <c r="BB35" i="1"/>
  <c r="P35" i="1"/>
  <c r="Y35" i="1"/>
  <c r="AH35" i="1"/>
  <c r="AQ35" i="1"/>
  <c r="R35" i="1"/>
  <c r="AA35" i="1"/>
  <c r="AJ35" i="1"/>
  <c r="T35" i="1"/>
  <c r="AD35" i="1"/>
  <c r="AM35" i="1"/>
  <c r="O35" i="1"/>
  <c r="AE35" i="1"/>
  <c r="AR35" i="1"/>
  <c r="Q35" i="1"/>
  <c r="AF35" i="1"/>
  <c r="W35" i="1"/>
  <c r="AL35" i="1"/>
  <c r="N35" i="1"/>
  <c r="AN35" i="1"/>
  <c r="S35" i="1"/>
  <c r="AO35" i="1"/>
  <c r="V35" i="1"/>
  <c r="AP35" i="1"/>
  <c r="X35" i="1"/>
  <c r="AG35" i="1"/>
  <c r="BA35" i="1"/>
  <c r="AI35" i="1"/>
  <c r="BD27" i="1"/>
  <c r="BE27" i="1"/>
  <c r="BF27" i="1"/>
  <c r="AX27" i="1"/>
  <c r="BG27" i="1"/>
  <c r="AY27" i="1"/>
  <c r="AW27" i="1"/>
  <c r="BH27" i="1"/>
  <c r="AZ27" i="1"/>
  <c r="BA27" i="1"/>
  <c r="BB27" i="1"/>
  <c r="AT27" i="1"/>
  <c r="U27" i="1"/>
  <c r="AC27" i="1"/>
  <c r="AK27" i="1"/>
  <c r="AS27" i="1"/>
  <c r="N27" i="1"/>
  <c r="V27" i="1"/>
  <c r="AD27" i="1"/>
  <c r="AL27" i="1"/>
  <c r="AU27" i="1"/>
  <c r="W27" i="1"/>
  <c r="AG27" i="1"/>
  <c r="AQ27" i="1"/>
  <c r="BI27" i="1"/>
  <c r="AV27" i="1"/>
  <c r="O27" i="1"/>
  <c r="Y27" i="1"/>
  <c r="AI27" i="1"/>
  <c r="Q27" i="1"/>
  <c r="AA27" i="1"/>
  <c r="AM27" i="1"/>
  <c r="Z27" i="1"/>
  <c r="AP27" i="1"/>
  <c r="AB27" i="1"/>
  <c r="AR27" i="1"/>
  <c r="R27" i="1"/>
  <c r="AH27" i="1"/>
  <c r="X27" i="1"/>
  <c r="AE27" i="1"/>
  <c r="BC27" i="1"/>
  <c r="AF27" i="1"/>
  <c r="AJ27" i="1"/>
  <c r="S27" i="1"/>
  <c r="T27" i="1"/>
  <c r="BD19" i="1"/>
  <c r="BE19" i="1"/>
  <c r="BF19" i="1"/>
  <c r="AX19" i="1"/>
  <c r="BG19" i="1"/>
  <c r="AY19" i="1"/>
  <c r="BC19" i="1"/>
  <c r="BI19" i="1"/>
  <c r="AT19" i="1"/>
  <c r="AU19" i="1"/>
  <c r="AV19" i="1"/>
  <c r="BB19" i="1"/>
  <c r="BH19" i="1"/>
  <c r="AW19" i="1"/>
  <c r="U19" i="1"/>
  <c r="AC19" i="1"/>
  <c r="AK19" i="1"/>
  <c r="AS19" i="1"/>
  <c r="AZ19" i="1"/>
  <c r="N19" i="1"/>
  <c r="V19" i="1"/>
  <c r="AD19" i="1"/>
  <c r="AL19" i="1"/>
  <c r="BA19" i="1"/>
  <c r="O19" i="1"/>
  <c r="W19" i="1"/>
  <c r="AE19" i="1"/>
  <c r="AM19" i="1"/>
  <c r="R19" i="1"/>
  <c r="AF19" i="1"/>
  <c r="AQ19" i="1"/>
  <c r="T19" i="1"/>
  <c r="AH19" i="1"/>
  <c r="Y19" i="1"/>
  <c r="AJ19" i="1"/>
  <c r="AB19" i="1"/>
  <c r="AG19" i="1"/>
  <c r="S19" i="1"/>
  <c r="AO19" i="1"/>
  <c r="X19" i="1"/>
  <c r="Z19" i="1"/>
  <c r="J19" i="1"/>
  <c r="AA19" i="1"/>
  <c r="AI19" i="1"/>
  <c r="P19" i="1"/>
  <c r="AR19" i="1"/>
  <c r="Q19" i="1"/>
  <c r="BD11" i="1"/>
  <c r="BE11" i="1"/>
  <c r="AW11" i="1"/>
  <c r="BF11" i="1"/>
  <c r="AX11" i="1"/>
  <c r="BG11" i="1"/>
  <c r="AY11" i="1"/>
  <c r="AV11" i="1"/>
  <c r="BH11" i="1"/>
  <c r="AZ11" i="1"/>
  <c r="BA11" i="1"/>
  <c r="BB11" i="1"/>
  <c r="S11" i="1"/>
  <c r="AA11" i="1"/>
  <c r="AI11" i="1"/>
  <c r="AQ11" i="1"/>
  <c r="BI11" i="1"/>
  <c r="U11" i="1"/>
  <c r="AC11" i="1"/>
  <c r="AK11" i="1"/>
  <c r="AS11" i="1"/>
  <c r="AU11" i="1"/>
  <c r="Q11" i="1"/>
  <c r="AB11" i="1"/>
  <c r="AM11" i="1"/>
  <c r="BC11" i="1"/>
  <c r="R11" i="1"/>
  <c r="AD11" i="1"/>
  <c r="AN11" i="1"/>
  <c r="T11" i="1"/>
  <c r="AE11" i="1"/>
  <c r="AO11" i="1"/>
  <c r="W11" i="1"/>
  <c r="AL11" i="1"/>
  <c r="Y11" i="1"/>
  <c r="AR11" i="1"/>
  <c r="N11" i="1"/>
  <c r="AF11" i="1"/>
  <c r="Z11" i="1"/>
  <c r="AT11" i="1"/>
  <c r="AG11" i="1"/>
  <c r="O11" i="1"/>
  <c r="AP11" i="1"/>
  <c r="P11" i="1"/>
  <c r="J11" i="1"/>
  <c r="V11" i="1"/>
  <c r="X11" i="1"/>
  <c r="H57" i="1"/>
  <c r="H49" i="1"/>
  <c r="H41" i="1"/>
  <c r="H33" i="1"/>
  <c r="H25" i="1"/>
  <c r="H17" i="1"/>
  <c r="H9" i="1"/>
  <c r="J55" i="1"/>
  <c r="J47" i="1"/>
  <c r="J39" i="1"/>
  <c r="J31" i="1"/>
  <c r="J23" i="1"/>
  <c r="J13" i="1"/>
  <c r="I55" i="1"/>
  <c r="I45" i="1"/>
  <c r="I35" i="1"/>
  <c r="I23" i="1"/>
  <c r="I13" i="1"/>
  <c r="K4" i="1"/>
  <c r="K17" i="1"/>
  <c r="K27" i="1"/>
  <c r="K37" i="1"/>
  <c r="K51" i="1"/>
  <c r="L6" i="1"/>
  <c r="M11" i="1"/>
  <c r="L24" i="1"/>
  <c r="L31" i="1"/>
  <c r="L38" i="1"/>
  <c r="M43" i="1"/>
  <c r="M50" i="1"/>
  <c r="L56" i="1"/>
  <c r="AF57" i="1"/>
  <c r="P57" i="1"/>
  <c r="AI56" i="1"/>
  <c r="Q56" i="1"/>
  <c r="W55" i="1"/>
  <c r="AC54" i="1"/>
  <c r="AL53" i="1"/>
  <c r="U52" i="1"/>
  <c r="S49" i="1"/>
  <c r="AI47" i="1"/>
  <c r="R46" i="1"/>
  <c r="AE44" i="1"/>
  <c r="AK42" i="1"/>
  <c r="S40" i="1"/>
  <c r="AG37" i="1"/>
  <c r="AJ34" i="1"/>
  <c r="AL31" i="1"/>
  <c r="AH28" i="1"/>
  <c r="S25" i="1"/>
  <c r="AO21" i="1"/>
  <c r="AN17" i="1"/>
  <c r="AR12" i="1"/>
  <c r="Z7" i="1"/>
  <c r="AX43" i="1"/>
  <c r="BD20" i="1"/>
  <c r="BD50" i="1"/>
  <c r="BG50" i="1"/>
  <c r="AU50" i="1"/>
  <c r="BC50" i="1"/>
  <c r="BH50" i="1"/>
  <c r="AV50" i="1"/>
  <c r="BI50" i="1"/>
  <c r="AW50" i="1"/>
  <c r="AX50" i="1"/>
  <c r="BF50" i="1"/>
  <c r="AT50" i="1"/>
  <c r="AZ50" i="1"/>
  <c r="BE50" i="1"/>
  <c r="T50" i="1"/>
  <c r="AB50" i="1"/>
  <c r="AJ50" i="1"/>
  <c r="AR50" i="1"/>
  <c r="N50" i="1"/>
  <c r="V50" i="1"/>
  <c r="AD50" i="1"/>
  <c r="AL50" i="1"/>
  <c r="BA50" i="1"/>
  <c r="AY50" i="1"/>
  <c r="W50" i="1"/>
  <c r="AG50" i="1"/>
  <c r="AQ50" i="1"/>
  <c r="BB50" i="1"/>
  <c r="R50" i="1"/>
  <c r="AE50" i="1"/>
  <c r="AP50" i="1"/>
  <c r="S50" i="1"/>
  <c r="AF50" i="1"/>
  <c r="AS50" i="1"/>
  <c r="U50" i="1"/>
  <c r="AH50" i="1"/>
  <c r="X50" i="1"/>
  <c r="AI50" i="1"/>
  <c r="P50" i="1"/>
  <c r="AA50" i="1"/>
  <c r="AN50" i="1"/>
  <c r="Q50" i="1"/>
  <c r="AC50" i="1"/>
  <c r="AO50" i="1"/>
  <c r="AZ18" i="1"/>
  <c r="BD18" i="1"/>
  <c r="BA18" i="1"/>
  <c r="BC18" i="1"/>
  <c r="BE18" i="1"/>
  <c r="AT18" i="1"/>
  <c r="BI18" i="1"/>
  <c r="BF18" i="1"/>
  <c r="AU18" i="1"/>
  <c r="BG18" i="1"/>
  <c r="AV18" i="1"/>
  <c r="BH18" i="1"/>
  <c r="AW18" i="1"/>
  <c r="AX18" i="1"/>
  <c r="U18" i="1"/>
  <c r="AC18" i="1"/>
  <c r="AK18" i="1"/>
  <c r="AS18" i="1"/>
  <c r="N18" i="1"/>
  <c r="V18" i="1"/>
  <c r="AD18" i="1"/>
  <c r="AL18" i="1"/>
  <c r="O18" i="1"/>
  <c r="W18" i="1"/>
  <c r="AE18" i="1"/>
  <c r="AM18" i="1"/>
  <c r="Y18" i="1"/>
  <c r="AJ18" i="1"/>
  <c r="P18" i="1"/>
  <c r="AA18" i="1"/>
  <c r="AO18" i="1"/>
  <c r="R18" i="1"/>
  <c r="AF18" i="1"/>
  <c r="AQ18" i="1"/>
  <c r="BB18" i="1"/>
  <c r="T18" i="1"/>
  <c r="AP18" i="1"/>
  <c r="X18" i="1"/>
  <c r="AR18" i="1"/>
  <c r="AG18" i="1"/>
  <c r="S18" i="1"/>
  <c r="J18" i="1"/>
  <c r="Z18" i="1"/>
  <c r="AB18" i="1"/>
  <c r="AH18" i="1"/>
  <c r="Q18" i="1"/>
  <c r="J54" i="1"/>
  <c r="J38" i="1"/>
  <c r="J22" i="1"/>
  <c r="I54" i="1"/>
  <c r="I34" i="1"/>
  <c r="K6" i="1"/>
  <c r="K18" i="1"/>
  <c r="K41" i="1"/>
  <c r="L26" i="1"/>
  <c r="L44" i="1"/>
  <c r="AQ57" i="1"/>
  <c r="AE57" i="1"/>
  <c r="O57" i="1"/>
  <c r="AH56" i="1"/>
  <c r="AP55" i="1"/>
  <c r="AA53" i="1"/>
  <c r="Z50" i="1"/>
  <c r="AO48" i="1"/>
  <c r="Y47" i="1"/>
  <c r="AN45" i="1"/>
  <c r="R44" i="1"/>
  <c r="S42" i="1"/>
  <c r="AI39" i="1"/>
  <c r="N37" i="1"/>
  <c r="O34" i="1"/>
  <c r="Q31" i="1"/>
  <c r="AE24" i="1"/>
  <c r="AR20" i="1"/>
  <c r="AN16" i="1"/>
  <c r="W6" i="1"/>
  <c r="AX34" i="1"/>
  <c r="BI57" i="1"/>
  <c r="BB57" i="1"/>
  <c r="BE57" i="1"/>
  <c r="AZ57" i="1"/>
  <c r="M57" i="1"/>
  <c r="AX57" i="1"/>
  <c r="AW57" i="1"/>
  <c r="BH57" i="1"/>
  <c r="AV57" i="1"/>
  <c r="BG57" i="1"/>
  <c r="BC57" i="1"/>
  <c r="AU57" i="1"/>
  <c r="BF57" i="1"/>
  <c r="BA57" i="1"/>
  <c r="BD57" i="1"/>
  <c r="B58" i="1"/>
</calcChain>
</file>

<file path=xl/sharedStrings.xml><?xml version="1.0" encoding="utf-8"?>
<sst xmlns="http://schemas.openxmlformats.org/spreadsheetml/2006/main" count="62" uniqueCount="62">
  <si>
    <t>t</t>
  </si>
  <si>
    <t>Data</t>
  </si>
  <si>
    <t>Total</t>
  </si>
  <si>
    <t>ln(Data)</t>
  </si>
  <si>
    <t>Omega</t>
  </si>
  <si>
    <t>P</t>
  </si>
  <si>
    <t>Periodogram (I(wk))</t>
  </si>
  <si>
    <t>F</t>
  </si>
  <si>
    <t>a1</t>
  </si>
  <si>
    <t>b1</t>
  </si>
  <si>
    <t>a2</t>
  </si>
  <si>
    <t>b2</t>
  </si>
  <si>
    <t>a3</t>
  </si>
  <si>
    <t>b3</t>
  </si>
  <si>
    <t>a4</t>
  </si>
  <si>
    <t>b4</t>
  </si>
  <si>
    <t>a5</t>
  </si>
  <si>
    <t>b5</t>
  </si>
  <si>
    <t>a6</t>
  </si>
  <si>
    <t>b6</t>
  </si>
  <si>
    <t>a7</t>
  </si>
  <si>
    <t>b7</t>
  </si>
  <si>
    <t>a8</t>
  </si>
  <si>
    <t>b8</t>
  </si>
  <si>
    <t>a9</t>
  </si>
  <si>
    <t>b9</t>
  </si>
  <si>
    <t>a10</t>
  </si>
  <si>
    <t>b10</t>
  </si>
  <si>
    <t>a11</t>
  </si>
  <si>
    <t>b11</t>
  </si>
  <si>
    <t>a12</t>
  </si>
  <si>
    <t>b12</t>
  </si>
  <si>
    <t>a13</t>
  </si>
  <si>
    <t>b13</t>
  </si>
  <si>
    <t>a14</t>
  </si>
  <si>
    <t>b14</t>
  </si>
  <si>
    <t>a15</t>
  </si>
  <si>
    <t>b15</t>
  </si>
  <si>
    <t>a16</t>
  </si>
  <si>
    <t>b16</t>
  </si>
  <si>
    <t>a17</t>
  </si>
  <si>
    <t>b17</t>
  </si>
  <si>
    <t>a18</t>
  </si>
  <si>
    <t>b18</t>
  </si>
  <si>
    <t>a19</t>
  </si>
  <si>
    <t>b19</t>
  </si>
  <si>
    <t>a20</t>
  </si>
  <si>
    <t>b20</t>
  </si>
  <si>
    <t>a21</t>
  </si>
  <si>
    <t>b21</t>
  </si>
  <si>
    <t>a22</t>
  </si>
  <si>
    <t>b22</t>
  </si>
  <si>
    <t>a23</t>
  </si>
  <si>
    <t>b23</t>
  </si>
  <si>
    <t>a24</t>
  </si>
  <si>
    <t>b24</t>
  </si>
  <si>
    <t>a25</t>
  </si>
  <si>
    <t>b25</t>
  </si>
  <si>
    <t>a26</t>
  </si>
  <si>
    <t>b26</t>
  </si>
  <si>
    <t>a27</t>
  </si>
  <si>
    <t>b27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</si>
</sst>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E+00"/>
  </numFmts>
  <fonts count="5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name val="Calibri"/>
    </font>
    <font>
      <sz val="11"/>
      <color rgb="FFFF0000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/>
    <xf numFmtId="0" fontId="1" fillId="0" borderId="0" xfId="0" applyFont="1" applyAlignment="1">
      <alignment horizontal="center"/>
    </xf>
    <xf numFmtId="0" fontId="4" fillId="0" borderId="0" xfId="0" applyFont="1"/>
    <xf numFmtId="0" fontId="1" fillId="3" borderId="1" xfId="0" applyFont="1" applyFill="1" applyBorder="1" applyAlignment="1"/>
    <xf numFmtId="11" fontId="0" fillId="0" borderId="0" xfId="0" applyNumberFormat="1"/>
    <xf numFmtId="164" fontId="0" fillId="0" borderId="0" xfId="0" applyNumberFormat="1"/>
    <xf numFmtId="0" fontId="1" fillId="3" borderId="1" xfId="0" applyFont="1" applyFill="1" applyBorder="1" applyAlignment="1">
      <alignment horizontal="center"/>
    </xf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62"/>
  <sheetViews>
    <sheetView tabSelected="1" topLeftCell="E43" zoomScaleNormal="100" workbookViewId="0">
      <selection activeCell="H57" sqref="H57"/>
    </sheetView>
  </sheetViews>
  <sheetFormatPr defaultRowHeight="14.5"/>
  <cols>
    <col min="9" max="9" width="11.54296875" customWidth="1"/>
  </cols>
  <sheetData>
    <row r="1" spans="1:61">
      <c r="A1" s="10" t="s">
        <v>0</v>
      </c>
      <c r="B1" s="10" t="s">
        <v>1</v>
      </c>
      <c r="C1" s="10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7">
        <v>1</v>
      </c>
      <c r="I1" s="7">
        <v>1</v>
      </c>
      <c r="J1" s="7">
        <v>2</v>
      </c>
      <c r="K1" s="7">
        <v>2</v>
      </c>
      <c r="L1" s="7">
        <v>3</v>
      </c>
      <c r="M1" s="7">
        <v>3</v>
      </c>
      <c r="N1" s="7">
        <v>4</v>
      </c>
      <c r="O1" s="7">
        <v>4</v>
      </c>
      <c r="P1" s="7">
        <v>5</v>
      </c>
      <c r="Q1" s="7">
        <v>5</v>
      </c>
      <c r="R1" s="7">
        <v>6</v>
      </c>
      <c r="S1" s="7">
        <v>6</v>
      </c>
      <c r="T1" s="7">
        <v>7</v>
      </c>
      <c r="U1" s="7">
        <v>7</v>
      </c>
      <c r="V1" s="7">
        <v>8</v>
      </c>
      <c r="W1" s="7">
        <v>8</v>
      </c>
      <c r="X1" s="7">
        <v>9</v>
      </c>
      <c r="Y1" s="7">
        <v>9</v>
      </c>
      <c r="Z1" s="7">
        <v>10</v>
      </c>
      <c r="AA1" s="7">
        <v>10</v>
      </c>
      <c r="AB1" s="7">
        <v>11</v>
      </c>
      <c r="AC1" s="7">
        <v>11</v>
      </c>
      <c r="AD1" s="7">
        <v>12</v>
      </c>
      <c r="AE1" s="7">
        <v>12</v>
      </c>
      <c r="AF1" s="7">
        <v>13</v>
      </c>
      <c r="AG1" s="7">
        <v>13</v>
      </c>
      <c r="AH1" s="7">
        <v>14</v>
      </c>
      <c r="AI1" s="7">
        <v>14</v>
      </c>
      <c r="AJ1" s="7">
        <v>15</v>
      </c>
      <c r="AK1" s="7">
        <v>15</v>
      </c>
      <c r="AL1" s="7">
        <v>16</v>
      </c>
      <c r="AM1" s="7">
        <v>16</v>
      </c>
      <c r="AN1" s="7">
        <v>17</v>
      </c>
      <c r="AO1" s="7">
        <v>17</v>
      </c>
      <c r="AP1" s="7">
        <v>18</v>
      </c>
      <c r="AQ1" s="7">
        <v>18</v>
      </c>
      <c r="AR1" s="7">
        <v>19</v>
      </c>
      <c r="AS1" s="7">
        <v>19</v>
      </c>
      <c r="AT1" s="7">
        <v>20</v>
      </c>
      <c r="AU1" s="7">
        <v>20</v>
      </c>
      <c r="AV1" s="7">
        <v>21</v>
      </c>
      <c r="AW1" s="7">
        <v>21</v>
      </c>
      <c r="AX1" s="7">
        <v>22</v>
      </c>
      <c r="AY1" s="7">
        <v>22</v>
      </c>
      <c r="AZ1" s="7">
        <v>23</v>
      </c>
      <c r="BA1" s="7">
        <v>23</v>
      </c>
      <c r="BB1" s="7">
        <v>24</v>
      </c>
      <c r="BC1" s="7">
        <v>24</v>
      </c>
      <c r="BD1" s="7">
        <v>25</v>
      </c>
      <c r="BE1" s="7">
        <v>25</v>
      </c>
      <c r="BF1" s="7">
        <v>26</v>
      </c>
      <c r="BG1" s="7">
        <v>26</v>
      </c>
      <c r="BH1" s="7">
        <v>27</v>
      </c>
      <c r="BI1" s="7">
        <v>27</v>
      </c>
    </row>
    <row r="2" spans="1:61">
      <c r="A2" s="11"/>
      <c r="B2" s="11"/>
      <c r="C2" s="11"/>
      <c r="D2" s="11"/>
      <c r="E2" s="11"/>
      <c r="F2" s="11"/>
      <c r="G2" s="11"/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7" t="s">
        <v>38</v>
      </c>
      <c r="AM2" s="7" t="s">
        <v>39</v>
      </c>
      <c r="AN2" s="7" t="s">
        <v>40</v>
      </c>
      <c r="AO2" s="7" t="s">
        <v>41</v>
      </c>
      <c r="AP2" s="7" t="s">
        <v>42</v>
      </c>
      <c r="AQ2" s="7" t="s">
        <v>43</v>
      </c>
      <c r="AR2" s="7" t="s">
        <v>44</v>
      </c>
      <c r="AS2" s="7" t="s">
        <v>45</v>
      </c>
      <c r="AT2" s="7" t="s">
        <v>46</v>
      </c>
      <c r="AU2" s="7" t="s">
        <v>47</v>
      </c>
      <c r="AV2" s="7" t="s">
        <v>48</v>
      </c>
      <c r="AW2" s="7" t="s">
        <v>49</v>
      </c>
      <c r="AX2" s="7" t="s">
        <v>50</v>
      </c>
      <c r="AY2" s="7" t="s">
        <v>51</v>
      </c>
      <c r="AZ2" s="7" t="s">
        <v>52</v>
      </c>
      <c r="BA2" s="7" t="s">
        <v>53</v>
      </c>
      <c r="BB2" s="7" t="s">
        <v>54</v>
      </c>
      <c r="BC2" s="7" t="s">
        <v>55</v>
      </c>
      <c r="BD2" s="7" t="s">
        <v>56</v>
      </c>
      <c r="BE2" s="7" t="s">
        <v>57</v>
      </c>
      <c r="BF2" s="7" t="s">
        <v>58</v>
      </c>
      <c r="BG2" s="7" t="s">
        <v>59</v>
      </c>
      <c r="BH2" s="7" t="s">
        <v>60</v>
      </c>
      <c r="BI2" s="7" t="s">
        <v>61</v>
      </c>
    </row>
    <row r="3" spans="1:61">
      <c r="A3" s="1">
        <v>1</v>
      </c>
      <c r="B3" s="2">
        <v>23362</v>
      </c>
      <c r="C3">
        <f>LN(B3)</f>
        <v>10.058866049715641</v>
      </c>
      <c r="D3">
        <f>(2*PI()*A3)/COUNT($A$3:$A$57)</f>
        <v>0.11423973285781065</v>
      </c>
      <c r="H3">
        <f>2/COUNT($A$3:$A$57)*C3*COS($D$3)</f>
        <v>0.36339271631673131</v>
      </c>
      <c r="I3">
        <f>2/55*$C3*SIN($D3*I$1)</f>
        <v>4.1695429923897409E-2</v>
      </c>
      <c r="J3">
        <f>2/COUNT($A$3:$A$57)*$C3*COS($D3*J$1)</f>
        <v>0.35627110557635233</v>
      </c>
      <c r="K3">
        <f>2/55*$C3*SIN($D3*K$1)</f>
        <v>8.2847296153794936E-2</v>
      </c>
      <c r="L3">
        <f>2/COUNT($A$3:$A$57)*$C3*COS($D3*L$1)</f>
        <v>0.34450495612835086</v>
      </c>
      <c r="M3">
        <f>2/55*$C3*SIN($D3*M$1)</f>
        <v>0.12291912117971751</v>
      </c>
      <c r="N3">
        <f t="shared" ref="N3" si="0">2/COUNT($A$3:$A$57)*$C3*COS($D3*N$1)</f>
        <v>0.32824765772478792</v>
      </c>
      <c r="O3">
        <f>2/55*$C3*SIN($D3*O$1)</f>
        <v>0.16138850748049405</v>
      </c>
      <c r="P3">
        <f t="shared" ref="P3" si="1">2/COUNT($A$3:$A$57)*$C3*COS($D3*P$1)</f>
        <v>0.30771114911268771</v>
      </c>
      <c r="Q3">
        <f t="shared" ref="Q3" si="2">2/55*$C3*SIN($D3*Q$1)</f>
        <v>0.19775394777434988</v>
      </c>
      <c r="R3">
        <f t="shared" ref="R3" si="3">2/COUNT($A$3:$A$57)*$C3*COS($D3*R$1)</f>
        <v>0.28316315508835099</v>
      </c>
      <c r="S3">
        <f t="shared" ref="S3" si="4">2/55*$C3*SIN($D3*S$1)</f>
        <v>0.23154136293328134</v>
      </c>
      <c r="T3">
        <f t="shared" ref="T3" si="5">2/COUNT($A$3:$A$57)*$C3*COS($D3*T$1)</f>
        <v>0.25492369629520351</v>
      </c>
      <c r="U3">
        <f t="shared" ref="U3" si="6">2/55*$C3*SIN($D3*U$1)</f>
        <v>0.26231028232949977</v>
      </c>
      <c r="V3">
        <f t="shared" ref="V3" si="7">2/COUNT($A$3:$A$57)*$C3*COS($D3*V$1)</f>
        <v>0.22336091726530011</v>
      </c>
      <c r="W3">
        <f t="shared" ref="W3" si="8">2/55*$C3*SIN($D3*W$1)</f>
        <v>0.28965958604367781</v>
      </c>
      <c r="X3">
        <f t="shared" ref="X3" si="9">2/COUNT($A$3:$A$57)*$C3*COS($D3*X$1)</f>
        <v>0.18888628709234509</v>
      </c>
      <c r="Y3">
        <f t="shared" ref="Y3:AS4" si="10">2/55*$C3*SIN($D3*Y$1)</f>
        <v>0.31323273407653168</v>
      </c>
      <c r="Z3">
        <f t="shared" ref="Z3:AR4" si="11">2/COUNT($A$3:$A$57)*$C3*COS($D3*Z$1)</f>
        <v>0.15194923530279481</v>
      </c>
      <c r="AA3">
        <f t="shared" ref="AA3" si="12">2/55*$C3*SIN($D3*AA$1)</f>
        <v>0.33272241439296946</v>
      </c>
      <c r="AB3">
        <f t="shared" ref="AB3" si="13">2/COUNT($A$3:$A$57)*$C3*COS($D3*AB$1)</f>
        <v>0.11303129285466648</v>
      </c>
      <c r="AC3">
        <f t="shared" ref="AC3" si="14">2/55*$C3*SIN($D3*AC$1)</f>
        <v>0.34787454920444183</v>
      </c>
      <c r="AD3">
        <f t="shared" ref="AD3" si="15">2/COUNT($A$3:$A$57)*$C3*COS($D3*AD$1)</f>
        <v>7.2639814645093684E-2</v>
      </c>
      <c r="AE3">
        <f t="shared" ref="AE3" si="16">2/55*$C3*SIN($D3*AE$1)</f>
        <v>0.35849160726147755</v>
      </c>
      <c r="AF3">
        <f t="shared" ref="AF3" si="17">2/COUNT($A$3:$A$57)*$C3*COS($D3*AF$1)</f>
        <v>3.1301365363342916E-2</v>
      </c>
      <c r="AG3">
        <f t="shared" ref="AG3" si="18">2/55*$C3*SIN($D3*AG$1)</f>
        <v>0.36443517897560535</v>
      </c>
      <c r="AH3">
        <f t="shared" ref="AH3" si="19">2/COUNT($A$3:$A$57)*$C3*COS($D3*AH$1)</f>
        <v>-1.0445145085187834E-2</v>
      </c>
      <c r="AI3">
        <f t="shared" ref="AI3" si="20">2/55*$C3*SIN($D3*AI$1)</f>
        <v>0.36562778080001029</v>
      </c>
      <c r="AJ3">
        <f t="shared" ref="AJ3" si="21">2/COUNT($A$3:$A$57)*$C3*COS($D3*AJ$1)</f>
        <v>-5.2055487093742497E-2</v>
      </c>
      <c r="AK3">
        <f t="shared" ref="AK3" si="22">2/55*$C3*SIN($D3*AK$1)</f>
        <v>0.36205386534606177</v>
      </c>
      <c r="AL3">
        <f t="shared" ref="AL3" si="23">2/COUNT($A$3:$A$57)*$C3*COS($D3*AL$1)</f>
        <v>-9.2987206219422872E-2</v>
      </c>
      <c r="AM3">
        <f t="shared" ref="AM3" si="24">2/55*$C3*SIN($D3*AM$1)</f>
        <v>0.35376002406730123</v>
      </c>
      <c r="AN3">
        <f t="shared" ref="AN3" si="25">2/COUNT($A$3:$A$57)*$C3*COS($D3*AN$1)</f>
        <v>-0.13270669490642897</v>
      </c>
      <c r="AO3">
        <f t="shared" ref="AO3" si="26">2/55*$C3*SIN($D3*AO$1)</f>
        <v>0.34085437986859285</v>
      </c>
      <c r="AP3">
        <f t="shared" ref="AP3" si="27">2/COUNT($A$3:$A$57)*$C3*COS($D3*AP$1)</f>
        <v>-0.17069614887659654</v>
      </c>
      <c r="AQ3">
        <f t="shared" ref="AQ3" si="28">2/55*$C3*SIN($D3*AQ$1)</f>
        <v>0.32350517755870584</v>
      </c>
      <c r="AR3">
        <f t="shared" ref="AR3" si="29">2/COUNT($A$3:$A$57)*$C3*COS($D3*AR$1)</f>
        <v>-0.2064603175000421</v>
      </c>
      <c r="AS3">
        <f t="shared" ref="AS3" si="30">2/55*$C3*SIN($D3*AS$1)</f>
        <v>0.30193859052193517</v>
      </c>
      <c r="AT3">
        <f>2/COUNT($A$3:$A$57)*$C3*COS($D3*AT$1)</f>
        <v>-0.23953296014451253</v>
      </c>
      <c r="AU3">
        <f>2/55*$C3*SIN($D3*AU$1)</f>
        <v>0.27643577220214893</v>
      </c>
      <c r="AV3">
        <f t="shared" ref="AV3" si="31">2/COUNT($A$3:$A$57)*$C3*COS($D3*AV$1)</f>
        <v>-0.26948292433504867</v>
      </c>
      <c r="AW3">
        <f t="shared" ref="AW3" si="32">2/55*$C3*SIN($D3*AW$1)</f>
        <v>0.24732919083767985</v>
      </c>
      <c r="AX3">
        <f t="shared" ref="AX3" si="33">2/COUNT($A$3:$A$57)*$C3*COS($D3*AX$1)</f>
        <v>-0.29591976648585994</v>
      </c>
      <c r="AY3">
        <f t="shared" ref="AY3" si="34">2/55*$C3*SIN($D3*AY$1)</f>
        <v>0.21499829522939282</v>
      </c>
      <c r="AZ3">
        <f t="shared" ref="AZ3" si="35">2/COUNT($A$3:$A$57)*$C3*COS($D3*AZ$1)</f>
        <v>-0.31849884192957101</v>
      </c>
      <c r="BA3">
        <f t="shared" ref="BA3" si="36">2/55*$C3*SIN($D3*BA$1)</f>
        <v>0.17986456804527443</v>
      </c>
      <c r="BB3">
        <f t="shared" ref="BB3" si="37">2/COUNT($A$3:$A$57)*$C3*COS($D3*BB$1)</f>
        <v>-0.33692579788752769</v>
      </c>
      <c r="BC3">
        <f t="shared" ref="BC3" si="38">2/55*$C3*SIN($D3*BC$1)</f>
        <v>0.14238603114928031</v>
      </c>
      <c r="BD3">
        <f>2/COUNT($A$3:$A$57)*$C3*COS($D3*BD$1)</f>
        <v>-0.35096041080842083</v>
      </c>
      <c r="BE3">
        <f>2/55*$C3*SIN($D3*BE$1)</f>
        <v>0.1030512745858852</v>
      </c>
      <c r="BF3">
        <f t="shared" ref="BF3" si="39">2/COUNT($A$3:$A$57)*$C3*COS($D3*BF$1)</f>
        <v>-0.36041971804965228</v>
      </c>
      <c r="BG3">
        <f t="shared" ref="BG3:BI3" si="40">2/55*$C3*SIN($D3*BG$1)</f>
        <v>6.2373087061649887E-2</v>
      </c>
      <c r="BH3">
        <f t="shared" ref="BH3" si="41">2/COUNT($A$3:$A$57)*$C3*COS($D3*BH$1)</f>
        <v>-0.36518040307518668</v>
      </c>
      <c r="BI3">
        <f t="shared" si="40"/>
        <v>2.0881770960223228E-2</v>
      </c>
    </row>
    <row r="4" spans="1:61">
      <c r="A4" s="1">
        <v>2</v>
      </c>
      <c r="B4" s="2">
        <v>31642</v>
      </c>
      <c r="C4">
        <f t="shared" ref="C4:C57" si="42">LN(B4)</f>
        <v>10.362240631009008</v>
      </c>
      <c r="D4">
        <f t="shared" ref="D4:D56" si="43">(2*PI()*A4)/COUNT($A$3:$A$57)</f>
        <v>0.2284794657156213</v>
      </c>
      <c r="H4">
        <f>2/COUNT($A$3:$A$57)*C4*COS($D4)</f>
        <v>0.36701621312097527</v>
      </c>
      <c r="I4">
        <f t="shared" ref="I4:W57" si="44">2/55*$C4*SIN($D4*I$1)</f>
        <v>8.5345963862234656E-2</v>
      </c>
      <c r="J4">
        <f t="shared" ref="J4:X57" si="45">2/COUNT($A$3:$A$57)*$C4*COS($D4*J$1)</f>
        <v>0.33814758036324488</v>
      </c>
      <c r="K4">
        <f t="shared" si="44"/>
        <v>0.16625597172949261</v>
      </c>
      <c r="L4">
        <f t="shared" si="45"/>
        <v>0.29170333279705657</v>
      </c>
      <c r="M4">
        <f t="shared" si="44"/>
        <v>0.23852463159247236</v>
      </c>
      <c r="N4">
        <f t="shared" si="45"/>
        <v>0.23009746434901224</v>
      </c>
      <c r="O4">
        <f t="shared" si="44"/>
        <v>0.29839569558120316</v>
      </c>
      <c r="P4">
        <f t="shared" si="45"/>
        <v>0.15653201187124666</v>
      </c>
      <c r="Q4">
        <f t="shared" si="44"/>
        <v>0.34275729532830501</v>
      </c>
      <c r="R4">
        <f t="shared" si="45"/>
        <v>7.4830625542093951E-2</v>
      </c>
      <c r="S4">
        <f t="shared" si="44"/>
        <v>0.36930368495618066</v>
      </c>
      <c r="T4">
        <f t="shared" si="45"/>
        <v>-1.0760169810748912E-2</v>
      </c>
      <c r="U4">
        <f t="shared" si="44"/>
        <v>0.37665508490776922</v>
      </c>
      <c r="V4">
        <f t="shared" si="45"/>
        <v>-9.5791692790079111E-2</v>
      </c>
      <c r="W4">
        <f t="shared" si="44"/>
        <v>0.3644293975980068</v>
      </c>
      <c r="X4">
        <f t="shared" si="45"/>
        <v>-0.17584433083248327</v>
      </c>
      <c r="Y4">
        <f t="shared" si="10"/>
        <v>0.33326206738137959</v>
      </c>
      <c r="Z4">
        <f t="shared" si="11"/>
        <v>-0.24675725472509863</v>
      </c>
      <c r="AA4">
        <f t="shared" si="10"/>
        <v>0.28477305259059849</v>
      </c>
      <c r="AB4">
        <f t="shared" si="11"/>
        <v>-0.30484468255595876</v>
      </c>
      <c r="AC4">
        <f t="shared" si="10"/>
        <v>0.22148262631319809</v>
      </c>
      <c r="AD4">
        <f t="shared" si="11"/>
        <v>-0.34708745252691442</v>
      </c>
      <c r="AE4">
        <f t="shared" si="10"/>
        <v>0.14668038225888261</v>
      </c>
      <c r="AF4">
        <f t="shared" si="11"/>
        <v>-0.37128994740878346</v>
      </c>
      <c r="AG4">
        <f t="shared" si="10"/>
        <v>6.425425429041895E-2</v>
      </c>
      <c r="AH4">
        <f t="shared" si="11"/>
        <v>-0.37619421430718031</v>
      </c>
      <c r="AI4">
        <f t="shared" si="10"/>
        <v>-2.1511563472660374E-2</v>
      </c>
      <c r="AJ4">
        <f t="shared" si="11"/>
        <v>-0.36154534823112</v>
      </c>
      <c r="AK4">
        <f t="shared" si="10"/>
        <v>-0.10615929263928417</v>
      </c>
      <c r="AL4">
        <f t="shared" si="11"/>
        <v>-0.32810474107717313</v>
      </c>
      <c r="AM4">
        <f t="shared" si="10"/>
        <v>-0.1852892687770023</v>
      </c>
      <c r="AN4">
        <f t="shared" si="11"/>
        <v>-0.27761050739777077</v>
      </c>
      <c r="AO4">
        <f t="shared" si="10"/>
        <v>-0.2547886191013784</v>
      </c>
      <c r="AP4">
        <f t="shared" si="11"/>
        <v>-0.21268714387049986</v>
      </c>
      <c r="AQ4">
        <f t="shared" si="10"/>
        <v>-0.31104503383504506</v>
      </c>
      <c r="AR4">
        <f t="shared" si="11"/>
        <v>-0.1367091180228204</v>
      </c>
      <c r="AS4">
        <f t="shared" si="10"/>
        <v>-0.35113452022075181</v>
      </c>
      <c r="AT4">
        <f t="shared" ref="AT4:BB54" si="46">2/COUNT($A$3:$A$57)*$C4*COS($D4*AT$1)</f>
        <v>-5.3625476347305898E-2</v>
      </c>
      <c r="AU4">
        <f t="shared" ref="AU4:BC54" si="47">2/55*$C4*SIN($D4*AU$1)</f>
        <v>-0.37297338045463718</v>
      </c>
      <c r="AV4">
        <f t="shared" si="46"/>
        <v>3.2245411994849725E-2</v>
      </c>
      <c r="AW4">
        <f t="shared" si="47"/>
        <v>-0.37542651430941504</v>
      </c>
      <c r="AX4">
        <f t="shared" si="46"/>
        <v>0.11644030744670401</v>
      </c>
      <c r="AY4">
        <f t="shared" si="47"/>
        <v>-0.35836641729234625</v>
      </c>
      <c r="AZ4">
        <f t="shared" si="46"/>
        <v>0.19458308213618769</v>
      </c>
      <c r="BA4">
        <f t="shared" si="47"/>
        <v>-0.32267980783993389</v>
      </c>
      <c r="BB4">
        <f t="shared" si="46"/>
        <v>0.26261217422532762</v>
      </c>
      <c r="BC4">
        <f t="shared" si="47"/>
        <v>-0.27022153909316921</v>
      </c>
      <c r="BD4">
        <f t="shared" ref="BD4:BH57" si="48">2/COUNT($A$3:$A$57)*$C4*COS($D4*BD$1)</f>
        <v>0.31699169232302299</v>
      </c>
      <c r="BE4">
        <f t="shared" ref="BE4:BI57" si="49">2/55*$C4*SIN($D4*BE$1)</f>
        <v>-0.20371819074255726</v>
      </c>
      <c r="BF4">
        <f t="shared" si="48"/>
        <v>0.35489519756335652</v>
      </c>
      <c r="BG4">
        <f t="shared" si="49"/>
        <v>-0.1266263518691948</v>
      </c>
      <c r="BH4">
        <f t="shared" si="48"/>
        <v>0.37435261106160306</v>
      </c>
      <c r="BI4">
        <f t="shared" si="49"/>
        <v>-4.2952960696500779E-2</v>
      </c>
    </row>
    <row r="5" spans="1:61">
      <c r="A5" s="1">
        <v>3</v>
      </c>
      <c r="B5" s="2">
        <v>33757</v>
      </c>
      <c r="C5">
        <f t="shared" si="42"/>
        <v>10.42694308220214</v>
      </c>
      <c r="D5">
        <f t="shared" si="43"/>
        <v>0.34271919857343197</v>
      </c>
      <c r="H5">
        <f t="shared" ref="H5:H57" si="50">2/COUNT($A$3:$A$57)*C5*COS($D5)</f>
        <v>0.35711118443498979</v>
      </c>
      <c r="I5">
        <f t="shared" si="44"/>
        <v>0.12741701439512201</v>
      </c>
      <c r="J5">
        <f t="shared" si="45"/>
        <v>0.29352474587992738</v>
      </c>
      <c r="K5">
        <f t="shared" si="44"/>
        <v>0.24001399367964374</v>
      </c>
      <c r="L5">
        <f t="shared" si="45"/>
        <v>0.19579807055647705</v>
      </c>
      <c r="M5">
        <f t="shared" si="44"/>
        <v>0.32469463988844788</v>
      </c>
      <c r="N5">
        <f t="shared" ref="N5:AR20" si="51">2/COUNT($A$3:$A$57)*$C5*COS($D5*N$1)</f>
        <v>7.5297872450296399E-2</v>
      </c>
      <c r="O5">
        <f t="shared" ref="O5:AS20" si="52">2/55*$C5*SIN($D5*O$1)</f>
        <v>0.37160963928615592</v>
      </c>
      <c r="P5">
        <f t="shared" si="51"/>
        <v>-5.3960317033758011E-2</v>
      </c>
      <c r="Q5">
        <f t="shared" si="52"/>
        <v>0.37530224858311778</v>
      </c>
      <c r="R5">
        <f t="shared" si="51"/>
        <v>-0.17694231336719013</v>
      </c>
      <c r="S5">
        <f t="shared" si="52"/>
        <v>0.33534297569234262</v>
      </c>
      <c r="T5">
        <f t="shared" si="51"/>
        <v>-0.27934392403469493</v>
      </c>
      <c r="U5">
        <f t="shared" si="52"/>
        <v>0.2563795345007604</v>
      </c>
      <c r="V5">
        <f t="shared" si="51"/>
        <v>-0.34925468737085996</v>
      </c>
      <c r="W5">
        <f t="shared" si="52"/>
        <v>0.14759626335178974</v>
      </c>
      <c r="X5">
        <f t="shared" si="51"/>
        <v>-0.37854319351516252</v>
      </c>
      <c r="Y5">
        <f t="shared" si="52"/>
        <v>2.1645882963515817E-2</v>
      </c>
      <c r="Z5">
        <f t="shared" si="51"/>
        <v>-0.36380285904186344</v>
      </c>
      <c r="AA5">
        <f t="shared" si="52"/>
        <v>-0.10682215762141321</v>
      </c>
      <c r="AB5">
        <f t="shared" si="51"/>
        <v>-0.30674815101388464</v>
      </c>
      <c r="AC5">
        <f t="shared" si="52"/>
        <v>-0.22286557709859786</v>
      </c>
      <c r="AD5">
        <f t="shared" si="51"/>
        <v>-0.21401517513668245</v>
      </c>
      <c r="AE5">
        <f t="shared" si="52"/>
        <v>-0.31298721765775539</v>
      </c>
      <c r="AF5">
        <f t="shared" si="51"/>
        <v>-9.6389821857735591E-2</v>
      </c>
      <c r="AG5">
        <f t="shared" si="52"/>
        <v>-0.36670491658575016</v>
      </c>
      <c r="AH5">
        <f t="shared" si="51"/>
        <v>3.244675427882987E-2</v>
      </c>
      <c r="AI5">
        <f t="shared" si="52"/>
        <v>-0.37777069995262635</v>
      </c>
      <c r="AJ5">
        <f t="shared" si="51"/>
        <v>0.15750940712956102</v>
      </c>
      <c r="AK5">
        <f t="shared" si="52"/>
        <v>-0.34489749241132822</v>
      </c>
      <c r="AL5">
        <f t="shared" si="51"/>
        <v>0.26425194037153049</v>
      </c>
      <c r="AM5">
        <f t="shared" si="52"/>
        <v>-0.27190881856940408</v>
      </c>
      <c r="AN5">
        <f t="shared" si="51"/>
        <v>0.34025899410990651</v>
      </c>
      <c r="AO5">
        <f t="shared" si="52"/>
        <v>-0.16729408397562245</v>
      </c>
      <c r="AP5">
        <f t="shared" si="51"/>
        <v>0.3766900911886088</v>
      </c>
      <c r="AQ5">
        <f t="shared" si="52"/>
        <v>-4.3221161555950585E-2</v>
      </c>
      <c r="AR5">
        <f t="shared" si="51"/>
        <v>0.36930788433979311</v>
      </c>
      <c r="AS5">
        <f t="shared" si="52"/>
        <v>8.5878869172771391E-2</v>
      </c>
      <c r="AT5">
        <f t="shared" si="46"/>
        <v>0.31897100743753448</v>
      </c>
      <c r="AU5">
        <f t="shared" si="47"/>
        <v>0.20499021932817266</v>
      </c>
      <c r="AV5">
        <f t="shared" si="46"/>
        <v>0.23153420669913236</v>
      </c>
      <c r="AW5">
        <f t="shared" si="47"/>
        <v>0.30025889617816731</v>
      </c>
      <c r="AX5">
        <f t="shared" si="46"/>
        <v>0.1171673677011185</v>
      </c>
      <c r="AY5">
        <f t="shared" si="47"/>
        <v>0.36060407866789157</v>
      </c>
      <c r="AZ5">
        <f t="shared" si="46"/>
        <v>-1.0827356955576094E-2</v>
      </c>
      <c r="BA5">
        <f t="shared" si="47"/>
        <v>0.37900694181938743</v>
      </c>
      <c r="BB5">
        <f t="shared" si="46"/>
        <v>-0.13756273794456358</v>
      </c>
      <c r="BC5">
        <f t="shared" si="47"/>
        <v>0.35332702519779507</v>
      </c>
      <c r="BD5">
        <f t="shared" si="48"/>
        <v>-0.24829802180424027</v>
      </c>
      <c r="BE5">
        <f t="shared" si="49"/>
        <v>0.28655119258873979</v>
      </c>
      <c r="BF5">
        <f t="shared" si="48"/>
        <v>-0.33015344673377139</v>
      </c>
      <c r="BG5">
        <f t="shared" si="49"/>
        <v>0.18644622606998187</v>
      </c>
      <c r="BH5">
        <f t="shared" si="48"/>
        <v>-0.37360830408048884</v>
      </c>
      <c r="BI5">
        <f t="shared" si="49"/>
        <v>6.4655461703006942E-2</v>
      </c>
    </row>
    <row r="6" spans="1:61">
      <c r="A6" s="1">
        <v>4</v>
      </c>
      <c r="B6" s="2">
        <v>23226</v>
      </c>
      <c r="C6">
        <f t="shared" si="42"/>
        <v>10.053027619805704</v>
      </c>
      <c r="D6">
        <f t="shared" si="43"/>
        <v>0.45695893143124261</v>
      </c>
      <c r="H6">
        <f t="shared" si="50"/>
        <v>0.32805713416743509</v>
      </c>
      <c r="I6">
        <f t="shared" si="44"/>
        <v>0.16129483335415243</v>
      </c>
      <c r="J6">
        <f t="shared" si="45"/>
        <v>0.2232312727254854</v>
      </c>
      <c r="K6">
        <f t="shared" si="44"/>
        <v>0.28949146001610182</v>
      </c>
      <c r="L6">
        <f t="shared" si="45"/>
        <v>7.2597652589810296E-2</v>
      </c>
      <c r="M6">
        <f t="shared" si="44"/>
        <v>0.35828352932188151</v>
      </c>
      <c r="N6">
        <f t="shared" si="51"/>
        <v>-9.2933234003931608E-2</v>
      </c>
      <c r="O6">
        <f t="shared" si="52"/>
        <v>0.35355469246279958</v>
      </c>
      <c r="P6">
        <f t="shared" si="51"/>
        <v>-0.23939392892647943</v>
      </c>
      <c r="Q6">
        <f t="shared" si="52"/>
        <v>0.27627532162326407</v>
      </c>
      <c r="R6">
        <f t="shared" si="51"/>
        <v>-0.33673023730981511</v>
      </c>
      <c r="S6">
        <f t="shared" si="52"/>
        <v>0.14230338655903421</v>
      </c>
      <c r="T6">
        <f t="shared" si="51"/>
        <v>-0.36496844278291318</v>
      </c>
      <c r="U6">
        <f t="shared" si="52"/>
        <v>-2.086965063219156E-2</v>
      </c>
      <c r="V6">
        <f t="shared" si="51"/>
        <v>-0.31831397684082141</v>
      </c>
      <c r="W6">
        <f t="shared" si="52"/>
        <v>-0.17976016992836685</v>
      </c>
      <c r="X6">
        <f t="shared" si="51"/>
        <v>-0.20634048251198786</v>
      </c>
      <c r="Y6">
        <f t="shared" si="52"/>
        <v>-0.30176333743782452</v>
      </c>
      <c r="Z6">
        <f t="shared" si="51"/>
        <v>-5.2025272722527931E-2</v>
      </c>
      <c r="AA6">
        <f t="shared" si="52"/>
        <v>-0.36184371977836077</v>
      </c>
      <c r="AB6">
        <f t="shared" si="51"/>
        <v>0.11296568652511593</v>
      </c>
      <c r="AC6">
        <f t="shared" si="52"/>
        <v>-0.34767263368404988</v>
      </c>
      <c r="AD6">
        <f t="shared" si="51"/>
        <v>0.25477573188988711</v>
      </c>
      <c r="AE6">
        <f t="shared" si="52"/>
        <v>-0.26215803055574444</v>
      </c>
      <c r="AF6">
        <f t="shared" si="51"/>
        <v>0.34430499640823514</v>
      </c>
      <c r="AG6">
        <f t="shared" si="52"/>
        <v>-0.12284777569504254</v>
      </c>
      <c r="AH6">
        <f t="shared" si="51"/>
        <v>0.36318179364478093</v>
      </c>
      <c r="AI6">
        <f t="shared" si="52"/>
        <v>4.1671228801825201E-2</v>
      </c>
      <c r="AJ6">
        <f t="shared" si="51"/>
        <v>0.30753254548403608</v>
      </c>
      <c r="AK6">
        <f t="shared" si="52"/>
        <v>0.19763916619183458</v>
      </c>
      <c r="AL6">
        <f t="shared" si="51"/>
        <v>0.1887766525328744</v>
      </c>
      <c r="AM6">
        <f t="shared" si="52"/>
        <v>0.31305092557502001</v>
      </c>
      <c r="AN6">
        <f t="shared" si="51"/>
        <v>3.1283197229196043E-2</v>
      </c>
      <c r="AO6">
        <f t="shared" si="52"/>
        <v>0.36422365123096212</v>
      </c>
      <c r="AP6">
        <f t="shared" si="51"/>
        <v>-0.13262966845702995</v>
      </c>
      <c r="AQ6">
        <f t="shared" si="52"/>
        <v>0.34065653903876941</v>
      </c>
      <c r="AR6">
        <f t="shared" si="51"/>
        <v>-0.26932650937158448</v>
      </c>
      <c r="AS6">
        <f t="shared" si="52"/>
        <v>0.24718563448269423</v>
      </c>
      <c r="AT6">
        <f t="shared" si="46"/>
        <v>-0.35075670417294719</v>
      </c>
      <c r="AU6">
        <f t="shared" si="47"/>
        <v>0.10299146092092272</v>
      </c>
      <c r="AV6">
        <f t="shared" si="46"/>
        <v>-0.36021052098394019</v>
      </c>
      <c r="AW6">
        <f t="shared" si="47"/>
        <v>-6.2336884084566682E-2</v>
      </c>
      <c r="AX6">
        <f t="shared" si="46"/>
        <v>-0.29574800688521979</v>
      </c>
      <c r="AY6">
        <f t="shared" si="47"/>
        <v>-0.21487350457493429</v>
      </c>
      <c r="AZ6">
        <f t="shared" si="46"/>
        <v>-0.17059707235085472</v>
      </c>
      <c r="BA6">
        <f t="shared" si="47"/>
        <v>-0.32331740666133574</v>
      </c>
      <c r="BB6">
        <f t="shared" si="46"/>
        <v>-1.043908244878578E-2</v>
      </c>
      <c r="BC6">
        <f t="shared" si="47"/>
        <v>-0.36541556083796128</v>
      </c>
      <c r="BD6">
        <f t="shared" si="48"/>
        <v>0.15186103997781436</v>
      </c>
      <c r="BE6">
        <f t="shared" si="49"/>
        <v>-0.3325292935693801</v>
      </c>
      <c r="BF6">
        <f t="shared" si="48"/>
        <v>0.28299879975983866</v>
      </c>
      <c r="BG6">
        <f t="shared" si="49"/>
        <v>-0.23140697024805679</v>
      </c>
      <c r="BH6">
        <f t="shared" si="48"/>
        <v>0.35606431647422448</v>
      </c>
      <c r="BI6">
        <f t="shared" si="49"/>
        <v>-8.2799209408288554E-2</v>
      </c>
    </row>
    <row r="7" spans="1:61">
      <c r="A7" s="1">
        <v>5</v>
      </c>
      <c r="B7" s="2">
        <v>15178</v>
      </c>
      <c r="C7">
        <f t="shared" si="42"/>
        <v>9.6276022899638587</v>
      </c>
      <c r="D7">
        <f t="shared" si="43"/>
        <v>0.5711986642890533</v>
      </c>
      <c r="H7">
        <f t="shared" si="50"/>
        <v>0.29451834324093329</v>
      </c>
      <c r="I7">
        <f t="shared" si="44"/>
        <v>0.18927544626121612</v>
      </c>
      <c r="J7">
        <f t="shared" si="45"/>
        <v>0.14543456474408464</v>
      </c>
      <c r="K7">
        <f t="shared" si="44"/>
        <v>0.31845727569089288</v>
      </c>
      <c r="L7">
        <f t="shared" si="45"/>
        <v>-4.9823660467480539E-2</v>
      </c>
      <c r="M7">
        <f t="shared" si="44"/>
        <v>0.34653117020029806</v>
      </c>
      <c r="N7">
        <f t="shared" si="51"/>
        <v>-0.22926322551778322</v>
      </c>
      <c r="O7">
        <f t="shared" si="52"/>
        <v>0.2645838666433552</v>
      </c>
      <c r="P7">
        <f t="shared" si="51"/>
        <v>-0.33591333636273335</v>
      </c>
      <c r="Q7">
        <f t="shared" si="52"/>
        <v>9.863305488741532E-2</v>
      </c>
      <c r="R7">
        <f t="shared" si="51"/>
        <v>-0.33591333636273335</v>
      </c>
      <c r="S7">
        <f t="shared" si="52"/>
        <v>-9.8633054887415222E-2</v>
      </c>
      <c r="T7">
        <f t="shared" si="51"/>
        <v>-0.2292632255177833</v>
      </c>
      <c r="U7">
        <f t="shared" si="52"/>
        <v>-0.26458386664335515</v>
      </c>
      <c r="V7">
        <f t="shared" si="51"/>
        <v>-4.9823660467480615E-2</v>
      </c>
      <c r="W7">
        <f t="shared" si="52"/>
        <v>-0.346531170200298</v>
      </c>
      <c r="X7">
        <f t="shared" si="51"/>
        <v>0.1454345647440845</v>
      </c>
      <c r="Y7">
        <f t="shared" si="52"/>
        <v>-0.31845727569089294</v>
      </c>
      <c r="Z7">
        <f t="shared" si="51"/>
        <v>0.29451834324093329</v>
      </c>
      <c r="AA7">
        <f t="shared" si="52"/>
        <v>-0.18927544626121609</v>
      </c>
      <c r="AB7">
        <f t="shared" si="51"/>
        <v>0.35009462872595848</v>
      </c>
      <c r="AC7">
        <f t="shared" si="52"/>
        <v>-8.5783578691083006E-17</v>
      </c>
      <c r="AD7">
        <f t="shared" si="51"/>
        <v>0.2945183432409334</v>
      </c>
      <c r="AE7">
        <f t="shared" si="52"/>
        <v>0.18927544626121595</v>
      </c>
      <c r="AF7">
        <f t="shared" si="51"/>
        <v>0.14543456474408467</v>
      </c>
      <c r="AG7">
        <f t="shared" si="52"/>
        <v>0.31845727569089288</v>
      </c>
      <c r="AH7">
        <f t="shared" si="51"/>
        <v>-4.9823660467480449E-2</v>
      </c>
      <c r="AI7">
        <f t="shared" si="52"/>
        <v>0.34653117020029806</v>
      </c>
      <c r="AJ7">
        <f t="shared" si="51"/>
        <v>-0.2292632255177833</v>
      </c>
      <c r="AK7">
        <f t="shared" si="52"/>
        <v>0.26458386664335515</v>
      </c>
      <c r="AL7">
        <f t="shared" si="51"/>
        <v>-0.33591333636273335</v>
      </c>
      <c r="AM7">
        <f t="shared" si="52"/>
        <v>9.8633054887415389E-2</v>
      </c>
      <c r="AN7">
        <f t="shared" si="51"/>
        <v>-0.33591333636273341</v>
      </c>
      <c r="AO7">
        <f t="shared" si="52"/>
        <v>-9.8633054887415139E-2</v>
      </c>
      <c r="AP7">
        <f t="shared" si="51"/>
        <v>-0.2292632255177835</v>
      </c>
      <c r="AQ7">
        <f t="shared" si="52"/>
        <v>-0.26458386664335498</v>
      </c>
      <c r="AR7">
        <f t="shared" si="51"/>
        <v>-4.9823660467480393E-2</v>
      </c>
      <c r="AS7">
        <f t="shared" si="52"/>
        <v>-0.34653117020029806</v>
      </c>
      <c r="AT7">
        <f t="shared" si="46"/>
        <v>0.1454345647440847</v>
      </c>
      <c r="AU7">
        <f t="shared" si="47"/>
        <v>-0.31845727569089288</v>
      </c>
      <c r="AV7">
        <f t="shared" si="46"/>
        <v>0.29451834324093329</v>
      </c>
      <c r="AW7">
        <f t="shared" si="47"/>
        <v>-0.18927544626121615</v>
      </c>
      <c r="AX7">
        <f t="shared" si="46"/>
        <v>0.35009462872595848</v>
      </c>
      <c r="AY7">
        <f t="shared" si="47"/>
        <v>-1.7156715738216601E-16</v>
      </c>
      <c r="AZ7">
        <f t="shared" si="46"/>
        <v>0.29451834324093346</v>
      </c>
      <c r="BA7">
        <f t="shared" si="47"/>
        <v>0.1892754462612159</v>
      </c>
      <c r="BB7">
        <f t="shared" si="46"/>
        <v>0.145434564744085</v>
      </c>
      <c r="BC7">
        <f t="shared" si="47"/>
        <v>0.31845727569089272</v>
      </c>
      <c r="BD7">
        <f t="shared" si="48"/>
        <v>-4.9823660467480678E-2</v>
      </c>
      <c r="BE7">
        <f t="shared" si="49"/>
        <v>0.346531170200298</v>
      </c>
      <c r="BF7">
        <f t="shared" si="48"/>
        <v>-0.22926322551778322</v>
      </c>
      <c r="BG7">
        <f t="shared" si="49"/>
        <v>0.26458386664335526</v>
      </c>
      <c r="BH7">
        <f t="shared" si="48"/>
        <v>-0.33591333636273329</v>
      </c>
      <c r="BI7">
        <f t="shared" si="49"/>
        <v>9.8633054887415472E-2</v>
      </c>
    </row>
    <row r="8" spans="1:61">
      <c r="A8" s="3">
        <v>6</v>
      </c>
      <c r="B8" s="4">
        <v>7272</v>
      </c>
      <c r="C8">
        <f t="shared" si="42"/>
        <v>8.891786635857315</v>
      </c>
      <c r="D8">
        <f t="shared" si="43"/>
        <v>0.68543839714686394</v>
      </c>
      <c r="H8">
        <f t="shared" si="50"/>
        <v>0.25030916464515091</v>
      </c>
      <c r="I8">
        <f t="shared" si="44"/>
        <v>0.20467678825850763</v>
      </c>
      <c r="J8">
        <f t="shared" si="45"/>
        <v>6.4211783902883929E-2</v>
      </c>
      <c r="K8">
        <f t="shared" si="44"/>
        <v>0.31689763704575108</v>
      </c>
      <c r="L8">
        <f t="shared" si="45"/>
        <v>-0.15089113701997642</v>
      </c>
      <c r="M8">
        <f t="shared" si="44"/>
        <v>0.28597050604212654</v>
      </c>
      <c r="N8">
        <f t="shared" si="51"/>
        <v>-0.29783399959049789</v>
      </c>
      <c r="O8">
        <f t="shared" si="52"/>
        <v>0.12586569923969959</v>
      </c>
      <c r="P8">
        <f t="shared" si="51"/>
        <v>-0.31024024727215943</v>
      </c>
      <c r="Q8">
        <f t="shared" si="52"/>
        <v>-9.1094755774855748E-2</v>
      </c>
      <c r="R8">
        <f t="shared" si="51"/>
        <v>-0.18250576982617539</v>
      </c>
      <c r="S8">
        <f t="shared" si="52"/>
        <v>-0.2669061811523411</v>
      </c>
      <c r="T8">
        <f t="shared" si="51"/>
        <v>2.7669626063837032E-2</v>
      </c>
      <c r="U8">
        <f t="shared" si="52"/>
        <v>-0.32215160615874422</v>
      </c>
      <c r="V8">
        <f t="shared" si="51"/>
        <v>0.2253461875998555</v>
      </c>
      <c r="W8">
        <f t="shared" si="52"/>
        <v>-0.23187574537105418</v>
      </c>
      <c r="X8">
        <f t="shared" si="51"/>
        <v>0.3212300951760208</v>
      </c>
      <c r="Y8">
        <f t="shared" si="52"/>
        <v>-3.6857719820627001E-2</v>
      </c>
      <c r="Z8">
        <f t="shared" si="51"/>
        <v>0.27200897893076553</v>
      </c>
      <c r="AA8">
        <f t="shared" si="52"/>
        <v>0.17480955619820554</v>
      </c>
      <c r="AB8">
        <f t="shared" si="51"/>
        <v>9.9916842939489284E-2</v>
      </c>
      <c r="AC8">
        <f t="shared" si="52"/>
        <v>0.30751242260139128</v>
      </c>
      <c r="AD8">
        <f t="shared" si="51"/>
        <v>-0.11730940748446865</v>
      </c>
      <c r="AE8">
        <f t="shared" si="52"/>
        <v>0.30130676805012879</v>
      </c>
      <c r="AF8">
        <f t="shared" si="51"/>
        <v>-0.28154503024577526</v>
      </c>
      <c r="AG8">
        <f t="shared" si="52"/>
        <v>0.15899579082817489</v>
      </c>
      <c r="AH8">
        <f t="shared" si="51"/>
        <v>-0.31860203887931859</v>
      </c>
      <c r="AI8">
        <f t="shared" si="52"/>
        <v>-5.5136252857012374E-2</v>
      </c>
      <c r="AJ8">
        <f t="shared" si="51"/>
        <v>-0.21174116081608743</v>
      </c>
      <c r="AK8">
        <f t="shared" si="52"/>
        <v>-0.2443623260108379</v>
      </c>
      <c r="AL8">
        <f t="shared" si="51"/>
        <v>-9.233247666191137E-3</v>
      </c>
      <c r="AM8">
        <f t="shared" si="52"/>
        <v>-0.32320583641807277</v>
      </c>
      <c r="AN8">
        <f t="shared" si="51"/>
        <v>0.19744547837661791</v>
      </c>
      <c r="AO8">
        <f t="shared" si="52"/>
        <v>-0.25605184753443927</v>
      </c>
      <c r="AP8">
        <f t="shared" si="51"/>
        <v>0.31493476895394928</v>
      </c>
      <c r="AQ8">
        <f t="shared" si="52"/>
        <v>-7.3234942896774333E-2</v>
      </c>
      <c r="AR8">
        <f t="shared" si="51"/>
        <v>0.29016274019189742</v>
      </c>
      <c r="AS8">
        <f t="shared" si="52"/>
        <v>0.14266341423609855</v>
      </c>
      <c r="AT8">
        <f t="shared" si="46"/>
        <v>0.13431933312526093</v>
      </c>
      <c r="AU8">
        <f t="shared" si="47"/>
        <v>0.29411831344878275</v>
      </c>
      <c r="AV8">
        <f t="shared" si="46"/>
        <v>-8.2198370420783554E-2</v>
      </c>
      <c r="AW8">
        <f t="shared" si="47"/>
        <v>0.31271503554728364</v>
      </c>
      <c r="AX8">
        <f t="shared" si="46"/>
        <v>-0.26158569086416755</v>
      </c>
      <c r="AY8">
        <f t="shared" si="47"/>
        <v>0.19005312913048134</v>
      </c>
      <c r="AZ8">
        <f t="shared" si="46"/>
        <v>-0.32281036567066385</v>
      </c>
      <c r="BA8">
        <f t="shared" si="47"/>
        <v>-1.8458964563147044E-2</v>
      </c>
      <c r="BB8">
        <f t="shared" si="46"/>
        <v>-0.23821618195839014</v>
      </c>
      <c r="BC8">
        <f t="shared" si="47"/>
        <v>-0.21863283424577012</v>
      </c>
      <c r="BD8">
        <f t="shared" si="48"/>
        <v>-4.6015751892457789E-2</v>
      </c>
      <c r="BE8">
        <f t="shared" si="49"/>
        <v>-0.32004658432006894</v>
      </c>
      <c r="BF8">
        <f t="shared" si="48"/>
        <v>0.16697076538879876</v>
      </c>
      <c r="BG8">
        <f t="shared" si="49"/>
        <v>-0.27688992228437992</v>
      </c>
      <c r="BH8">
        <f t="shared" si="48"/>
        <v>0.30453378638790746</v>
      </c>
      <c r="BI8">
        <f t="shared" si="49"/>
        <v>-0.1086574364938525</v>
      </c>
    </row>
    <row r="9" spans="1:61">
      <c r="A9" s="1">
        <v>7</v>
      </c>
      <c r="B9" s="2">
        <v>4448</v>
      </c>
      <c r="C9">
        <f t="shared" si="42"/>
        <v>8.4002098359304185</v>
      </c>
      <c r="D9">
        <f t="shared" si="43"/>
        <v>0.79967813000467458</v>
      </c>
      <c r="H9">
        <f t="shared" si="50"/>
        <v>0.21288806615445918</v>
      </c>
      <c r="I9">
        <f t="shared" si="44"/>
        <v>0.21905664145435549</v>
      </c>
      <c r="J9">
        <f t="shared" si="45"/>
        <v>-8.7227934091830862E-3</v>
      </c>
      <c r="K9">
        <f t="shared" si="44"/>
        <v>0.30533760618598582</v>
      </c>
      <c r="L9">
        <f t="shared" si="45"/>
        <v>-0.2250465510154161</v>
      </c>
      <c r="M9">
        <f t="shared" si="44"/>
        <v>0.2065458562942214</v>
      </c>
      <c r="N9">
        <f t="shared" si="51"/>
        <v>-0.30496399878870406</v>
      </c>
      <c r="O9">
        <f t="shared" si="52"/>
        <v>-1.7438472382945193E-2</v>
      </c>
      <c r="P9">
        <f t="shared" si="51"/>
        <v>-0.20003518467097445</v>
      </c>
      <c r="Q9">
        <f t="shared" si="52"/>
        <v>-0.23085290938148603</v>
      </c>
      <c r="R9">
        <f t="shared" si="51"/>
        <v>2.6139928288500858E-2</v>
      </c>
      <c r="S9">
        <f t="shared" si="52"/>
        <v>-0.3043416583797221</v>
      </c>
      <c r="T9">
        <f t="shared" si="51"/>
        <v>0.23647098080339757</v>
      </c>
      <c r="U9">
        <f t="shared" si="52"/>
        <v>-0.19336136148188093</v>
      </c>
      <c r="V9">
        <f t="shared" si="51"/>
        <v>0.30347109254880406</v>
      </c>
      <c r="W9">
        <f t="shared" si="52"/>
        <v>3.4820064093603317E-2</v>
      </c>
      <c r="X9">
        <f t="shared" si="51"/>
        <v>0.1865298299928605</v>
      </c>
      <c r="Y9">
        <f t="shared" si="52"/>
        <v>0.2418961831015157</v>
      </c>
      <c r="Z9">
        <f t="shared" si="51"/>
        <v>-4.347180015498521E-2</v>
      </c>
      <c r="AA9">
        <f t="shared" si="52"/>
        <v>0.30235301134192871</v>
      </c>
      <c r="AB9">
        <f t="shared" si="51"/>
        <v>-0.24712409140302891</v>
      </c>
      <c r="AC9">
        <f t="shared" si="52"/>
        <v>0.17954616209898461</v>
      </c>
      <c r="AD9">
        <f t="shared" si="51"/>
        <v>-0.30098832668216574</v>
      </c>
      <c r="AE9">
        <f t="shared" si="52"/>
        <v>-5.2088079992617373E-2</v>
      </c>
      <c r="AF9">
        <f t="shared" si="51"/>
        <v>-0.17241605377995861</v>
      </c>
      <c r="AG9">
        <f t="shared" si="52"/>
        <v>-0.25215044175093937</v>
      </c>
      <c r="AH9">
        <f t="shared" si="51"/>
        <v>6.0661876045076134E-2</v>
      </c>
      <c r="AI9">
        <f t="shared" si="52"/>
        <v>-0.29937815162589815</v>
      </c>
      <c r="AJ9">
        <f t="shared" si="51"/>
        <v>0.25697113458180726</v>
      </c>
      <c r="AK9">
        <f t="shared" si="52"/>
        <v>-0.165145320454399</v>
      </c>
      <c r="AL9">
        <f t="shared" si="51"/>
        <v>0.29752379945499752</v>
      </c>
      <c r="AM9">
        <f t="shared" si="52"/>
        <v>6.9186195401321524E-2</v>
      </c>
      <c r="AN9">
        <f t="shared" si="51"/>
        <v>0.15773989223669532</v>
      </c>
      <c r="AO9">
        <f t="shared" si="52"/>
        <v>0.26158223806941328</v>
      </c>
      <c r="AP9">
        <f t="shared" si="51"/>
        <v>-7.7654085504216999E-2</v>
      </c>
      <c r="AQ9">
        <f t="shared" si="52"/>
        <v>0.29542678260569266</v>
      </c>
      <c r="AR9">
        <f t="shared" si="51"/>
        <v>-0.26597999133161349</v>
      </c>
      <c r="AS9">
        <f t="shared" si="52"/>
        <v>0.15020580910032161</v>
      </c>
      <c r="AT9">
        <f t="shared" si="46"/>
        <v>-0.29308881143500465</v>
      </c>
      <c r="AU9">
        <f t="shared" si="47"/>
        <v>-8.6058639821134431E-2</v>
      </c>
      <c r="AV9">
        <f t="shared" si="46"/>
        <v>-0.14254921595155037</v>
      </c>
      <c r="AW9">
        <f t="shared" si="47"/>
        <v>-0.27016080749776733</v>
      </c>
      <c r="AX9">
        <f t="shared" si="46"/>
        <v>9.4393003477021176E-2</v>
      </c>
      <c r="AY9">
        <f t="shared" si="47"/>
        <v>-0.29051179282575518</v>
      </c>
      <c r="AZ9">
        <f t="shared" si="46"/>
        <v>0.27412127663424185</v>
      </c>
      <c r="BA9">
        <f t="shared" si="47"/>
        <v>-0.13477635761757659</v>
      </c>
      <c r="BB9">
        <f t="shared" si="46"/>
        <v>0.28769782863128607</v>
      </c>
      <c r="BC9">
        <f t="shared" si="47"/>
        <v>0.10265037884533404</v>
      </c>
      <c r="BD9">
        <f t="shared" si="48"/>
        <v>0.1268935737531498</v>
      </c>
      <c r="BE9">
        <f t="shared" si="49"/>
        <v>0.27785816852560119</v>
      </c>
      <c r="BF9">
        <f t="shared" si="48"/>
        <v>-0.11082403109228348</v>
      </c>
      <c r="BG9">
        <f t="shared" si="49"/>
        <v>0.28464921396115611</v>
      </c>
      <c r="BH9">
        <f t="shared" si="48"/>
        <v>-0.28136843530921862</v>
      </c>
      <c r="BI9">
        <f t="shared" si="49"/>
        <v>0.11890729366985656</v>
      </c>
    </row>
    <row r="10" spans="1:61">
      <c r="A10" s="1">
        <v>8</v>
      </c>
      <c r="B10" s="2">
        <v>4926</v>
      </c>
      <c r="C10">
        <f t="shared" si="42"/>
        <v>8.5022825786804841</v>
      </c>
      <c r="D10">
        <f t="shared" si="43"/>
        <v>0.91391786286248522</v>
      </c>
      <c r="H10">
        <f t="shared" si="50"/>
        <v>0.1887963937720932</v>
      </c>
      <c r="I10">
        <f t="shared" si="44"/>
        <v>0.24483551525537847</v>
      </c>
      <c r="J10">
        <f t="shared" si="45"/>
        <v>-7.8597676872525668E-2</v>
      </c>
      <c r="K10">
        <f t="shared" si="44"/>
        <v>0.29901657650029367</v>
      </c>
      <c r="L10">
        <f t="shared" si="45"/>
        <v>-0.28478740322505142</v>
      </c>
      <c r="M10">
        <f t="shared" si="44"/>
        <v>0.12035216157612577</v>
      </c>
      <c r="N10">
        <f t="shared" si="51"/>
        <v>-0.26921197097999477</v>
      </c>
      <c r="O10">
        <f t="shared" si="52"/>
        <v>-0.15203099194828792</v>
      </c>
      <c r="P10">
        <f t="shared" si="51"/>
        <v>-4.4000035277770314E-2</v>
      </c>
      <c r="Q10">
        <f t="shared" si="52"/>
        <v>-0.30602696732031459</v>
      </c>
      <c r="R10">
        <f t="shared" si="51"/>
        <v>0.21547491448748485</v>
      </c>
      <c r="S10">
        <f t="shared" si="52"/>
        <v>-0.2217184454625393</v>
      </c>
      <c r="T10">
        <f t="shared" si="51"/>
        <v>0.30715863457059034</v>
      </c>
      <c r="U10">
        <f t="shared" si="52"/>
        <v>3.5243170124784208E-2</v>
      </c>
      <c r="V10">
        <f t="shared" si="51"/>
        <v>0.15965662333700997</v>
      </c>
      <c r="W10">
        <f t="shared" si="52"/>
        <v>0.26476077967920031</v>
      </c>
      <c r="X10">
        <f t="shared" si="51"/>
        <v>-0.11217067754959262</v>
      </c>
      <c r="Y10">
        <f t="shared" si="52"/>
        <v>0.2881080473186739</v>
      </c>
      <c r="Z10">
        <f t="shared" si="51"/>
        <v>-0.29665019614286814</v>
      </c>
      <c r="AA10">
        <f t="shared" si="52"/>
        <v>8.7104356722909046E-2</v>
      </c>
      <c r="AB10">
        <f t="shared" si="51"/>
        <v>-0.25012694898656601</v>
      </c>
      <c r="AC10">
        <f t="shared" si="52"/>
        <v>-0.18172786583896744</v>
      </c>
      <c r="AD10">
        <f t="shared" si="51"/>
        <v>-8.8287859337877698E-3</v>
      </c>
      <c r="AE10">
        <f t="shared" si="52"/>
        <v>-0.30904782861338675</v>
      </c>
      <c r="AF10">
        <f t="shared" si="51"/>
        <v>0.23934439016612061</v>
      </c>
      <c r="AG10">
        <f t="shared" si="52"/>
        <v>-0.19571093665843448</v>
      </c>
      <c r="AH10">
        <f t="shared" si="51"/>
        <v>0.30113907464894496</v>
      </c>
      <c r="AI10">
        <f t="shared" si="52"/>
        <v>7.0026891629509591E-2</v>
      </c>
      <c r="AJ10">
        <f t="shared" si="51"/>
        <v>0.1284354846533918</v>
      </c>
      <c r="AK10">
        <f t="shared" si="52"/>
        <v>0.28123448244047577</v>
      </c>
      <c r="AL10">
        <f t="shared" si="51"/>
        <v>-0.14428136190185781</v>
      </c>
      <c r="AM10">
        <f t="shared" si="52"/>
        <v>0.27344358913578332</v>
      </c>
      <c r="AN10">
        <f t="shared" si="51"/>
        <v>-0.30464570008595737</v>
      </c>
      <c r="AO10">
        <f t="shared" si="52"/>
        <v>5.2721013370864288E-2</v>
      </c>
      <c r="AP10">
        <f t="shared" si="51"/>
        <v>-0.22778113969322888</v>
      </c>
      <c r="AQ10">
        <f t="shared" si="52"/>
        <v>-0.20905563908148395</v>
      </c>
      <c r="AR10">
        <f t="shared" si="51"/>
        <v>2.6457560136729352E-2</v>
      </c>
      <c r="AS10">
        <f t="shared" si="52"/>
        <v>-0.30803977883274308</v>
      </c>
      <c r="AT10">
        <f t="shared" si="46"/>
        <v>0.26009364568887128</v>
      </c>
      <c r="AU10">
        <f t="shared" si="47"/>
        <v>-0.16715203649368385</v>
      </c>
      <c r="AV10">
        <f t="shared" si="46"/>
        <v>0.29119370635639069</v>
      </c>
      <c r="AW10">
        <f t="shared" si="47"/>
        <v>0.10389770550951566</v>
      </c>
      <c r="AX10">
        <f t="shared" si="46"/>
        <v>9.553999301055735E-2</v>
      </c>
      <c r="AY10">
        <f t="shared" si="47"/>
        <v>0.29404186363043033</v>
      </c>
      <c r="AZ10">
        <f t="shared" si="46"/>
        <v>-0.17451111805182717</v>
      </c>
      <c r="BA10">
        <f t="shared" si="47"/>
        <v>0.25521437559043414</v>
      </c>
      <c r="BB10">
        <f t="shared" si="46"/>
        <v>-0.30866968143287377</v>
      </c>
      <c r="BC10">
        <f t="shared" si="47"/>
        <v>1.7650370983131179E-2</v>
      </c>
      <c r="BD10">
        <f t="shared" si="48"/>
        <v>-0.20246585489763391</v>
      </c>
      <c r="BE10">
        <f t="shared" si="49"/>
        <v>-0.23365805235917761</v>
      </c>
      <c r="BF10">
        <f t="shared" si="48"/>
        <v>6.1398991449241318E-2</v>
      </c>
      <c r="BG10">
        <f t="shared" si="49"/>
        <v>-0.30301595944888765</v>
      </c>
      <c r="BH10">
        <f t="shared" si="48"/>
        <v>0.27745218277810052</v>
      </c>
      <c r="BI10">
        <f t="shared" si="49"/>
        <v>-0.13641405390714492</v>
      </c>
    </row>
    <row r="11" spans="1:61">
      <c r="A11" s="1">
        <v>9</v>
      </c>
      <c r="B11" s="2">
        <v>5437</v>
      </c>
      <c r="C11">
        <f t="shared" si="42"/>
        <v>8.6009827171459214</v>
      </c>
      <c r="D11">
        <f t="shared" si="43"/>
        <v>1.028157595720296</v>
      </c>
      <c r="H11">
        <f t="shared" si="50"/>
        <v>0.16151002337217218</v>
      </c>
      <c r="I11">
        <f t="shared" si="44"/>
        <v>0.26783429851049401</v>
      </c>
      <c r="J11">
        <f t="shared" si="45"/>
        <v>-0.14595627569893704</v>
      </c>
      <c r="K11">
        <f t="shared" si="44"/>
        <v>0.27661790378134221</v>
      </c>
      <c r="L11">
        <f t="shared" si="45"/>
        <v>-0.31225292393458737</v>
      </c>
      <c r="M11">
        <f t="shared" si="44"/>
        <v>1.7855268202657447E-2</v>
      </c>
      <c r="N11">
        <f t="shared" si="51"/>
        <v>-0.1765369589193925</v>
      </c>
      <c r="O11">
        <f t="shared" si="52"/>
        <v>-0.25817707342787194</v>
      </c>
      <c r="P11">
        <f t="shared" si="51"/>
        <v>0.12992644899171552</v>
      </c>
      <c r="Q11">
        <f t="shared" si="52"/>
        <v>-0.28449923894571527</v>
      </c>
      <c r="R11">
        <f t="shared" si="51"/>
        <v>0.31072433583756431</v>
      </c>
      <c r="S11">
        <f t="shared" si="52"/>
        <v>-3.5652296231695878E-2</v>
      </c>
      <c r="T11">
        <f t="shared" si="51"/>
        <v>0.19098806760022577</v>
      </c>
      <c r="U11">
        <f t="shared" si="52"/>
        <v>0.24767772839441909</v>
      </c>
      <c r="V11">
        <f t="shared" si="51"/>
        <v>-0.11347282921339029</v>
      </c>
      <c r="W11">
        <f t="shared" si="52"/>
        <v>0.29145259672646046</v>
      </c>
      <c r="X11">
        <f t="shared" si="51"/>
        <v>-0.30818222954179808</v>
      </c>
      <c r="Y11">
        <f t="shared" si="52"/>
        <v>5.333303388083712E-2</v>
      </c>
      <c r="Z11">
        <f t="shared" si="51"/>
        <v>-0.20481621290185034</v>
      </c>
      <c r="AA11">
        <f t="shared" si="52"/>
        <v>-0.2363705100913224</v>
      </c>
      <c r="AB11">
        <f t="shared" si="51"/>
        <v>9.664908465175627E-2</v>
      </c>
      <c r="AC11">
        <f t="shared" si="52"/>
        <v>-0.2974552967157682</v>
      </c>
      <c r="AD11">
        <f t="shared" si="51"/>
        <v>0.30463489686964285</v>
      </c>
      <c r="AE11">
        <f t="shared" si="52"/>
        <v>-7.0839810258851582E-2</v>
      </c>
      <c r="AF11">
        <f t="shared" si="51"/>
        <v>0.21797629028850454</v>
      </c>
      <c r="AG11">
        <f t="shared" si="52"/>
        <v>0.22429230031445491</v>
      </c>
      <c r="AH11">
        <f t="shared" si="51"/>
        <v>-7.9510090864719982E-2</v>
      </c>
      <c r="AI11">
        <f t="shared" si="52"/>
        <v>0.30248775935394812</v>
      </c>
      <c r="AJ11">
        <f t="shared" si="51"/>
        <v>-0.30009390848295409</v>
      </c>
      <c r="AK11">
        <f t="shared" si="52"/>
        <v>8.8115521900017132E-2</v>
      </c>
      <c r="AL11">
        <f t="shared" si="51"/>
        <v>-0.2304253743231047</v>
      </c>
      <c r="AM11">
        <f t="shared" si="52"/>
        <v>-0.21148249567362573</v>
      </c>
      <c r="AN11">
        <f t="shared" si="51"/>
        <v>6.2111751687635969E-2</v>
      </c>
      <c r="AO11">
        <f t="shared" si="52"/>
        <v>-0.30653356979388324</v>
      </c>
      <c r="AP11">
        <f t="shared" si="51"/>
        <v>0.2945740761419946</v>
      </c>
      <c r="AQ11">
        <f t="shared" si="52"/>
        <v>-0.10510381902375567</v>
      </c>
      <c r="AR11">
        <f t="shared" si="51"/>
        <v>0.24212285868110026</v>
      </c>
      <c r="AS11">
        <f t="shared" si="52"/>
        <v>0.19798287908902626</v>
      </c>
      <c r="AT11">
        <f t="shared" si="46"/>
        <v>-4.4510816886616636E-2</v>
      </c>
      <c r="AU11">
        <f t="shared" si="47"/>
        <v>0.30957953144284928</v>
      </c>
      <c r="AV11">
        <f t="shared" si="46"/>
        <v>-0.2880934043925506</v>
      </c>
      <c r="AW11">
        <f t="shared" si="47"/>
        <v>0.12174928933590676</v>
      </c>
      <c r="AX11">
        <f t="shared" si="46"/>
        <v>-0.25303058859986421</v>
      </c>
      <c r="AY11">
        <f t="shared" si="47"/>
        <v>-0.18383748350402948</v>
      </c>
      <c r="AZ11">
        <f t="shared" si="46"/>
        <v>2.6764697052586463E-2</v>
      </c>
      <c r="BA11">
        <f t="shared" si="47"/>
        <v>-0.31161570900705776</v>
      </c>
      <c r="BB11">
        <f t="shared" si="46"/>
        <v>0.28067303183884657</v>
      </c>
      <c r="BC11">
        <f t="shared" si="47"/>
        <v>-0.13799763877211044</v>
      </c>
      <c r="BD11">
        <f t="shared" si="48"/>
        <v>0.26311298533159794</v>
      </c>
      <c r="BE11">
        <f t="shared" si="49"/>
        <v>0.16909244825888101</v>
      </c>
      <c r="BF11">
        <f t="shared" si="48"/>
        <v>-8.9312763398738271E-3</v>
      </c>
      <c r="BG11">
        <f t="shared" si="49"/>
        <v>0.31263546089851812</v>
      </c>
      <c r="BH11">
        <f t="shared" si="48"/>
        <v>-0.27233716219381127</v>
      </c>
      <c r="BI11">
        <f t="shared" si="49"/>
        <v>0.15379586859376213</v>
      </c>
    </row>
    <row r="12" spans="1:61">
      <c r="A12" s="1">
        <v>10</v>
      </c>
      <c r="B12" s="2">
        <v>16498</v>
      </c>
      <c r="C12">
        <f t="shared" si="42"/>
        <v>9.7109944404206772</v>
      </c>
      <c r="D12">
        <f t="shared" si="43"/>
        <v>1.1423973285781066</v>
      </c>
      <c r="H12">
        <f t="shared" si="50"/>
        <v>0.1466942866083128</v>
      </c>
      <c r="I12">
        <f t="shared" si="44"/>
        <v>0.32121568180787252</v>
      </c>
      <c r="J12">
        <f t="shared" si="45"/>
        <v>-0.23124905260336243</v>
      </c>
      <c r="K12">
        <f t="shared" si="44"/>
        <v>0.26687563326925434</v>
      </c>
      <c r="L12">
        <f t="shared" si="45"/>
        <v>-0.33882294299611226</v>
      </c>
      <c r="M12">
        <f t="shared" si="44"/>
        <v>-9.9487392479004483E-2</v>
      </c>
      <c r="N12">
        <f t="shared" si="51"/>
        <v>-5.0255221936772385E-2</v>
      </c>
      <c r="O12">
        <f t="shared" si="52"/>
        <v>-0.34953274614963326</v>
      </c>
      <c r="P12">
        <f t="shared" si="51"/>
        <v>0.2970693956475583</v>
      </c>
      <c r="Q12">
        <f t="shared" si="52"/>
        <v>-0.19091490809366535</v>
      </c>
      <c r="R12">
        <f t="shared" si="51"/>
        <v>0.29706939564755847</v>
      </c>
      <c r="S12">
        <f t="shared" si="52"/>
        <v>0.19091490809366521</v>
      </c>
      <c r="T12">
        <f t="shared" si="51"/>
        <v>-5.0255221936772218E-2</v>
      </c>
      <c r="U12">
        <f t="shared" si="52"/>
        <v>0.34953274614963331</v>
      </c>
      <c r="V12">
        <f t="shared" si="51"/>
        <v>-0.33882294299611226</v>
      </c>
      <c r="W12">
        <f t="shared" si="52"/>
        <v>9.9487392479004649E-2</v>
      </c>
      <c r="X12">
        <f t="shared" si="51"/>
        <v>-0.23124905260336268</v>
      </c>
      <c r="Y12">
        <f t="shared" si="52"/>
        <v>-0.26687563326925418</v>
      </c>
      <c r="Z12">
        <f t="shared" si="51"/>
        <v>0.14669428660831288</v>
      </c>
      <c r="AA12">
        <f t="shared" si="52"/>
        <v>-0.32121568180787252</v>
      </c>
      <c r="AB12">
        <f t="shared" si="51"/>
        <v>0.35312707056075188</v>
      </c>
      <c r="AC12">
        <f t="shared" si="52"/>
        <v>-1.7305323395356497E-16</v>
      </c>
      <c r="AD12">
        <f t="shared" si="51"/>
        <v>0.14669428660831318</v>
      </c>
      <c r="AE12">
        <f t="shared" si="52"/>
        <v>0.32121568180787236</v>
      </c>
      <c r="AF12">
        <f t="shared" si="51"/>
        <v>-0.23124905260336243</v>
      </c>
      <c r="AG12">
        <f t="shared" si="52"/>
        <v>0.2668756332692544</v>
      </c>
      <c r="AH12">
        <f t="shared" si="51"/>
        <v>-0.33882294299611232</v>
      </c>
      <c r="AI12">
        <f t="shared" si="52"/>
        <v>-9.9487392479004316E-2</v>
      </c>
      <c r="AJ12">
        <f t="shared" si="51"/>
        <v>-5.0255221936772246E-2</v>
      </c>
      <c r="AK12">
        <f t="shared" si="52"/>
        <v>-0.34953274614963331</v>
      </c>
      <c r="AL12">
        <f t="shared" si="51"/>
        <v>0.29706939564755824</v>
      </c>
      <c r="AM12">
        <f t="shared" si="52"/>
        <v>-0.19091490809366549</v>
      </c>
      <c r="AN12">
        <f t="shared" si="51"/>
        <v>0.29706939564755852</v>
      </c>
      <c r="AO12">
        <f t="shared" si="52"/>
        <v>0.19091490809366507</v>
      </c>
      <c r="AP12">
        <f t="shared" si="51"/>
        <v>-5.0255221936771739E-2</v>
      </c>
      <c r="AQ12">
        <f t="shared" si="52"/>
        <v>0.34953274614963342</v>
      </c>
      <c r="AR12">
        <f t="shared" si="51"/>
        <v>-0.33882294299611238</v>
      </c>
      <c r="AS12">
        <f t="shared" si="52"/>
        <v>9.9487392479004219E-2</v>
      </c>
      <c r="AT12">
        <f t="shared" si="46"/>
        <v>-0.23124905260336234</v>
      </c>
      <c r="AU12">
        <f t="shared" si="47"/>
        <v>-0.26687563326925445</v>
      </c>
      <c r="AV12">
        <f t="shared" si="46"/>
        <v>0.14669428660831271</v>
      </c>
      <c r="AW12">
        <f t="shared" si="47"/>
        <v>-0.32121568180787258</v>
      </c>
      <c r="AX12">
        <f t="shared" si="46"/>
        <v>0.35312707056075188</v>
      </c>
      <c r="AY12">
        <f t="shared" si="47"/>
        <v>-3.4610646790712994E-16</v>
      </c>
      <c r="AZ12">
        <f t="shared" si="46"/>
        <v>0.14669428660831335</v>
      </c>
      <c r="BA12">
        <f t="shared" si="47"/>
        <v>0.3212156818078723</v>
      </c>
      <c r="BB12">
        <f t="shared" si="46"/>
        <v>-0.23124905260336182</v>
      </c>
      <c r="BC12">
        <f t="shared" si="47"/>
        <v>0.2668756332692549</v>
      </c>
      <c r="BD12">
        <f t="shared" si="48"/>
        <v>-0.33882294299611221</v>
      </c>
      <c r="BE12">
        <f t="shared" si="49"/>
        <v>-9.9487392479004746E-2</v>
      </c>
      <c r="BF12">
        <f t="shared" si="48"/>
        <v>-5.0255221936772426E-2</v>
      </c>
      <c r="BG12">
        <f t="shared" si="49"/>
        <v>-0.34953274614963326</v>
      </c>
      <c r="BH12">
        <f t="shared" si="48"/>
        <v>0.29706939564755813</v>
      </c>
      <c r="BI12">
        <f t="shared" si="49"/>
        <v>-0.19091490809366565</v>
      </c>
    </row>
    <row r="13" spans="1:61">
      <c r="A13" s="1">
        <v>11</v>
      </c>
      <c r="B13" s="2">
        <v>35971</v>
      </c>
      <c r="C13">
        <f t="shared" si="42"/>
        <v>10.490468337248462</v>
      </c>
      <c r="D13">
        <f t="shared" si="43"/>
        <v>1.256637061435917</v>
      </c>
      <c r="H13">
        <f t="shared" si="50"/>
        <v>0.11788119982407544</v>
      </c>
      <c r="I13">
        <f t="shared" si="44"/>
        <v>0.36280102804102304</v>
      </c>
      <c r="J13">
        <f t="shared" si="45"/>
        <v>-0.30861698777404728</v>
      </c>
      <c r="K13">
        <f t="shared" si="44"/>
        <v>0.22422336648275612</v>
      </c>
      <c r="L13">
        <f t="shared" si="45"/>
        <v>-0.30861698777404761</v>
      </c>
      <c r="M13">
        <f t="shared" si="44"/>
        <v>-0.22422336648275559</v>
      </c>
      <c r="N13">
        <f t="shared" si="51"/>
        <v>0.11788119982407495</v>
      </c>
      <c r="O13">
        <f t="shared" si="52"/>
        <v>-0.36280102804102315</v>
      </c>
      <c r="P13">
        <f t="shared" si="51"/>
        <v>0.38147157589994407</v>
      </c>
      <c r="Q13">
        <f t="shared" si="52"/>
        <v>-4.3228668380440327E-16</v>
      </c>
      <c r="R13">
        <f t="shared" si="51"/>
        <v>0.11788119982407609</v>
      </c>
      <c r="S13">
        <f t="shared" si="52"/>
        <v>0.36280102804102282</v>
      </c>
      <c r="T13">
        <f t="shared" si="51"/>
        <v>-0.30861698777404695</v>
      </c>
      <c r="U13">
        <f t="shared" si="52"/>
        <v>0.22422336648275656</v>
      </c>
      <c r="V13">
        <f t="shared" si="51"/>
        <v>-0.30861698777404784</v>
      </c>
      <c r="W13">
        <f t="shared" si="52"/>
        <v>-0.22422336648275526</v>
      </c>
      <c r="X13">
        <f t="shared" si="51"/>
        <v>0.11788119982407455</v>
      </c>
      <c r="Y13">
        <f t="shared" si="52"/>
        <v>-0.36280102804102338</v>
      </c>
      <c r="Z13">
        <f t="shared" si="51"/>
        <v>0.38147157589994407</v>
      </c>
      <c r="AA13">
        <f t="shared" si="52"/>
        <v>-8.6457336760880655E-16</v>
      </c>
      <c r="AB13">
        <f t="shared" si="51"/>
        <v>0.11788119982407619</v>
      </c>
      <c r="AC13">
        <f t="shared" si="52"/>
        <v>0.36280102804102282</v>
      </c>
      <c r="AD13">
        <f t="shared" si="51"/>
        <v>-0.30861698777404645</v>
      </c>
      <c r="AE13">
        <f t="shared" si="52"/>
        <v>0.2242233664827572</v>
      </c>
      <c r="AF13">
        <f t="shared" si="51"/>
        <v>-0.30861698777404833</v>
      </c>
      <c r="AG13">
        <f t="shared" si="52"/>
        <v>-0.22422336648275462</v>
      </c>
      <c r="AH13">
        <f t="shared" si="51"/>
        <v>0.11788119982407382</v>
      </c>
      <c r="AI13">
        <f t="shared" si="52"/>
        <v>-0.36280102804102354</v>
      </c>
      <c r="AJ13">
        <f t="shared" si="51"/>
        <v>0.38147157589994407</v>
      </c>
      <c r="AK13">
        <f t="shared" si="52"/>
        <v>-1.6356748728565384E-15</v>
      </c>
      <c r="AL13">
        <f t="shared" si="51"/>
        <v>0.11788119982407692</v>
      </c>
      <c r="AM13">
        <f t="shared" si="52"/>
        <v>0.36280102804102254</v>
      </c>
      <c r="AN13">
        <f t="shared" si="51"/>
        <v>-0.30861698777404639</v>
      </c>
      <c r="AO13">
        <f t="shared" si="52"/>
        <v>0.22422336648275729</v>
      </c>
      <c r="AP13">
        <f t="shared" si="51"/>
        <v>-0.30861698777404839</v>
      </c>
      <c r="AQ13">
        <f t="shared" si="52"/>
        <v>-0.22422336648275459</v>
      </c>
      <c r="AR13">
        <f t="shared" si="51"/>
        <v>0.11788119982407373</v>
      </c>
      <c r="AS13">
        <f t="shared" si="52"/>
        <v>-0.3628010280410236</v>
      </c>
      <c r="AT13">
        <f t="shared" si="46"/>
        <v>0.38147157589994407</v>
      </c>
      <c r="AU13">
        <f t="shared" si="47"/>
        <v>-1.7291467352176131E-15</v>
      </c>
      <c r="AV13">
        <f t="shared" si="46"/>
        <v>0.11788119982407701</v>
      </c>
      <c r="AW13">
        <f t="shared" si="47"/>
        <v>0.36280102804102254</v>
      </c>
      <c r="AX13">
        <f t="shared" si="46"/>
        <v>-0.30861698777404634</v>
      </c>
      <c r="AY13">
        <f t="shared" si="47"/>
        <v>0.22422336648275737</v>
      </c>
      <c r="AZ13">
        <f t="shared" si="46"/>
        <v>-0.30861698777404845</v>
      </c>
      <c r="BA13">
        <f t="shared" si="47"/>
        <v>-0.22422336648275451</v>
      </c>
      <c r="BB13">
        <f t="shared" si="46"/>
        <v>0.11788119982407234</v>
      </c>
      <c r="BC13">
        <f t="shared" si="47"/>
        <v>-0.36280102804102404</v>
      </c>
      <c r="BD13">
        <f t="shared" si="48"/>
        <v>0.38147157589994407</v>
      </c>
      <c r="BE13">
        <f t="shared" si="49"/>
        <v>-3.1778778833520024E-15</v>
      </c>
      <c r="BF13">
        <f t="shared" si="48"/>
        <v>0.11788119982407838</v>
      </c>
      <c r="BG13">
        <f t="shared" si="49"/>
        <v>0.3628010280410221</v>
      </c>
      <c r="BH13">
        <f t="shared" si="48"/>
        <v>-0.3086169877740455</v>
      </c>
      <c r="BI13">
        <f t="shared" si="49"/>
        <v>0.22422336648275853</v>
      </c>
    </row>
    <row r="14" spans="1:61">
      <c r="A14" s="1">
        <v>12</v>
      </c>
      <c r="B14" s="2">
        <v>76556</v>
      </c>
      <c r="C14">
        <f t="shared" si="42"/>
        <v>11.245777778157963</v>
      </c>
      <c r="D14">
        <f t="shared" si="43"/>
        <v>1.3708767942937279</v>
      </c>
      <c r="H14">
        <f t="shared" si="50"/>
        <v>8.1211063882136197E-2</v>
      </c>
      <c r="I14">
        <f t="shared" si="44"/>
        <v>0.40079238859247207</v>
      </c>
      <c r="J14">
        <f t="shared" si="45"/>
        <v>-0.37668188760489685</v>
      </c>
      <c r="K14">
        <f t="shared" si="44"/>
        <v>0.159187094957284</v>
      </c>
      <c r="L14">
        <f t="shared" si="45"/>
        <v>-0.2308219275550496</v>
      </c>
      <c r="M14">
        <f t="shared" si="44"/>
        <v>-0.33756630964937684</v>
      </c>
      <c r="N14">
        <f t="shared" si="51"/>
        <v>0.28500381899444133</v>
      </c>
      <c r="O14">
        <f t="shared" si="52"/>
        <v>-0.29326199687158794</v>
      </c>
      <c r="P14">
        <f t="shared" si="51"/>
        <v>0.34402001037490115</v>
      </c>
      <c r="Q14">
        <f t="shared" si="52"/>
        <v>0.22108823603299307</v>
      </c>
      <c r="R14">
        <f t="shared" si="51"/>
        <v>-0.14836563020278984</v>
      </c>
      <c r="S14">
        <f t="shared" si="52"/>
        <v>0.38107402879894153</v>
      </c>
      <c r="T14">
        <f t="shared" si="51"/>
        <v>-0.40294800984722534</v>
      </c>
      <c r="U14">
        <f t="shared" si="52"/>
        <v>-6.9732897621480688E-2</v>
      </c>
      <c r="V14">
        <f t="shared" si="51"/>
        <v>-1.1677636416280219E-2</v>
      </c>
      <c r="W14">
        <f t="shared" si="52"/>
        <v>-0.40877060615736144</v>
      </c>
      <c r="X14">
        <f t="shared" si="51"/>
        <v>0.39830987531676848</v>
      </c>
      <c r="Y14">
        <f t="shared" si="52"/>
        <v>-9.2622993234228124E-2</v>
      </c>
      <c r="Z14">
        <f t="shared" si="51"/>
        <v>0.16987872443381191</v>
      </c>
      <c r="AA14">
        <f t="shared" si="52"/>
        <v>0.3719825192603391</v>
      </c>
      <c r="AB14">
        <f t="shared" si="51"/>
        <v>-0.3308372849997791</v>
      </c>
      <c r="AC14">
        <f t="shared" si="52"/>
        <v>0.24036735740216986</v>
      </c>
      <c r="AD14">
        <f t="shared" si="51"/>
        <v>-0.3012809860576468</v>
      </c>
      <c r="AE14">
        <f t="shared" si="52"/>
        <v>-0.27651318791453616</v>
      </c>
      <c r="AF14">
        <f t="shared" si="51"/>
        <v>0.21117422177442263</v>
      </c>
      <c r="AG14">
        <f t="shared" si="52"/>
        <v>-0.35019312344547043</v>
      </c>
      <c r="AH14">
        <f t="shared" si="51"/>
        <v>0.38515536054911648</v>
      </c>
      <c r="AI14">
        <f t="shared" si="52"/>
        <v>0.13742315631220098</v>
      </c>
      <c r="AJ14">
        <f t="shared" si="51"/>
        <v>-5.8197856209303081E-2</v>
      </c>
      <c r="AK14">
        <f t="shared" si="52"/>
        <v>0.40477498092541347</v>
      </c>
      <c r="AL14">
        <f t="shared" si="51"/>
        <v>-0.4082704393938914</v>
      </c>
      <c r="AM14">
        <f t="shared" si="52"/>
        <v>2.3345748384799719E-2</v>
      </c>
      <c r="AN14">
        <f t="shared" si="51"/>
        <v>-0.10395937794448933</v>
      </c>
      <c r="AO14">
        <f t="shared" si="52"/>
        <v>-0.39550249479355037</v>
      </c>
      <c r="AP14">
        <f t="shared" si="51"/>
        <v>0.36697975663749643</v>
      </c>
      <c r="AQ14">
        <f t="shared" si="52"/>
        <v>-0.18043179838601464</v>
      </c>
      <c r="AR14">
        <f t="shared" si="51"/>
        <v>0.24971674018485507</v>
      </c>
      <c r="AS14">
        <f t="shared" si="52"/>
        <v>0.3238384247151303</v>
      </c>
      <c r="AT14">
        <f t="shared" si="46"/>
        <v>-0.2677970287123666</v>
      </c>
      <c r="AU14">
        <f t="shared" si="47"/>
        <v>0.30905424615001725</v>
      </c>
      <c r="AV14">
        <f t="shared" si="46"/>
        <v>-0.35608061398152069</v>
      </c>
      <c r="AW14">
        <f t="shared" si="47"/>
        <v>-0.20108797079156865</v>
      </c>
      <c r="AX14">
        <f t="shared" si="46"/>
        <v>0.12636859812417947</v>
      </c>
      <c r="AY14">
        <f t="shared" si="47"/>
        <v>-0.38892255406270432</v>
      </c>
      <c r="AZ14">
        <f t="shared" si="46"/>
        <v>0.40627181172321952</v>
      </c>
      <c r="BA14">
        <f t="shared" si="47"/>
        <v>4.6615347790833858E-2</v>
      </c>
      <c r="BB14">
        <f t="shared" si="46"/>
        <v>3.4994819226073282E-2</v>
      </c>
      <c r="BC14">
        <f t="shared" si="47"/>
        <v>0.40743728140397506</v>
      </c>
      <c r="BD14">
        <f t="shared" si="48"/>
        <v>-0.39237253676264078</v>
      </c>
      <c r="BE14">
        <f t="shared" si="49"/>
        <v>0.11521097189494432</v>
      </c>
      <c r="BF14">
        <f t="shared" si="48"/>
        <v>-0.1908377095754083</v>
      </c>
      <c r="BG14">
        <f t="shared" si="49"/>
        <v>-0.3616776800613215</v>
      </c>
      <c r="BH14">
        <f t="shared" si="48"/>
        <v>0.31657543716626796</v>
      </c>
      <c r="BI14">
        <f t="shared" si="49"/>
        <v>-0.25886245041240308</v>
      </c>
    </row>
    <row r="15" spans="1:61">
      <c r="A15" s="1">
        <v>13</v>
      </c>
      <c r="B15" s="2">
        <v>68392</v>
      </c>
      <c r="C15">
        <f t="shared" si="42"/>
        <v>11.13301113770607</v>
      </c>
      <c r="D15">
        <f t="shared" si="43"/>
        <v>1.4851165271515387</v>
      </c>
      <c r="H15">
        <f t="shared" si="50"/>
        <v>3.4643909909244104E-2</v>
      </c>
      <c r="I15">
        <f t="shared" si="44"/>
        <v>0.40335171841979311</v>
      </c>
      <c r="J15">
        <f t="shared" si="45"/>
        <v>-0.39890746287540968</v>
      </c>
      <c r="K15">
        <f t="shared" si="44"/>
        <v>6.9033653447456655E-2</v>
      </c>
      <c r="L15">
        <f t="shared" si="45"/>
        <v>-0.10291692894491535</v>
      </c>
      <c r="M15">
        <f t="shared" si="44"/>
        <v>-0.39153660746161029</v>
      </c>
      <c r="N15">
        <f t="shared" si="51"/>
        <v>0.38129322874125515</v>
      </c>
      <c r="O15">
        <f t="shared" si="52"/>
        <v>-0.13604515045406346</v>
      </c>
      <c r="P15">
        <f t="shared" si="51"/>
        <v>0.16817527150982928</v>
      </c>
      <c r="Q15">
        <f t="shared" si="52"/>
        <v>0.3682524776543874</v>
      </c>
      <c r="R15">
        <f t="shared" si="51"/>
        <v>-0.35251002817048543</v>
      </c>
      <c r="S15">
        <f t="shared" si="52"/>
        <v>0.1990715682493194</v>
      </c>
      <c r="T15">
        <f t="shared" si="51"/>
        <v>-0.22850736880895972</v>
      </c>
      <c r="U15">
        <f t="shared" si="52"/>
        <v>-0.33418137537272469</v>
      </c>
      <c r="V15">
        <f t="shared" si="51"/>
        <v>0.31340098812387734</v>
      </c>
      <c r="W15">
        <f t="shared" si="52"/>
        <v>-0.2562667163113016</v>
      </c>
      <c r="X15">
        <f t="shared" si="51"/>
        <v>0.28214595324091518</v>
      </c>
      <c r="Y15">
        <f t="shared" si="52"/>
        <v>0.29032132253035631</v>
      </c>
      <c r="Z15">
        <f t="shared" si="51"/>
        <v>-0.26511170344215435</v>
      </c>
      <c r="AA15">
        <f t="shared" si="52"/>
        <v>0.30595521558554789</v>
      </c>
      <c r="AB15">
        <f t="shared" si="51"/>
        <v>-0.32751982578071853</v>
      </c>
      <c r="AC15">
        <f t="shared" si="52"/>
        <v>-0.23795708219460007</v>
      </c>
      <c r="AD15">
        <f t="shared" si="51"/>
        <v>0.20905667970580769</v>
      </c>
      <c r="AE15">
        <f t="shared" si="52"/>
        <v>-0.34668157423835377</v>
      </c>
      <c r="AF15">
        <f t="shared" si="51"/>
        <v>0.36329988005748398</v>
      </c>
      <c r="AG15">
        <f t="shared" si="52"/>
        <v>0.1786225248847905</v>
      </c>
      <c r="AH15">
        <f t="shared" si="51"/>
        <v>-0.1468778990732473</v>
      </c>
      <c r="AI15">
        <f t="shared" si="52"/>
        <v>0.37725282240140873</v>
      </c>
      <c r="AJ15">
        <f t="shared" si="51"/>
        <v>-0.38843803497457868</v>
      </c>
      <c r="AK15">
        <f t="shared" si="52"/>
        <v>-0.11405569793345648</v>
      </c>
      <c r="AL15">
        <f t="shared" si="51"/>
        <v>8.0396722800340062E-2</v>
      </c>
      <c r="AM15">
        <f t="shared" si="52"/>
        <v>-0.39677345703684003</v>
      </c>
      <c r="AN15">
        <f t="shared" si="51"/>
        <v>0.40219793544519855</v>
      </c>
      <c r="AO15">
        <f t="shared" si="52"/>
        <v>4.6147914033245169E-2</v>
      </c>
      <c r="AP15">
        <f t="shared" si="51"/>
        <v>-1.1560539328550204E-2</v>
      </c>
      <c r="AQ15">
        <f t="shared" si="52"/>
        <v>0.40467167330619142</v>
      </c>
      <c r="AR15">
        <f t="shared" si="51"/>
        <v>-0.40417652194731996</v>
      </c>
      <c r="AS15">
        <f t="shared" si="52"/>
        <v>2.3111649715402457E-2</v>
      </c>
      <c r="AT15">
        <f t="shared" si="46"/>
        <v>-5.7614279256628528E-2</v>
      </c>
      <c r="AU15">
        <f t="shared" si="47"/>
        <v>-0.40071611406548041</v>
      </c>
      <c r="AV15">
        <f t="shared" si="46"/>
        <v>0.39431583707554335</v>
      </c>
      <c r="AW15">
        <f t="shared" si="47"/>
        <v>-9.1694219432925272E-2</v>
      </c>
      <c r="AX15">
        <f t="shared" si="46"/>
        <v>0.12510144145878843</v>
      </c>
      <c r="AY15">
        <f t="shared" si="47"/>
        <v>0.38502264685461451</v>
      </c>
      <c r="AZ15">
        <f t="shared" si="46"/>
        <v>-0.37290472324844104</v>
      </c>
      <c r="BA15">
        <f t="shared" si="47"/>
        <v>0.15759085197118347</v>
      </c>
      <c r="BB15">
        <f t="shared" si="46"/>
        <v>-0.18892409116635969</v>
      </c>
      <c r="BC15">
        <f t="shared" si="47"/>
        <v>-0.35805096986737078</v>
      </c>
      <c r="BD15">
        <f t="shared" si="48"/>
        <v>0.34057036184160483</v>
      </c>
      <c r="BE15">
        <f t="shared" si="49"/>
        <v>-0.21887128153569671</v>
      </c>
      <c r="BF15">
        <f t="shared" si="48"/>
        <v>0.24721271437083259</v>
      </c>
      <c r="BG15">
        <f t="shared" si="49"/>
        <v>0.32059114632098779</v>
      </c>
      <c r="BH15">
        <f t="shared" si="48"/>
        <v>-0.29825990158488352</v>
      </c>
      <c r="BI15">
        <f t="shared" si="49"/>
        <v>0.27374046166501487</v>
      </c>
    </row>
    <row r="16" spans="1:61">
      <c r="A16" s="1">
        <v>14</v>
      </c>
      <c r="B16" s="2">
        <v>37447</v>
      </c>
      <c r="C16">
        <f t="shared" si="42"/>
        <v>10.530681878927565</v>
      </c>
      <c r="D16">
        <f t="shared" si="43"/>
        <v>1.5993562600093492</v>
      </c>
      <c r="H16">
        <f t="shared" si="50"/>
        <v>-1.0935079513705852E-2</v>
      </c>
      <c r="I16">
        <f t="shared" si="44"/>
        <v>0.38277772332121018</v>
      </c>
      <c r="J16">
        <f t="shared" si="45"/>
        <v>-0.38230936113440389</v>
      </c>
      <c r="K16">
        <f t="shared" si="44"/>
        <v>-2.1861240219711683E-2</v>
      </c>
      <c r="L16">
        <f t="shared" si="45"/>
        <v>3.2769570584624881E-2</v>
      </c>
      <c r="M16">
        <f t="shared" si="44"/>
        <v>-0.38152918194895563</v>
      </c>
      <c r="N16">
        <f t="shared" si="51"/>
        <v>0.38043782209019955</v>
      </c>
      <c r="O16">
        <f t="shared" si="52"/>
        <v>4.3651173617735108E-2</v>
      </c>
      <c r="P16">
        <f t="shared" si="51"/>
        <v>-5.449717412752679E-2</v>
      </c>
      <c r="Q16">
        <f t="shared" si="52"/>
        <v>0.37903617168689063</v>
      </c>
      <c r="R16">
        <f t="shared" si="51"/>
        <v>-0.37732537394520249</v>
      </c>
      <c r="S16">
        <f t="shared" si="52"/>
        <v>-6.529872596041289E-2</v>
      </c>
      <c r="T16">
        <f t="shared" si="51"/>
        <v>7.6047019215785799E-2</v>
      </c>
      <c r="U16">
        <f t="shared" si="52"/>
        <v>-0.37530682421631228</v>
      </c>
      <c r="V16">
        <f t="shared" si="51"/>
        <v>0.37298216885833213</v>
      </c>
      <c r="W16">
        <f t="shared" si="52"/>
        <v>8.673328743149665E-2</v>
      </c>
      <c r="X16">
        <f t="shared" si="51"/>
        <v>-9.7348814733908912E-2</v>
      </c>
      <c r="Y16">
        <f t="shared" si="52"/>
        <v>0.37035330389351606</v>
      </c>
      <c r="Z16">
        <f t="shared" si="51"/>
        <v>-0.36742237346183687</v>
      </c>
      <c r="AA16">
        <f t="shared" si="52"/>
        <v>-0.10788494294668967</v>
      </c>
      <c r="AB16">
        <f t="shared" si="51"/>
        <v>0.11833307865254229</v>
      </c>
      <c r="AC16">
        <f t="shared" si="52"/>
        <v>-0.36419176807219467</v>
      </c>
      <c r="AD16">
        <f t="shared" si="51"/>
        <v>0.36066412265268416</v>
      </c>
      <c r="AE16">
        <f t="shared" si="52"/>
        <v>0.12868470020212039</v>
      </c>
      <c r="AF16">
        <f t="shared" si="51"/>
        <v>-0.13893136466441025</v>
      </c>
      <c r="AG16">
        <f t="shared" si="52"/>
        <v>0.35684231440150799</v>
      </c>
      <c r="AH16">
        <f t="shared" si="51"/>
        <v>-0.35272946044029529</v>
      </c>
      <c r="AI16">
        <f t="shared" si="52"/>
        <v>-0.14906471471289964</v>
      </c>
      <c r="AJ16">
        <f t="shared" si="51"/>
        <v>0.15907648544194258</v>
      </c>
      <c r="AK16">
        <f t="shared" si="52"/>
        <v>-0.3483289152717291</v>
      </c>
      <c r="AL16">
        <f t="shared" si="51"/>
        <v>0.34364426804356968</v>
      </c>
      <c r="AM16">
        <f t="shared" si="52"/>
        <v>0.16895851110772495</v>
      </c>
      <c r="AN16">
        <f t="shared" si="51"/>
        <v>-0.17870273178837093</v>
      </c>
      <c r="AO16">
        <f t="shared" si="52"/>
        <v>0.33867933962129071</v>
      </c>
      <c r="AP16">
        <f t="shared" si="51"/>
        <v>-0.3334381794717276</v>
      </c>
      <c r="AQ16">
        <f t="shared" si="52"/>
        <v>-0.18830119995772718</v>
      </c>
      <c r="AR16">
        <f t="shared" si="51"/>
        <v>0.19774608696747553</v>
      </c>
      <c r="AS16">
        <f t="shared" si="52"/>
        <v>-0.32792506236027702</v>
      </c>
      <c r="AT16">
        <f t="shared" si="46"/>
        <v>0.32214448486433173</v>
      </c>
      <c r="AU16">
        <f t="shared" si="47"/>
        <v>0.20702968943229935</v>
      </c>
      <c r="AV16">
        <f t="shared" si="46"/>
        <v>-0.21614443551286558</v>
      </c>
      <c r="AW16">
        <f t="shared" si="47"/>
        <v>0.31610116170581326</v>
      </c>
      <c r="AX16">
        <f t="shared" si="46"/>
        <v>-0.30980002190577127</v>
      </c>
      <c r="AY16">
        <f t="shared" si="47"/>
        <v>-0.22508289109153459</v>
      </c>
      <c r="AZ16">
        <f t="shared" si="46"/>
        <v>0.23383776583572558</v>
      </c>
      <c r="BA16">
        <f t="shared" si="47"/>
        <v>-0.30324620476420866</v>
      </c>
      <c r="BB16">
        <f t="shared" si="46"/>
        <v>0.2964450556683933</v>
      </c>
      <c r="BC16">
        <f t="shared" si="47"/>
        <v>0.24240191914401835</v>
      </c>
      <c r="BD16">
        <f t="shared" si="48"/>
        <v>-0.25076836597013802</v>
      </c>
      <c r="BE16">
        <f t="shared" si="49"/>
        <v>0.28940212173307733</v>
      </c>
      <c r="BF16">
        <f t="shared" si="48"/>
        <v>-0.28212314727620141</v>
      </c>
      <c r="BG16">
        <f t="shared" si="49"/>
        <v>-0.25893028252004591</v>
      </c>
      <c r="BH16">
        <f t="shared" si="48"/>
        <v>0.26688101181753043</v>
      </c>
      <c r="BI16">
        <f t="shared" si="49"/>
        <v>-0.27461406913374115</v>
      </c>
    </row>
    <row r="17" spans="1:61">
      <c r="A17" s="1">
        <v>15</v>
      </c>
      <c r="B17" s="2">
        <v>45686</v>
      </c>
      <c r="C17">
        <f t="shared" si="42"/>
        <v>10.729547184215814</v>
      </c>
      <c r="D17">
        <f t="shared" si="43"/>
        <v>1.7135959928671598</v>
      </c>
      <c r="H17">
        <f t="shared" si="50"/>
        <v>-5.5526318991536511E-2</v>
      </c>
      <c r="I17">
        <f t="shared" si="44"/>
        <v>0.38619403144036363</v>
      </c>
      <c r="J17">
        <f t="shared" si="45"/>
        <v>-0.37436091393891963</v>
      </c>
      <c r="K17">
        <f t="shared" si="44"/>
        <v>-0.10992228225308656</v>
      </c>
      <c r="L17">
        <f t="shared" si="45"/>
        <v>0.16208054483764953</v>
      </c>
      <c r="M17">
        <f t="shared" si="44"/>
        <v>-0.35490688779740681</v>
      </c>
      <c r="N17">
        <f t="shared" si="51"/>
        <v>0.32822798088728761</v>
      </c>
      <c r="O17">
        <f t="shared" si="52"/>
        <v>0.21093931493101228</v>
      </c>
      <c r="P17">
        <f t="shared" si="51"/>
        <v>-0.25550396887113169</v>
      </c>
      <c r="Q17">
        <f t="shared" si="52"/>
        <v>0.29486729881763796</v>
      </c>
      <c r="R17">
        <f t="shared" si="51"/>
        <v>-0.25550396887113247</v>
      </c>
      <c r="S17">
        <f t="shared" si="52"/>
        <v>-0.29486729881763729</v>
      </c>
      <c r="T17">
        <f t="shared" si="51"/>
        <v>0.32822798088728744</v>
      </c>
      <c r="U17">
        <f t="shared" si="52"/>
        <v>-0.21093931493101251</v>
      </c>
      <c r="V17">
        <f t="shared" si="51"/>
        <v>0.16208054483765011</v>
      </c>
      <c r="W17">
        <f t="shared" si="52"/>
        <v>0.35490688779740653</v>
      </c>
      <c r="X17">
        <f t="shared" si="51"/>
        <v>-0.37436091393891935</v>
      </c>
      <c r="Y17">
        <f t="shared" si="52"/>
        <v>0.10992228225308752</v>
      </c>
      <c r="Z17">
        <f t="shared" si="51"/>
        <v>-5.5526318991537822E-2</v>
      </c>
      <c r="AA17">
        <f t="shared" si="52"/>
        <v>-0.38619403144036341</v>
      </c>
      <c r="AB17">
        <f t="shared" si="51"/>
        <v>0.39016535215330234</v>
      </c>
      <c r="AC17">
        <f t="shared" si="52"/>
        <v>-2.868062870096976E-16</v>
      </c>
      <c r="AD17">
        <f t="shared" si="51"/>
        <v>-5.5526318991535886E-2</v>
      </c>
      <c r="AE17">
        <f t="shared" si="52"/>
        <v>0.38619403144036374</v>
      </c>
      <c r="AF17">
        <f t="shared" si="51"/>
        <v>-0.3743609139389199</v>
      </c>
      <c r="AG17">
        <f t="shared" si="52"/>
        <v>-0.10992228225308563</v>
      </c>
      <c r="AH17">
        <f t="shared" si="51"/>
        <v>0.16208054483764958</v>
      </c>
      <c r="AI17">
        <f t="shared" si="52"/>
        <v>-0.35490688779740676</v>
      </c>
      <c r="AJ17">
        <f t="shared" si="51"/>
        <v>0.32822798088728777</v>
      </c>
      <c r="AK17">
        <f t="shared" si="52"/>
        <v>0.21093931493101203</v>
      </c>
      <c r="AL17">
        <f t="shared" si="51"/>
        <v>-0.25550396887113147</v>
      </c>
      <c r="AM17">
        <f t="shared" si="52"/>
        <v>0.29486729881763812</v>
      </c>
      <c r="AN17">
        <f t="shared" si="51"/>
        <v>-0.25550396887113319</v>
      </c>
      <c r="AO17">
        <f t="shared" si="52"/>
        <v>-0.29486729881763668</v>
      </c>
      <c r="AP17">
        <f t="shared" si="51"/>
        <v>0.32822798088728655</v>
      </c>
      <c r="AQ17">
        <f t="shared" si="52"/>
        <v>-0.21093931493101395</v>
      </c>
      <c r="AR17">
        <f t="shared" si="51"/>
        <v>0.16208054483765036</v>
      </c>
      <c r="AS17">
        <f t="shared" si="52"/>
        <v>0.35490688779740642</v>
      </c>
      <c r="AT17">
        <f t="shared" si="46"/>
        <v>-0.3743609139389189</v>
      </c>
      <c r="AU17">
        <f t="shared" si="47"/>
        <v>0.10992228225308913</v>
      </c>
      <c r="AV17">
        <f t="shared" si="46"/>
        <v>-5.5526318991538107E-2</v>
      </c>
      <c r="AW17">
        <f t="shared" si="47"/>
        <v>-0.38619403144036335</v>
      </c>
      <c r="AX17">
        <f t="shared" si="46"/>
        <v>0.39016535215330234</v>
      </c>
      <c r="AY17">
        <f t="shared" si="47"/>
        <v>-5.7361257401939521E-16</v>
      </c>
      <c r="AZ17">
        <f t="shared" si="46"/>
        <v>-5.5526318991534228E-2</v>
      </c>
      <c r="BA17">
        <f t="shared" si="47"/>
        <v>0.38619403144036391</v>
      </c>
      <c r="BB17">
        <f t="shared" si="46"/>
        <v>-0.37436091393891996</v>
      </c>
      <c r="BC17">
        <f t="shared" si="47"/>
        <v>-0.10992228225308535</v>
      </c>
      <c r="BD17">
        <f t="shared" si="48"/>
        <v>0.16208054483764933</v>
      </c>
      <c r="BE17">
        <f t="shared" si="49"/>
        <v>-0.35490688779740687</v>
      </c>
      <c r="BF17">
        <f t="shared" si="48"/>
        <v>0.32822798088728866</v>
      </c>
      <c r="BG17">
        <f t="shared" si="49"/>
        <v>0.21093931493101065</v>
      </c>
      <c r="BH17">
        <f t="shared" si="48"/>
        <v>-0.2555039688711313</v>
      </c>
      <c r="BI17">
        <f t="shared" si="49"/>
        <v>0.29486729881763829</v>
      </c>
    </row>
    <row r="18" spans="1:61">
      <c r="A18" s="1">
        <v>16</v>
      </c>
      <c r="B18" s="2">
        <v>7942</v>
      </c>
      <c r="C18">
        <f t="shared" si="42"/>
        <v>8.9799204116911966</v>
      </c>
      <c r="D18">
        <f t="shared" si="43"/>
        <v>1.8278357257249704</v>
      </c>
      <c r="H18">
        <f t="shared" si="50"/>
        <v>-8.3013105754553673E-2</v>
      </c>
      <c r="I18">
        <f t="shared" si="44"/>
        <v>0.31581461024149254</v>
      </c>
      <c r="J18">
        <f t="shared" si="45"/>
        <v>-0.28433565350283363</v>
      </c>
      <c r="K18">
        <f t="shared" si="44"/>
        <v>-0.16057172825911503</v>
      </c>
      <c r="L18">
        <f t="shared" si="45"/>
        <v>0.22757977812516736</v>
      </c>
      <c r="M18">
        <f t="shared" si="44"/>
        <v>-0.23417405568828958</v>
      </c>
      <c r="N18">
        <f t="shared" si="51"/>
        <v>0.16862574932062693</v>
      </c>
      <c r="O18">
        <f t="shared" si="52"/>
        <v>0.27963440495593461</v>
      </c>
      <c r="P18">
        <f t="shared" si="51"/>
        <v>-0.3133152923140039</v>
      </c>
      <c r="Q18">
        <f t="shared" si="52"/>
        <v>9.1997670466120229E-2</v>
      </c>
      <c r="R18">
        <f t="shared" si="51"/>
        <v>-9.3247659418039582E-3</v>
      </c>
      <c r="S18">
        <f t="shared" si="52"/>
        <v>-0.32640939402709157</v>
      </c>
      <c r="T18">
        <f t="shared" si="51"/>
        <v>0.31805634524294302</v>
      </c>
      <c r="U18">
        <f t="shared" si="52"/>
        <v>7.3960834363224967E-2</v>
      </c>
      <c r="V18">
        <f t="shared" si="51"/>
        <v>-0.1523867425928549</v>
      </c>
      <c r="W18">
        <f t="shared" si="52"/>
        <v>0.28880499381233271</v>
      </c>
      <c r="X18">
        <f t="shared" si="51"/>
        <v>-0.24057733753268823</v>
      </c>
      <c r="Y18">
        <f t="shared" si="52"/>
        <v>-0.22079988323068822</v>
      </c>
      <c r="Z18">
        <f t="shared" si="51"/>
        <v>0.27470508257738369</v>
      </c>
      <c r="AA18">
        <f t="shared" si="52"/>
        <v>-0.17654223680228864</v>
      </c>
      <c r="AB18">
        <f t="shared" si="51"/>
        <v>0.10090720055807494</v>
      </c>
      <c r="AC18">
        <f t="shared" si="52"/>
        <v>0.31056042994002792</v>
      </c>
      <c r="AD18">
        <f t="shared" si="51"/>
        <v>-0.32601000344538744</v>
      </c>
      <c r="AE18">
        <f t="shared" si="52"/>
        <v>1.8641926470754869E-2</v>
      </c>
      <c r="AF18">
        <f t="shared" si="51"/>
        <v>6.4848239454523476E-2</v>
      </c>
      <c r="AG18">
        <f t="shared" si="52"/>
        <v>-0.32003866892713345</v>
      </c>
      <c r="AH18">
        <f t="shared" si="51"/>
        <v>0.29303878062636884</v>
      </c>
      <c r="AI18">
        <f t="shared" si="52"/>
        <v>0.14407746811355834</v>
      </c>
      <c r="AJ18">
        <f t="shared" si="51"/>
        <v>-0.21383990078437554</v>
      </c>
      <c r="AK18">
        <f t="shared" si="52"/>
        <v>0.2467844010498455</v>
      </c>
      <c r="AL18">
        <f t="shared" si="51"/>
        <v>-0.18431473390336006</v>
      </c>
      <c r="AM18">
        <f t="shared" si="52"/>
        <v>-0.26955170679321644</v>
      </c>
      <c r="AN18">
        <f t="shared" si="51"/>
        <v>0.30755227002483143</v>
      </c>
      <c r="AO18">
        <f t="shared" si="52"/>
        <v>-0.10973442928988031</v>
      </c>
      <c r="AP18">
        <f t="shared" si="51"/>
        <v>2.7943882377082917E-2</v>
      </c>
      <c r="AQ18">
        <f t="shared" si="52"/>
        <v>0.32534471442870916</v>
      </c>
      <c r="AR18">
        <f t="shared" si="51"/>
        <v>-0.32175996448243349</v>
      </c>
      <c r="AS18">
        <f t="shared" si="52"/>
        <v>-5.56827533915637E-2</v>
      </c>
      <c r="AT18">
        <f t="shared" si="46"/>
        <v>0.13565068198467625</v>
      </c>
      <c r="AU18">
        <f t="shared" si="47"/>
        <v>-0.2970335608076885</v>
      </c>
      <c r="AV18">
        <f t="shared" si="46"/>
        <v>0.25279018366972444</v>
      </c>
      <c r="AW18">
        <f t="shared" si="47"/>
        <v>0.20670550744774446</v>
      </c>
      <c r="AX18">
        <f t="shared" si="46"/>
        <v>-0.2641784807706416</v>
      </c>
      <c r="AY18">
        <f t="shared" si="47"/>
        <v>0.19193690126371818</v>
      </c>
      <c r="AZ18">
        <f t="shared" si="46"/>
        <v>-0.11847215704716774</v>
      </c>
      <c r="BA18">
        <f t="shared" si="47"/>
        <v>-0.30429326606678925</v>
      </c>
      <c r="BB18">
        <f t="shared" si="46"/>
        <v>0.32441406959632124</v>
      </c>
      <c r="BC18">
        <f t="shared" si="47"/>
        <v>-3.7223046852128891E-2</v>
      </c>
      <c r="BD18">
        <f t="shared" si="48"/>
        <v>-4.6471851676245408E-2</v>
      </c>
      <c r="BE18">
        <f t="shared" si="49"/>
        <v>0.32321882799549845</v>
      </c>
      <c r="BF18">
        <f t="shared" si="48"/>
        <v>-0.30078607615627689</v>
      </c>
      <c r="BG18">
        <f t="shared" si="49"/>
        <v>-0.12711325721384437</v>
      </c>
      <c r="BH18">
        <f t="shared" si="48"/>
        <v>0.19940252213433343</v>
      </c>
      <c r="BI18">
        <f t="shared" si="49"/>
        <v>-0.25858978698987556</v>
      </c>
    </row>
    <row r="19" spans="1:61">
      <c r="A19" s="1">
        <v>17</v>
      </c>
      <c r="B19" s="2">
        <v>5123</v>
      </c>
      <c r="C19">
        <f t="shared" si="42"/>
        <v>8.5414954839392028</v>
      </c>
      <c r="D19">
        <f t="shared" si="43"/>
        <v>1.9420754585827813</v>
      </c>
      <c r="H19">
        <f t="shared" si="50"/>
        <v>-0.11268801370148529</v>
      </c>
      <c r="I19">
        <f t="shared" si="44"/>
        <v>0.28943681444200031</v>
      </c>
      <c r="J19">
        <f t="shared" si="45"/>
        <v>-0.22883167643649241</v>
      </c>
      <c r="K19">
        <f t="shared" si="44"/>
        <v>-0.21001981298340286</v>
      </c>
      <c r="L19">
        <f t="shared" si="45"/>
        <v>0.27873180458041358</v>
      </c>
      <c r="M19">
        <f t="shared" si="44"/>
        <v>-0.13704320158864211</v>
      </c>
      <c r="N19">
        <f t="shared" si="51"/>
        <v>2.6579583580366103E-2</v>
      </c>
      <c r="O19">
        <f t="shared" si="52"/>
        <v>0.30946047198796395</v>
      </c>
      <c r="P19">
        <f t="shared" si="51"/>
        <v>-0.29801836003635007</v>
      </c>
      <c r="Q19">
        <f t="shared" si="52"/>
        <v>-8.7506085888716806E-2</v>
      </c>
      <c r="R19">
        <f t="shared" si="51"/>
        <v>0.18966713113393244</v>
      </c>
      <c r="S19">
        <f t="shared" si="52"/>
        <v>-0.24596470753696095</v>
      </c>
      <c r="T19">
        <f t="shared" si="51"/>
        <v>0.16039296678206769</v>
      </c>
      <c r="U19">
        <f t="shared" si="52"/>
        <v>0.26598186816616953</v>
      </c>
      <c r="V19">
        <f t="shared" si="51"/>
        <v>-0.30605073959909967</v>
      </c>
      <c r="W19">
        <f t="shared" si="52"/>
        <v>5.2964165028471455E-2</v>
      </c>
      <c r="X19">
        <f t="shared" si="51"/>
        <v>6.1682166327563737E-2</v>
      </c>
      <c r="Y19">
        <f t="shared" si="52"/>
        <v>-0.30441348252575445</v>
      </c>
      <c r="Z19">
        <f t="shared" si="51"/>
        <v>0.2612932091463796</v>
      </c>
      <c r="AA19">
        <f t="shared" si="52"/>
        <v>0.167922949117461</v>
      </c>
      <c r="AB19">
        <f t="shared" si="51"/>
        <v>-0.25128054559577007</v>
      </c>
      <c r="AC19">
        <f t="shared" si="52"/>
        <v>0.18256600283571744</v>
      </c>
      <c r="AD19">
        <f t="shared" si="51"/>
        <v>-7.8960172852662561E-2</v>
      </c>
      <c r="AE19">
        <f t="shared" si="52"/>
        <v>-0.3003956542451916</v>
      </c>
      <c r="AF19">
        <f t="shared" si="51"/>
        <v>0.30857526384929906</v>
      </c>
      <c r="AG19">
        <f t="shared" si="52"/>
        <v>3.5405713192287726E-2</v>
      </c>
      <c r="AH19">
        <f t="shared" si="51"/>
        <v>-0.14494679395760318</v>
      </c>
      <c r="AI19">
        <f t="shared" si="52"/>
        <v>0.27470472312599797</v>
      </c>
      <c r="AJ19">
        <f t="shared" si="51"/>
        <v>-0.20339963642191866</v>
      </c>
      <c r="AK19">
        <f t="shared" si="52"/>
        <v>-0.23473569368494082</v>
      </c>
      <c r="AL19">
        <f t="shared" si="51"/>
        <v>0.29253670467638521</v>
      </c>
      <c r="AM19">
        <f t="shared" si="52"/>
        <v>-0.10437688634654918</v>
      </c>
      <c r="AN19">
        <f t="shared" si="51"/>
        <v>-8.8695046870363847E-3</v>
      </c>
      <c r="AO19">
        <f t="shared" si="52"/>
        <v>0.31047317093901322</v>
      </c>
      <c r="AP19">
        <f t="shared" si="51"/>
        <v>-0.28610085539018476</v>
      </c>
      <c r="AQ19">
        <f t="shared" si="52"/>
        <v>-0.12090723109609135</v>
      </c>
      <c r="AR19">
        <f t="shared" si="51"/>
        <v>0.21646869437297325</v>
      </c>
      <c r="AS19">
        <f t="shared" si="52"/>
        <v>-0.22274102079046726</v>
      </c>
      <c r="AT19">
        <f t="shared" si="46"/>
        <v>0.12902783481877</v>
      </c>
      <c r="AU19">
        <f t="shared" si="47"/>
        <v>0.28253154837698968</v>
      </c>
      <c r="AV19">
        <f t="shared" si="46"/>
        <v>-0.31009327972689155</v>
      </c>
      <c r="AW19">
        <f t="shared" si="47"/>
        <v>1.7731775278828292E-2</v>
      </c>
      <c r="AX19">
        <f t="shared" si="46"/>
        <v>9.5980627705966035E-2</v>
      </c>
      <c r="AY19">
        <f t="shared" si="47"/>
        <v>-0.29539799777840031</v>
      </c>
      <c r="AZ19">
        <f t="shared" si="46"/>
        <v>0.24044825713465931</v>
      </c>
      <c r="BA19">
        <f t="shared" si="47"/>
        <v>0.19661356419948195</v>
      </c>
      <c r="BB19">
        <f t="shared" si="46"/>
        <v>-0.27045358855913992</v>
      </c>
      <c r="BC19">
        <f t="shared" si="47"/>
        <v>0.1527321656423509</v>
      </c>
      <c r="BD19">
        <f t="shared" si="48"/>
        <v>-4.420296539668294E-2</v>
      </c>
      <c r="BE19">
        <f t="shared" si="49"/>
        <v>-0.30743837729935203</v>
      </c>
      <c r="BF19">
        <f t="shared" si="48"/>
        <v>0.30252794144966944</v>
      </c>
      <c r="BG19">
        <f t="shared" si="49"/>
        <v>7.034985876705413E-2</v>
      </c>
      <c r="BH19">
        <f t="shared" si="48"/>
        <v>-0.17531597108693228</v>
      </c>
      <c r="BI19">
        <f t="shared" si="49"/>
        <v>0.25639143563731803</v>
      </c>
    </row>
    <row r="20" spans="1:61">
      <c r="A20" s="1">
        <v>18</v>
      </c>
      <c r="B20" s="2">
        <v>7106</v>
      </c>
      <c r="C20">
        <f t="shared" si="42"/>
        <v>8.8686947765809716</v>
      </c>
      <c r="D20">
        <f t="shared" si="43"/>
        <v>2.0563151914405919</v>
      </c>
      <c r="H20">
        <f t="shared" si="50"/>
        <v>-0.15049927461427479</v>
      </c>
      <c r="I20">
        <f t="shared" si="44"/>
        <v>0.28522784419550962</v>
      </c>
      <c r="J20">
        <f t="shared" si="45"/>
        <v>-0.18203180461237331</v>
      </c>
      <c r="K20">
        <f t="shared" si="44"/>
        <v>-0.26621302912029599</v>
      </c>
      <c r="L20">
        <f t="shared" si="45"/>
        <v>0.32039586461506497</v>
      </c>
      <c r="M20">
        <f t="shared" si="44"/>
        <v>-3.6762000780775933E-2</v>
      </c>
      <c r="N20">
        <f t="shared" si="51"/>
        <v>-0.11700475641260211</v>
      </c>
      <c r="O20">
        <f t="shared" si="52"/>
        <v>0.30052427812186561</v>
      </c>
      <c r="P20">
        <f t="shared" si="51"/>
        <v>-0.21119127165558274</v>
      </c>
      <c r="Q20">
        <f t="shared" si="52"/>
        <v>-0.2437277200901421</v>
      </c>
      <c r="R20">
        <f t="shared" si="51"/>
        <v>0.31411688727687609</v>
      </c>
      <c r="S20">
        <f t="shared" si="52"/>
        <v>-7.3044752661140064E-2</v>
      </c>
      <c r="T20">
        <f t="shared" si="51"/>
        <v>-8.198490227537765E-2</v>
      </c>
      <c r="U20">
        <f t="shared" si="52"/>
        <v>0.31190291849025326</v>
      </c>
      <c r="V20">
        <f t="shared" si="51"/>
        <v>-0.23759753749733795</v>
      </c>
      <c r="W20">
        <f t="shared" si="52"/>
        <v>-0.2180650474951038</v>
      </c>
      <c r="X20">
        <f t="shared" si="51"/>
        <v>0.30374291593316671</v>
      </c>
      <c r="Y20">
        <f t="shared" si="52"/>
        <v>-0.10837525448301391</v>
      </c>
      <c r="Z20">
        <f t="shared" si="51"/>
        <v>-4.5896249557246006E-2</v>
      </c>
      <c r="AA20">
        <f t="shared" si="52"/>
        <v>0.31921542732208258</v>
      </c>
      <c r="AB20">
        <f t="shared" si="51"/>
        <v>-0.26090635607921225</v>
      </c>
      <c r="AC20">
        <f t="shared" si="52"/>
        <v>-0.18955956351845743</v>
      </c>
      <c r="AD20">
        <f t="shared" si="51"/>
        <v>0.28940919116534625</v>
      </c>
      <c r="AE20">
        <f t="shared" si="52"/>
        <v>-0.14229291912411129</v>
      </c>
      <c r="AF20">
        <f t="shared" si="51"/>
        <v>-9.209269036867012E-3</v>
      </c>
      <c r="AG20">
        <f t="shared" si="52"/>
        <v>0.32236647488169023</v>
      </c>
      <c r="AH20">
        <f t="shared" si="51"/>
        <v>-0.28081386130474717</v>
      </c>
      <c r="AI20">
        <f t="shared" si="52"/>
        <v>-0.15858288073735771</v>
      </c>
      <c r="AJ20">
        <f t="shared" si="51"/>
        <v>0.27130257499637023</v>
      </c>
      <c r="AK20">
        <f t="shared" si="52"/>
        <v>-0.17435557795545206</v>
      </c>
      <c r="AL20">
        <f t="shared" si="51"/>
        <v>2.7597768389169393E-2</v>
      </c>
      <c r="AM20">
        <f t="shared" si="52"/>
        <v>0.32131498244523016</v>
      </c>
      <c r="AN20">
        <f t="shared" si="51"/>
        <v>-0.29706052839872227</v>
      </c>
      <c r="AO20">
        <f t="shared" si="52"/>
        <v>-0.1255388275845872</v>
      </c>
      <c r="AP20">
        <f t="shared" si="51"/>
        <v>0.24965911485850259</v>
      </c>
      <c r="AQ20">
        <f t="shared" si="52"/>
        <v>-0.20414524518565166</v>
      </c>
      <c r="AR20">
        <f t="shared" ref="N20:AR35" si="53">2/COUNT($A$3:$A$57)*$C20*COS($D20*AR$1)</f>
        <v>6.4045026698905758E-2</v>
      </c>
      <c r="AS20">
        <f t="shared" ref="O20:AS35" si="54">2/55*$C20*SIN($D20*AS$1)</f>
        <v>0.31607465782466215</v>
      </c>
      <c r="AT20">
        <f t="shared" si="46"/>
        <v>-0.30943455720949192</v>
      </c>
      <c r="AU20">
        <f t="shared" si="47"/>
        <v>-9.0858183827360703E-2</v>
      </c>
      <c r="AV20">
        <f t="shared" si="46"/>
        <v>0.22476096635404541</v>
      </c>
      <c r="AW20">
        <f t="shared" si="47"/>
        <v>-0.23127356694494178</v>
      </c>
      <c r="AX20">
        <f t="shared" si="46"/>
        <v>9.9657360141376827E-2</v>
      </c>
      <c r="AY20">
        <f t="shared" si="47"/>
        <v>0.30671381666545888</v>
      </c>
      <c r="AZ20">
        <f t="shared" si="46"/>
        <v>-0.31777463334787109</v>
      </c>
      <c r="BA20">
        <f t="shared" si="47"/>
        <v>-5.4993064694258478E-2</v>
      </c>
      <c r="BB20">
        <f t="shared" si="46"/>
        <v>0.19693271492556566</v>
      </c>
      <c r="BC20">
        <f t="shared" si="47"/>
        <v>-0.25538688407176802</v>
      </c>
      <c r="BD20">
        <f t="shared" si="48"/>
        <v>0.13397050748811518</v>
      </c>
      <c r="BE20">
        <f t="shared" si="49"/>
        <v>0.29335449184769213</v>
      </c>
      <c r="BF20">
        <f t="shared" si="48"/>
        <v>-0.32197203116689249</v>
      </c>
      <c r="BG20">
        <f t="shared" si="49"/>
        <v>-1.8411026861813281E-2</v>
      </c>
      <c r="BH20">
        <f t="shared" si="48"/>
        <v>0.16653714438825917</v>
      </c>
      <c r="BI20">
        <f t="shared" si="49"/>
        <v>-0.27617084260081637</v>
      </c>
    </row>
    <row r="21" spans="1:61">
      <c r="A21" s="1">
        <v>19</v>
      </c>
      <c r="B21" s="2">
        <v>11250</v>
      </c>
      <c r="C21">
        <f t="shared" si="42"/>
        <v>9.3281234076325656</v>
      </c>
      <c r="D21">
        <f t="shared" si="43"/>
        <v>2.1705549242984024</v>
      </c>
      <c r="H21">
        <f t="shared" si="50"/>
        <v>-0.19146167280693013</v>
      </c>
      <c r="I21">
        <f t="shared" si="44"/>
        <v>0.28000377179641128</v>
      </c>
      <c r="J21">
        <f t="shared" si="45"/>
        <v>-0.12306600177275553</v>
      </c>
      <c r="K21">
        <f t="shared" si="44"/>
        <v>-0.31609246049520523</v>
      </c>
      <c r="L21">
        <f t="shared" si="45"/>
        <v>0.33038921315428543</v>
      </c>
      <c r="M21">
        <f t="shared" si="44"/>
        <v>7.6828719926450004E-2</v>
      </c>
      <c r="N21">
        <f t="shared" si="53"/>
        <v>-0.24990590013057229</v>
      </c>
      <c r="O21">
        <f t="shared" si="54"/>
        <v>0.22936156054180737</v>
      </c>
      <c r="P21">
        <f t="shared" si="53"/>
        <v>-4.8273831787290382E-2</v>
      </c>
      <c r="Q21">
        <f t="shared" si="54"/>
        <v>-0.33575187495949615</v>
      </c>
      <c r="R21">
        <f t="shared" si="53"/>
        <v>0.30440157413267455</v>
      </c>
      <c r="S21">
        <f t="shared" si="54"/>
        <v>0.14966417754357447</v>
      </c>
      <c r="T21">
        <f t="shared" si="53"/>
        <v>-0.29536097687582608</v>
      </c>
      <c r="U21">
        <f t="shared" si="54"/>
        <v>0.16679801471601058</v>
      </c>
      <c r="V21">
        <f t="shared" si="53"/>
        <v>2.9027426898174617E-2</v>
      </c>
      <c r="W21">
        <f t="shared" si="54"/>
        <v>-0.3379601941973579</v>
      </c>
      <c r="X21">
        <f t="shared" si="53"/>
        <v>0.26259230832817543</v>
      </c>
      <c r="Y21">
        <f t="shared" si="54"/>
        <v>0.21472066500717901</v>
      </c>
      <c r="Z21">
        <f t="shared" si="53"/>
        <v>-0.325464322422995</v>
      </c>
      <c r="AA21">
        <f t="shared" si="54"/>
        <v>9.5564947569626718E-2</v>
      </c>
      <c r="AB21">
        <f t="shared" si="53"/>
        <v>0.10481995122127999</v>
      </c>
      <c r="AC21">
        <f t="shared" si="54"/>
        <v>-0.32260263824124752</v>
      </c>
      <c r="AD21">
        <f t="shared" si="53"/>
        <v>0.20713450108540163</v>
      </c>
      <c r="AE21">
        <f t="shared" si="54"/>
        <v>0.26861679551797663</v>
      </c>
      <c r="AF21">
        <f t="shared" si="53"/>
        <v>-0.33865128028329211</v>
      </c>
      <c r="AG21">
        <f t="shared" si="54"/>
        <v>1.9364780833561478E-2</v>
      </c>
      <c r="AH21">
        <f t="shared" si="53"/>
        <v>0.17516433634750592</v>
      </c>
      <c r="AI21">
        <f t="shared" si="54"/>
        <v>-0.29047743397066583</v>
      </c>
      <c r="AJ21">
        <f t="shared" si="53"/>
        <v>0.14091063660599634</v>
      </c>
      <c r="AK21">
        <f t="shared" si="54"/>
        <v>0.30855125484356333</v>
      </c>
      <c r="AL21">
        <f t="shared" si="53"/>
        <v>-0.33423644294441479</v>
      </c>
      <c r="AM21">
        <f t="shared" si="54"/>
        <v>-5.7841892967897136E-2</v>
      </c>
      <c r="AN21">
        <f t="shared" si="53"/>
        <v>0.23640435083025205</v>
      </c>
      <c r="AO21">
        <f t="shared" si="54"/>
        <v>-0.24325432633926955</v>
      </c>
      <c r="AP21">
        <f t="shared" si="53"/>
        <v>6.7362777470942742E-2</v>
      </c>
      <c r="AQ21">
        <f t="shared" si="54"/>
        <v>0.33244840289230593</v>
      </c>
      <c r="AR21">
        <f t="shared" si="53"/>
        <v>-0.31244927672526046</v>
      </c>
      <c r="AS21">
        <f t="shared" si="54"/>
        <v>-0.132042166932031</v>
      </c>
      <c r="AT21">
        <f t="shared" si="46"/>
        <v>0.28535697350385847</v>
      </c>
      <c r="AU21">
        <f t="shared" si="47"/>
        <v>-0.18338779143378922</v>
      </c>
      <c r="AV21">
        <f t="shared" si="46"/>
        <v>-9.6863405759330095E-3</v>
      </c>
      <c r="AW21">
        <f t="shared" si="47"/>
        <v>0.33906615752754177</v>
      </c>
      <c r="AX21">
        <f t="shared" si="46"/>
        <v>-0.27442219499641823</v>
      </c>
      <c r="AY21">
        <f t="shared" si="47"/>
        <v>-0.19937939529347698</v>
      </c>
      <c r="AZ21">
        <f t="shared" si="46"/>
        <v>0.31947783472045949</v>
      </c>
      <c r="BA21">
        <f t="shared" si="47"/>
        <v>-0.11398946221722212</v>
      </c>
      <c r="BB21">
        <f t="shared" si="46"/>
        <v>-8.6231999775984378E-2</v>
      </c>
      <c r="BC21">
        <f t="shared" si="47"/>
        <v>0.32806055323503824</v>
      </c>
      <c r="BD21">
        <f t="shared" si="48"/>
        <v>-0.2221316996747095</v>
      </c>
      <c r="BE21">
        <f t="shared" si="49"/>
        <v>-0.25635364708517294</v>
      </c>
      <c r="BF21">
        <f t="shared" si="48"/>
        <v>0.33699346292946264</v>
      </c>
      <c r="BG21">
        <f t="shared" si="49"/>
        <v>-3.8666397777057548E-2</v>
      </c>
      <c r="BH21">
        <f t="shared" si="48"/>
        <v>-0.15829565023122177</v>
      </c>
      <c r="BI21">
        <f t="shared" si="49"/>
        <v>0.3000036191317022</v>
      </c>
    </row>
    <row r="22" spans="1:61">
      <c r="A22" s="1">
        <v>20</v>
      </c>
      <c r="B22" s="2">
        <v>18774</v>
      </c>
      <c r="C22">
        <f t="shared" si="42"/>
        <v>9.8402282128969372</v>
      </c>
      <c r="D22">
        <f t="shared" si="43"/>
        <v>2.2847946571562132</v>
      </c>
      <c r="H22">
        <f t="shared" si="50"/>
        <v>-0.23432651162497412</v>
      </c>
      <c r="I22">
        <f t="shared" si="44"/>
        <v>0.27042721030711359</v>
      </c>
      <c r="J22">
        <f t="shared" si="45"/>
        <v>-5.0924017697841675E-2</v>
      </c>
      <c r="K22">
        <f t="shared" si="44"/>
        <v>-0.35418432284098472</v>
      </c>
      <c r="L22">
        <f t="shared" si="45"/>
        <v>0.30102279083507683</v>
      </c>
      <c r="M22">
        <f t="shared" si="44"/>
        <v>0.19345560090800834</v>
      </c>
      <c r="N22">
        <f t="shared" si="53"/>
        <v>-0.34333199378319101</v>
      </c>
      <c r="O22">
        <f t="shared" si="54"/>
        <v>0.10081136924809558</v>
      </c>
      <c r="P22">
        <f t="shared" si="53"/>
        <v>0.14864649203644045</v>
      </c>
      <c r="Q22">
        <f t="shared" si="54"/>
        <v>-0.32549041541968243</v>
      </c>
      <c r="R22">
        <f t="shared" si="53"/>
        <v>0.14864649203644076</v>
      </c>
      <c r="S22">
        <f t="shared" si="54"/>
        <v>0.32549041541968227</v>
      </c>
      <c r="T22">
        <f t="shared" si="53"/>
        <v>-0.34333199378319113</v>
      </c>
      <c r="U22">
        <f t="shared" si="54"/>
        <v>-0.10081136924809524</v>
      </c>
      <c r="V22">
        <f t="shared" si="53"/>
        <v>0.3010227908350766</v>
      </c>
      <c r="W22">
        <f t="shared" si="54"/>
        <v>-0.19345560090800862</v>
      </c>
      <c r="X22">
        <f t="shared" si="53"/>
        <v>-5.0924017697841023E-2</v>
      </c>
      <c r="Y22">
        <f t="shared" si="54"/>
        <v>0.35418432284098483</v>
      </c>
      <c r="Z22">
        <f t="shared" si="53"/>
        <v>-0.23432651162497403</v>
      </c>
      <c r="AA22">
        <f t="shared" si="54"/>
        <v>-0.27042721030711364</v>
      </c>
      <c r="AB22">
        <f t="shared" si="53"/>
        <v>0.35782648046897952</v>
      </c>
      <c r="AC22">
        <f t="shared" si="54"/>
        <v>-3.5071244773756781E-16</v>
      </c>
      <c r="AD22">
        <f t="shared" si="53"/>
        <v>-0.23432651162497353</v>
      </c>
      <c r="AE22">
        <f t="shared" si="54"/>
        <v>0.27042721030711414</v>
      </c>
      <c r="AF22">
        <f t="shared" si="53"/>
        <v>-5.0924017697841717E-2</v>
      </c>
      <c r="AG22">
        <f t="shared" si="54"/>
        <v>-0.35418432284098472</v>
      </c>
      <c r="AH22">
        <f t="shared" si="53"/>
        <v>0.30102279083507699</v>
      </c>
      <c r="AI22">
        <f t="shared" si="54"/>
        <v>0.19345560090800804</v>
      </c>
      <c r="AJ22">
        <f t="shared" si="53"/>
        <v>-0.34333199378319113</v>
      </c>
      <c r="AK22">
        <f t="shared" si="54"/>
        <v>0.10081136924809531</v>
      </c>
      <c r="AL22">
        <f t="shared" si="53"/>
        <v>0.14864649203644012</v>
      </c>
      <c r="AM22">
        <f t="shared" si="54"/>
        <v>-0.32549041541968254</v>
      </c>
      <c r="AN22">
        <f t="shared" si="53"/>
        <v>0.14864649203644109</v>
      </c>
      <c r="AO22">
        <f t="shared" si="54"/>
        <v>0.3254904154196821</v>
      </c>
      <c r="AP22">
        <f t="shared" si="53"/>
        <v>-0.3433319937831914</v>
      </c>
      <c r="AQ22">
        <f t="shared" si="54"/>
        <v>-0.10081136924809429</v>
      </c>
      <c r="AR22">
        <f t="shared" si="53"/>
        <v>0.3010227908350771</v>
      </c>
      <c r="AS22">
        <f t="shared" si="54"/>
        <v>-0.19345560090800787</v>
      </c>
      <c r="AT22">
        <f t="shared" si="46"/>
        <v>-5.0924017697841925E-2</v>
      </c>
      <c r="AU22">
        <f t="shared" si="47"/>
        <v>0.35418432284098467</v>
      </c>
      <c r="AV22">
        <f t="shared" si="46"/>
        <v>-0.23432651162497431</v>
      </c>
      <c r="AW22">
        <f t="shared" si="47"/>
        <v>-0.27042721030711347</v>
      </c>
      <c r="AX22">
        <f t="shared" si="46"/>
        <v>0.35782648046897952</v>
      </c>
      <c r="AY22">
        <f t="shared" si="47"/>
        <v>-7.0142489547513563E-16</v>
      </c>
      <c r="AZ22">
        <f t="shared" si="46"/>
        <v>-0.23432651162497325</v>
      </c>
      <c r="BA22">
        <f t="shared" si="47"/>
        <v>0.27042721030711436</v>
      </c>
      <c r="BB22">
        <f t="shared" si="46"/>
        <v>-5.0924017697843313E-2</v>
      </c>
      <c r="BC22">
        <f t="shared" si="47"/>
        <v>-0.35418432284098444</v>
      </c>
      <c r="BD22">
        <f t="shared" si="48"/>
        <v>0.30102279083507649</v>
      </c>
      <c r="BE22">
        <f t="shared" si="49"/>
        <v>0.19345560090800881</v>
      </c>
      <c r="BF22">
        <f t="shared" si="48"/>
        <v>-0.34333199378319101</v>
      </c>
      <c r="BG22">
        <f t="shared" si="49"/>
        <v>0.10081136924809564</v>
      </c>
      <c r="BH22">
        <f t="shared" si="48"/>
        <v>0.14864649203643981</v>
      </c>
      <c r="BI22">
        <f t="shared" si="49"/>
        <v>-0.32549041541968271</v>
      </c>
    </row>
    <row r="23" spans="1:61">
      <c r="A23" s="1">
        <v>21</v>
      </c>
      <c r="B23" s="2">
        <v>30508</v>
      </c>
      <c r="C23">
        <f t="shared" si="42"/>
        <v>10.325744223284129</v>
      </c>
      <c r="D23">
        <f t="shared" si="43"/>
        <v>2.3990343900140241</v>
      </c>
      <c r="H23">
        <f t="shared" si="50"/>
        <v>-0.27663274721756603</v>
      </c>
      <c r="I23">
        <f t="shared" si="44"/>
        <v>0.25389123892487914</v>
      </c>
      <c r="J23">
        <f t="shared" si="45"/>
        <v>3.2131841798468105E-2</v>
      </c>
      <c r="K23">
        <f t="shared" si="44"/>
        <v>-0.3741042405247314</v>
      </c>
      <c r="L23">
        <f t="shared" si="45"/>
        <v>0.22928704784022996</v>
      </c>
      <c r="M23">
        <f t="shared" si="44"/>
        <v>0.29734472877227863</v>
      </c>
      <c r="N23">
        <f t="shared" si="53"/>
        <v>-0.36998224285073356</v>
      </c>
      <c r="O23">
        <f t="shared" si="54"/>
        <v>-6.4027947109747796E-2</v>
      </c>
      <c r="P23">
        <f t="shared" si="53"/>
        <v>0.31587522934359757</v>
      </c>
      <c r="Q23">
        <f t="shared" si="54"/>
        <v>-0.20300068355322717</v>
      </c>
      <c r="R23">
        <f t="shared" si="53"/>
        <v>-9.5454308936411658E-2</v>
      </c>
      <c r="S23">
        <f t="shared" si="54"/>
        <v>0.36314585629113261</v>
      </c>
      <c r="T23">
        <f t="shared" si="53"/>
        <v>-0.17522499698156183</v>
      </c>
      <c r="U23">
        <f t="shared" si="54"/>
        <v>-0.33208829920483424</v>
      </c>
      <c r="V23">
        <f t="shared" si="53"/>
        <v>0.3536452362575831</v>
      </c>
      <c r="W23">
        <f t="shared" si="54"/>
        <v>0.12618036657208639</v>
      </c>
      <c r="X23">
        <f t="shared" si="53"/>
        <v>-0.34586499054840147</v>
      </c>
      <c r="Y23">
        <f t="shared" si="54"/>
        <v>0.14616376551287272</v>
      </c>
      <c r="Z23">
        <f t="shared" si="53"/>
        <v>0.15598069711889917</v>
      </c>
      <c r="AA23">
        <f t="shared" si="54"/>
        <v>-0.34155008441259399</v>
      </c>
      <c r="AB23">
        <f t="shared" si="53"/>
        <v>0.11603019798413501</v>
      </c>
      <c r="AC23">
        <f t="shared" si="54"/>
        <v>0.35710423015096066</v>
      </c>
      <c r="AD23">
        <f t="shared" si="53"/>
        <v>-0.32694913730061265</v>
      </c>
      <c r="AE23">
        <f t="shared" si="54"/>
        <v>-0.18463666931119888</v>
      </c>
      <c r="AF23">
        <f t="shared" si="53"/>
        <v>0.36572356090098923</v>
      </c>
      <c r="AG23">
        <f t="shared" si="54"/>
        <v>-8.5045370466876546E-2</v>
      </c>
      <c r="AH23">
        <f t="shared" si="53"/>
        <v>-0.21193804751219908</v>
      </c>
      <c r="AI23">
        <f t="shared" si="54"/>
        <v>0.30994951532897208</v>
      </c>
      <c r="AJ23">
        <f t="shared" si="53"/>
        <v>-5.3436604334107539E-2</v>
      </c>
      <c r="AK23">
        <f t="shared" si="54"/>
        <v>-0.37165974674853863</v>
      </c>
      <c r="AL23">
        <f t="shared" si="53"/>
        <v>0.29067593687492221</v>
      </c>
      <c r="AM23">
        <f t="shared" si="54"/>
        <v>0.23768453411577725</v>
      </c>
      <c r="AN23">
        <f t="shared" si="53"/>
        <v>-0.37486923663893268</v>
      </c>
      <c r="AO23">
        <f t="shared" si="54"/>
        <v>2.1435798508377086E-2</v>
      </c>
      <c r="AP23">
        <f t="shared" si="53"/>
        <v>0.26168723903753049</v>
      </c>
      <c r="AQ23">
        <f t="shared" si="54"/>
        <v>-0.26926980328447936</v>
      </c>
      <c r="AR23">
        <f t="shared" si="53"/>
        <v>-1.0722271873557052E-2</v>
      </c>
      <c r="AS23">
        <f t="shared" si="54"/>
        <v>0.37532848402674873</v>
      </c>
      <c r="AT23">
        <f t="shared" si="46"/>
        <v>-0.24588816147604137</v>
      </c>
      <c r="AU23">
        <f t="shared" si="47"/>
        <v>-0.28377006551410611</v>
      </c>
      <c r="AV23">
        <f t="shared" si="46"/>
        <v>0.37303411962594829</v>
      </c>
      <c r="AW23">
        <f t="shared" si="47"/>
        <v>4.2801677897502638E-2</v>
      </c>
      <c r="AX23">
        <f t="shared" si="46"/>
        <v>-0.30377100204384844</v>
      </c>
      <c r="AY23">
        <f t="shared" si="47"/>
        <v>0.22070255175965697</v>
      </c>
      <c r="AZ23">
        <f t="shared" si="46"/>
        <v>7.4567067773332704E-2</v>
      </c>
      <c r="BA23">
        <f t="shared" si="47"/>
        <v>-0.36800297612877408</v>
      </c>
      <c r="BB23">
        <f t="shared" si="46"/>
        <v>0.19389774932498424</v>
      </c>
      <c r="BC23">
        <f t="shared" si="47"/>
        <v>0.32154331099037564</v>
      </c>
      <c r="BD23">
        <f t="shared" si="48"/>
        <v>-0.36027196471205819</v>
      </c>
      <c r="BE23">
        <f t="shared" si="49"/>
        <v>-0.10578539350241775</v>
      </c>
      <c r="BF23">
        <f t="shared" si="48"/>
        <v>0.33695660512887482</v>
      </c>
      <c r="BG23">
        <f t="shared" si="49"/>
        <v>-0.16567040863102672</v>
      </c>
      <c r="BH23">
        <f t="shared" si="48"/>
        <v>-0.13622762064317939</v>
      </c>
      <c r="BI23">
        <f t="shared" si="49"/>
        <v>0.34989780423695982</v>
      </c>
    </row>
    <row r="24" spans="1:61">
      <c r="A24" s="1">
        <v>22</v>
      </c>
      <c r="B24" s="2">
        <v>42834</v>
      </c>
      <c r="C24">
        <f t="shared" si="42"/>
        <v>10.665087458730515</v>
      </c>
      <c r="D24">
        <f t="shared" si="43"/>
        <v>2.513274122871834</v>
      </c>
      <c r="H24">
        <f t="shared" si="50"/>
        <v>-0.31375407274938555</v>
      </c>
      <c r="I24">
        <f t="shared" si="44"/>
        <v>0.22795567718731677</v>
      </c>
      <c r="J24">
        <f t="shared" si="45"/>
        <v>0.11984339168155776</v>
      </c>
      <c r="K24">
        <f t="shared" si="44"/>
        <v>-0.36884003361757739</v>
      </c>
      <c r="L24">
        <f t="shared" si="45"/>
        <v>0.11984339168155893</v>
      </c>
      <c r="M24">
        <f t="shared" si="44"/>
        <v>0.36884003361757706</v>
      </c>
      <c r="N24">
        <f t="shared" si="53"/>
        <v>-0.31375407274938616</v>
      </c>
      <c r="O24">
        <f t="shared" si="54"/>
        <v>-0.22795567718731591</v>
      </c>
      <c r="P24">
        <f t="shared" si="53"/>
        <v>0.38782136213565505</v>
      </c>
      <c r="Q24">
        <f t="shared" si="54"/>
        <v>-8.7896462613561383E-16</v>
      </c>
      <c r="R24">
        <f t="shared" si="53"/>
        <v>-0.31375407274938477</v>
      </c>
      <c r="S24">
        <f t="shared" si="54"/>
        <v>0.22795567718731788</v>
      </c>
      <c r="T24">
        <f t="shared" si="53"/>
        <v>0.1198433916815566</v>
      </c>
      <c r="U24">
        <f t="shared" si="54"/>
        <v>-0.36884003361757778</v>
      </c>
      <c r="V24">
        <f t="shared" si="53"/>
        <v>0.11984339168155976</v>
      </c>
      <c r="W24">
        <f t="shared" si="54"/>
        <v>0.36884003361757672</v>
      </c>
      <c r="X24">
        <f t="shared" si="53"/>
        <v>-0.31375407274938671</v>
      </c>
      <c r="Y24">
        <f t="shared" si="54"/>
        <v>-0.22795567718731521</v>
      </c>
      <c r="Z24">
        <f t="shared" si="53"/>
        <v>0.38782136213565505</v>
      </c>
      <c r="AA24">
        <f t="shared" si="54"/>
        <v>-1.7579292522712277E-15</v>
      </c>
      <c r="AB24">
        <f t="shared" si="53"/>
        <v>-0.3137540727493846</v>
      </c>
      <c r="AC24">
        <f t="shared" si="54"/>
        <v>0.22795567718731805</v>
      </c>
      <c r="AD24">
        <f t="shared" si="53"/>
        <v>0.11984339168155511</v>
      </c>
      <c r="AE24">
        <f t="shared" si="54"/>
        <v>-0.36884003361757822</v>
      </c>
      <c r="AF24">
        <f t="shared" si="53"/>
        <v>0.11984339168156125</v>
      </c>
      <c r="AG24">
        <f t="shared" si="54"/>
        <v>0.36884003361757628</v>
      </c>
      <c r="AH24">
        <f t="shared" si="53"/>
        <v>-0.31375407274938766</v>
      </c>
      <c r="AI24">
        <f t="shared" si="54"/>
        <v>-0.22795567718731391</v>
      </c>
      <c r="AJ24">
        <f t="shared" si="53"/>
        <v>0.38782136213565505</v>
      </c>
      <c r="AK24">
        <f t="shared" si="54"/>
        <v>-3.3258030075020337E-15</v>
      </c>
      <c r="AL24">
        <f t="shared" si="53"/>
        <v>-0.31375407274938372</v>
      </c>
      <c r="AM24">
        <f t="shared" si="54"/>
        <v>0.22795567718731929</v>
      </c>
      <c r="AN24">
        <f t="shared" si="53"/>
        <v>0.11984339168155492</v>
      </c>
      <c r="AO24">
        <f t="shared" si="54"/>
        <v>-0.36884003361757833</v>
      </c>
      <c r="AP24">
        <f t="shared" si="53"/>
        <v>0.11984339168156143</v>
      </c>
      <c r="AQ24">
        <f t="shared" si="54"/>
        <v>0.36884003361757622</v>
      </c>
      <c r="AR24">
        <f t="shared" si="53"/>
        <v>-0.31375407274938771</v>
      </c>
      <c r="AS24">
        <f t="shared" si="54"/>
        <v>-0.2279556771873138</v>
      </c>
      <c r="AT24">
        <f t="shared" si="46"/>
        <v>0.38782136213565505</v>
      </c>
      <c r="AU24">
        <f t="shared" si="47"/>
        <v>-3.5158585045424553E-15</v>
      </c>
      <c r="AV24">
        <f t="shared" si="46"/>
        <v>-0.31375407274938361</v>
      </c>
      <c r="AW24">
        <f t="shared" si="47"/>
        <v>0.22795567718731946</v>
      </c>
      <c r="AX24">
        <f t="shared" si="46"/>
        <v>0.11984339168155475</v>
      </c>
      <c r="AY24">
        <f t="shared" si="47"/>
        <v>-0.36884003361757839</v>
      </c>
      <c r="AZ24">
        <f t="shared" si="46"/>
        <v>0.11984339168156162</v>
      </c>
      <c r="BA24">
        <f t="shared" si="47"/>
        <v>0.36884003361757611</v>
      </c>
      <c r="BB24">
        <f t="shared" si="46"/>
        <v>-0.31375407274938943</v>
      </c>
      <c r="BC24">
        <f t="shared" si="47"/>
        <v>-0.22795567718731138</v>
      </c>
      <c r="BD24">
        <f t="shared" si="48"/>
        <v>0.38782136213565505</v>
      </c>
      <c r="BE24">
        <f t="shared" si="49"/>
        <v>-6.4615505179636457E-15</v>
      </c>
      <c r="BF24">
        <f t="shared" si="48"/>
        <v>-0.31375407274938188</v>
      </c>
      <c r="BG24">
        <f t="shared" si="49"/>
        <v>0.22795567718732185</v>
      </c>
      <c r="BH24">
        <f t="shared" si="48"/>
        <v>0.11984339168155195</v>
      </c>
      <c r="BI24">
        <f t="shared" si="49"/>
        <v>-0.36884003361757928</v>
      </c>
    </row>
    <row r="25" spans="1:61">
      <c r="A25" s="1">
        <v>23</v>
      </c>
      <c r="B25" s="2">
        <v>27345</v>
      </c>
      <c r="C25">
        <f t="shared" si="42"/>
        <v>10.216288975780873</v>
      </c>
      <c r="D25">
        <f t="shared" si="43"/>
        <v>2.6275138557296449</v>
      </c>
      <c r="H25">
        <f t="shared" si="50"/>
        <v>-0.32348340175938978</v>
      </c>
      <c r="I25">
        <f t="shared" si="44"/>
        <v>0.18267947843946805</v>
      </c>
      <c r="J25">
        <f t="shared" si="45"/>
        <v>0.19184238888957625</v>
      </c>
      <c r="K25">
        <f t="shared" si="44"/>
        <v>-0.31813487844290739</v>
      </c>
      <c r="L25">
        <f t="shared" si="45"/>
        <v>-1.0608613342380621E-2</v>
      </c>
      <c r="M25">
        <f t="shared" si="44"/>
        <v>0.37134991635880937</v>
      </c>
      <c r="N25">
        <f t="shared" si="53"/>
        <v>-0.17336757198645933</v>
      </c>
      <c r="O25">
        <f t="shared" si="54"/>
        <v>-0.32856808737347382</v>
      </c>
      <c r="P25">
        <f t="shared" si="53"/>
        <v>0.31252687975636045</v>
      </c>
      <c r="Q25">
        <f t="shared" si="54"/>
        <v>0.20084882993559175</v>
      </c>
      <c r="R25">
        <f t="shared" si="53"/>
        <v>-0.37089553709821121</v>
      </c>
      <c r="S25">
        <f t="shared" si="54"/>
        <v>-2.1208574147553262E-2</v>
      </c>
      <c r="T25">
        <f t="shared" si="53"/>
        <v>0.33338478814263955</v>
      </c>
      <c r="U25">
        <f t="shared" si="54"/>
        <v>-0.16391426445501994</v>
      </c>
      <c r="V25">
        <f t="shared" si="53"/>
        <v>-0.20969145579501164</v>
      </c>
      <c r="W25">
        <f t="shared" si="54"/>
        <v>0.3066639796639174</v>
      </c>
      <c r="X25">
        <f t="shared" si="53"/>
        <v>3.179123693544373E-2</v>
      </c>
      <c r="Y25">
        <f t="shared" si="54"/>
        <v>-0.37013865011757058</v>
      </c>
      <c r="Z25">
        <f t="shared" si="53"/>
        <v>0.15432726609836564</v>
      </c>
      <c r="AA25">
        <f t="shared" si="54"/>
        <v>0.33792957549665148</v>
      </c>
      <c r="AB25">
        <f t="shared" si="53"/>
        <v>-0.30055096003098836</v>
      </c>
      <c r="AC25">
        <f t="shared" si="54"/>
        <v>-0.2183630542953503</v>
      </c>
      <c r="AD25">
        <f t="shared" si="53"/>
        <v>0.36907987274476539</v>
      </c>
      <c r="AE25">
        <f t="shared" si="54"/>
        <v>4.2347970334487527E-2</v>
      </c>
      <c r="AF25">
        <f t="shared" si="53"/>
        <v>-0.34219874264175343</v>
      </c>
      <c r="AG25">
        <f t="shared" si="54"/>
        <v>0.14461439620987207</v>
      </c>
      <c r="AH25">
        <f t="shared" si="53"/>
        <v>0.22685655275648864</v>
      </c>
      <c r="AI25">
        <f t="shared" si="54"/>
        <v>-0.29419280672406883</v>
      </c>
      <c r="AJ25">
        <f t="shared" si="53"/>
        <v>-5.2870164121503256E-2</v>
      </c>
      <c r="AK25">
        <f t="shared" si="54"/>
        <v>0.36772006853380762</v>
      </c>
      <c r="AL25">
        <f t="shared" si="53"/>
        <v>-0.13478357674553315</v>
      </c>
      <c r="AM25">
        <f t="shared" si="54"/>
        <v>-0.34618880758398851</v>
      </c>
      <c r="AN25">
        <f t="shared" si="53"/>
        <v>0.28759470554419414</v>
      </c>
      <c r="AO25">
        <f t="shared" si="54"/>
        <v>0.23516502375925533</v>
      </c>
      <c r="AP25">
        <f t="shared" si="53"/>
        <v>-0.36606034656051595</v>
      </c>
      <c r="AQ25">
        <f t="shared" si="54"/>
        <v>-6.334923624431317E-2</v>
      </c>
      <c r="AR25">
        <f t="shared" si="53"/>
        <v>0.34989651596915688</v>
      </c>
      <c r="AS25">
        <f t="shared" si="54"/>
        <v>-0.12484282586271592</v>
      </c>
      <c r="AT25">
        <f t="shared" si="46"/>
        <v>-0.24328169079552586</v>
      </c>
      <c r="AU25">
        <f t="shared" si="47"/>
        <v>0.28076203799732791</v>
      </c>
      <c r="AV25">
        <f t="shared" si="46"/>
        <v>7.3776639821382162E-2</v>
      </c>
      <c r="AW25">
        <f t="shared" si="47"/>
        <v>-0.36410206051793897</v>
      </c>
      <c r="AX25">
        <f t="shared" si="46"/>
        <v>0.11480025138042932</v>
      </c>
      <c r="AY25">
        <f t="shared" si="47"/>
        <v>0.35331884373711669</v>
      </c>
      <c r="AZ25">
        <f t="shared" si="46"/>
        <v>-0.27370037690512844</v>
      </c>
      <c r="BA25">
        <f t="shared" si="47"/>
        <v>-0.25119993379524108</v>
      </c>
      <c r="BB25">
        <f t="shared" si="46"/>
        <v>0.3618468076122609</v>
      </c>
      <c r="BC25">
        <f t="shared" si="47"/>
        <v>8.4143870112791216E-2</v>
      </c>
      <c r="BD25">
        <f t="shared" si="48"/>
        <v>-0.35645299958825288</v>
      </c>
      <c r="BE25">
        <f t="shared" si="49"/>
        <v>0.10466404416646552</v>
      </c>
      <c r="BF25">
        <f t="shared" si="48"/>
        <v>0.25891329452583617</v>
      </c>
      <c r="BG25">
        <f t="shared" si="49"/>
        <v>-0.26641548185967057</v>
      </c>
      <c r="BH25">
        <f t="shared" si="48"/>
        <v>-9.4442471456805899E-2</v>
      </c>
      <c r="BI25">
        <f t="shared" si="49"/>
        <v>0.3592964272601013</v>
      </c>
    </row>
    <row r="26" spans="1:61">
      <c r="A26" s="1">
        <v>24</v>
      </c>
      <c r="B26" s="2">
        <v>17834</v>
      </c>
      <c r="C26">
        <f t="shared" si="42"/>
        <v>9.7888620266948241</v>
      </c>
      <c r="D26">
        <f t="shared" si="43"/>
        <v>2.7417535885874558</v>
      </c>
      <c r="H26">
        <f t="shared" si="50"/>
        <v>-0.32788190363150432</v>
      </c>
      <c r="I26">
        <f t="shared" si="44"/>
        <v>0.13856404952210077</v>
      </c>
      <c r="J26">
        <f t="shared" si="45"/>
        <v>0.24808093457406602</v>
      </c>
      <c r="K26">
        <f t="shared" si="44"/>
        <v>-0.25526924697236891</v>
      </c>
      <c r="L26">
        <f t="shared" si="45"/>
        <v>-0.12914452981451541</v>
      </c>
      <c r="M26">
        <f t="shared" si="44"/>
        <v>0.33170503307602983</v>
      </c>
      <c r="N26">
        <f t="shared" si="53"/>
        <v>-1.0164772408974095E-2</v>
      </c>
      <c r="O26">
        <f t="shared" si="54"/>
        <v>-0.35581345667478076</v>
      </c>
      <c r="P26">
        <f t="shared" si="53"/>
        <v>0.14787055440338592</v>
      </c>
      <c r="Q26">
        <f t="shared" si="54"/>
        <v>0.32379134900336298</v>
      </c>
      <c r="R26">
        <f t="shared" si="53"/>
        <v>-0.26224935811135547</v>
      </c>
      <c r="S26">
        <f t="shared" si="54"/>
        <v>-0.24069028380714572</v>
      </c>
      <c r="T26">
        <f t="shared" si="53"/>
        <v>0.33525761913772734</v>
      </c>
      <c r="U26">
        <f t="shared" si="54"/>
        <v>0.11961967797601233</v>
      </c>
      <c r="V26">
        <f t="shared" si="53"/>
        <v>-0.35537808763810497</v>
      </c>
      <c r="W26">
        <f t="shared" si="54"/>
        <v>2.0321254283771777E-2</v>
      </c>
      <c r="X26">
        <f t="shared" si="53"/>
        <v>0.31943670550663422</v>
      </c>
      <c r="Y26">
        <f t="shared" si="54"/>
        <v>-0.15705645393949966</v>
      </c>
      <c r="Z26">
        <f t="shared" si="53"/>
        <v>-0.23310332259238128</v>
      </c>
      <c r="AA26">
        <f t="shared" si="54"/>
        <v>0.26901557491226141</v>
      </c>
      <c r="AB26">
        <f t="shared" si="53"/>
        <v>0.10999726261237379</v>
      </c>
      <c r="AC26">
        <f t="shared" si="54"/>
        <v>-0.33853676427644724</v>
      </c>
      <c r="AD26">
        <f t="shared" si="53"/>
        <v>3.0461161852094611E-2</v>
      </c>
      <c r="AE26">
        <f t="shared" si="54"/>
        <v>0.35465286713574273</v>
      </c>
      <c r="AF26">
        <f t="shared" si="53"/>
        <v>-0.16611425597902202</v>
      </c>
      <c r="AG26">
        <f t="shared" si="54"/>
        <v>-0.314821524851015</v>
      </c>
      <c r="AH26">
        <f t="shared" si="53"/>
        <v>0.27556237875161138</v>
      </c>
      <c r="AI26">
        <f t="shared" si="54"/>
        <v>0.22532623896416459</v>
      </c>
      <c r="AJ26">
        <f t="shared" si="53"/>
        <v>-0.34153979397438039</v>
      </c>
      <c r="AK26">
        <f t="shared" si="54"/>
        <v>-0.10028513190358831</v>
      </c>
      <c r="AL26">
        <f t="shared" si="53"/>
        <v>0.35363838666793801</v>
      </c>
      <c r="AM26">
        <f t="shared" si="54"/>
        <v>-4.0576224859888751E-2</v>
      </c>
      <c r="AN26">
        <f t="shared" si="53"/>
        <v>-0.30994957124404593</v>
      </c>
      <c r="AO26">
        <f t="shared" si="54"/>
        <v>0.17503657284868901</v>
      </c>
      <c r="AP26">
        <f t="shared" si="53"/>
        <v>0.2173653760234564</v>
      </c>
      <c r="AQ26">
        <f t="shared" si="54"/>
        <v>-0.28188442996228741</v>
      </c>
      <c r="AR26">
        <f t="shared" si="53"/>
        <v>-9.0491207202770263E-2</v>
      </c>
      <c r="AS26">
        <f t="shared" si="54"/>
        <v>0.34426425891743045</v>
      </c>
      <c r="AT26">
        <f t="shared" si="46"/>
        <v>-5.0658193316677147E-2</v>
      </c>
      <c r="AU26">
        <f t="shared" si="47"/>
        <v>-0.35233547365951173</v>
      </c>
      <c r="AV26">
        <f t="shared" si="46"/>
        <v>0.1838161273788822</v>
      </c>
      <c r="AW26">
        <f t="shared" si="47"/>
        <v>0.3048248183209708</v>
      </c>
      <c r="AX26">
        <f t="shared" si="46"/>
        <v>-0.2879765721886442</v>
      </c>
      <c r="AY26">
        <f t="shared" si="47"/>
        <v>-0.20922722676425484</v>
      </c>
      <c r="AZ26">
        <f t="shared" si="46"/>
        <v>0.34670793699291064</v>
      </c>
      <c r="BA26">
        <f t="shared" si="47"/>
        <v>8.0623476575388459E-2</v>
      </c>
      <c r="BB26">
        <f t="shared" si="46"/>
        <v>-0.35074519078500238</v>
      </c>
      <c r="BC26">
        <f t="shared" si="47"/>
        <v>6.0698844224372023E-2</v>
      </c>
      <c r="BD26">
        <f t="shared" si="48"/>
        <v>0.29945144590378264</v>
      </c>
      <c r="BE26">
        <f t="shared" si="49"/>
        <v>-0.19244575883899406</v>
      </c>
      <c r="BF26">
        <f t="shared" si="48"/>
        <v>-0.20091842877783023</v>
      </c>
      <c r="BG26">
        <f t="shared" si="49"/>
        <v>0.2938338365920955</v>
      </c>
      <c r="BH26">
        <f t="shared" si="48"/>
        <v>7.0689988284074204E-2</v>
      </c>
      <c r="BI26">
        <f t="shared" si="49"/>
        <v>-0.34886883510193306</v>
      </c>
    </row>
    <row r="27" spans="1:61">
      <c r="A27" s="1">
        <v>25</v>
      </c>
      <c r="B27" s="2">
        <v>15386</v>
      </c>
      <c r="C27">
        <f t="shared" si="42"/>
        <v>9.64121328401888</v>
      </c>
      <c r="D27">
        <f t="shared" si="43"/>
        <v>2.8559933214452666</v>
      </c>
      <c r="H27">
        <f t="shared" si="50"/>
        <v>-0.33638823284126795</v>
      </c>
      <c r="I27">
        <f t="shared" si="44"/>
        <v>9.8772497074916213E-2</v>
      </c>
      <c r="J27">
        <f t="shared" si="45"/>
        <v>0.29493471767126533</v>
      </c>
      <c r="K27">
        <f t="shared" si="44"/>
        <v>-0.18954303385948118</v>
      </c>
      <c r="L27">
        <f t="shared" si="45"/>
        <v>-0.22958734571984135</v>
      </c>
      <c r="M27">
        <f t="shared" si="44"/>
        <v>0.26495792129657775</v>
      </c>
      <c r="N27">
        <f t="shared" si="53"/>
        <v>0.14564017242671506</v>
      </c>
      <c r="O27">
        <f t="shared" si="54"/>
        <v>-0.31890749371565752</v>
      </c>
      <c r="P27">
        <f t="shared" si="53"/>
        <v>-4.9894098519032641E-2</v>
      </c>
      <c r="Q27">
        <f t="shared" si="54"/>
        <v>0.34702107760978795</v>
      </c>
      <c r="R27">
        <f t="shared" si="53"/>
        <v>-4.9894098519032447E-2</v>
      </c>
      <c r="S27">
        <f t="shared" si="54"/>
        <v>-0.34702107760978801</v>
      </c>
      <c r="T27">
        <f t="shared" si="53"/>
        <v>0.14564017242671545</v>
      </c>
      <c r="U27">
        <f t="shared" si="54"/>
        <v>0.3189074937156573</v>
      </c>
      <c r="V27">
        <f t="shared" si="53"/>
        <v>-0.22958734571984118</v>
      </c>
      <c r="W27">
        <f t="shared" si="54"/>
        <v>-0.26495792129657786</v>
      </c>
      <c r="X27">
        <f t="shared" si="53"/>
        <v>0.29493471767126489</v>
      </c>
      <c r="Y27">
        <f t="shared" si="54"/>
        <v>0.18954303385948187</v>
      </c>
      <c r="Z27">
        <f t="shared" si="53"/>
        <v>-0.3363882328412679</v>
      </c>
      <c r="AA27">
        <f t="shared" si="54"/>
        <v>-9.8772497074916379E-2</v>
      </c>
      <c r="AB27">
        <f t="shared" si="53"/>
        <v>0.35058957396432289</v>
      </c>
      <c r="AC27">
        <f t="shared" si="54"/>
        <v>-4.2952427484946152E-16</v>
      </c>
      <c r="AD27">
        <f t="shared" si="53"/>
        <v>-0.33638823284126801</v>
      </c>
      <c r="AE27">
        <f t="shared" si="54"/>
        <v>9.8772497074916019E-2</v>
      </c>
      <c r="AF27">
        <f t="shared" si="53"/>
        <v>0.29493471767126578</v>
      </c>
      <c r="AG27">
        <f t="shared" si="54"/>
        <v>-0.18954303385948051</v>
      </c>
      <c r="AH27">
        <f t="shared" si="53"/>
        <v>-0.22958734571984052</v>
      </c>
      <c r="AI27">
        <f t="shared" si="54"/>
        <v>0.26495792129657841</v>
      </c>
      <c r="AJ27">
        <f t="shared" si="53"/>
        <v>0.14564017242671468</v>
      </c>
      <c r="AK27">
        <f t="shared" si="54"/>
        <v>-0.31890749371565769</v>
      </c>
      <c r="AL27">
        <f t="shared" si="53"/>
        <v>-4.9894098519032822E-2</v>
      </c>
      <c r="AM27">
        <f t="shared" si="54"/>
        <v>0.34702107760978795</v>
      </c>
      <c r="AN27">
        <f t="shared" si="53"/>
        <v>-4.9894098519031635E-2</v>
      </c>
      <c r="AO27">
        <f t="shared" si="54"/>
        <v>-0.34702107760978812</v>
      </c>
      <c r="AP27">
        <f t="shared" si="53"/>
        <v>0.14564017242671359</v>
      </c>
      <c r="AQ27">
        <f t="shared" si="54"/>
        <v>0.31890749371565819</v>
      </c>
      <c r="AR27">
        <f t="shared" si="53"/>
        <v>-0.22958734571984149</v>
      </c>
      <c r="AS27">
        <f t="shared" si="54"/>
        <v>-0.26495792129657758</v>
      </c>
      <c r="AT27">
        <f t="shared" si="46"/>
        <v>0.29493471767126517</v>
      </c>
      <c r="AU27">
        <f t="shared" si="47"/>
        <v>0.18954303385948151</v>
      </c>
      <c r="AV27">
        <f t="shared" si="46"/>
        <v>-0.33638823284126768</v>
      </c>
      <c r="AW27">
        <f t="shared" si="47"/>
        <v>-9.8772497074917157E-2</v>
      </c>
      <c r="AX27">
        <f t="shared" si="46"/>
        <v>0.35058957396432289</v>
      </c>
      <c r="AY27">
        <f t="shared" si="47"/>
        <v>-8.5904854969892304E-16</v>
      </c>
      <c r="AZ27">
        <f t="shared" si="46"/>
        <v>-0.3363882328412679</v>
      </c>
      <c r="BA27">
        <f t="shared" si="47"/>
        <v>9.8772497074916421E-2</v>
      </c>
      <c r="BB27">
        <f t="shared" si="46"/>
        <v>0.29493471767126556</v>
      </c>
      <c r="BC27">
        <f t="shared" si="47"/>
        <v>-0.18954303385948085</v>
      </c>
      <c r="BD27">
        <f t="shared" si="48"/>
        <v>-0.22958734571984207</v>
      </c>
      <c r="BE27">
        <f t="shared" si="49"/>
        <v>0.26495792129657708</v>
      </c>
      <c r="BF27">
        <f t="shared" si="48"/>
        <v>0.14564017242671656</v>
      </c>
      <c r="BG27">
        <f t="shared" si="49"/>
        <v>-0.3189074937156568</v>
      </c>
      <c r="BH27">
        <f t="shared" si="48"/>
        <v>-4.9894098519034868E-2</v>
      </c>
      <c r="BI27">
        <f t="shared" si="49"/>
        <v>0.34702107760978768</v>
      </c>
    </row>
    <row r="28" spans="1:61">
      <c r="A28" s="1">
        <v>26</v>
      </c>
      <c r="B28" s="2">
        <v>9443</v>
      </c>
      <c r="C28">
        <f t="shared" si="42"/>
        <v>9.1530290052630701</v>
      </c>
      <c r="D28">
        <f t="shared" si="43"/>
        <v>2.9702330543030775</v>
      </c>
      <c r="H28">
        <f t="shared" si="50"/>
        <v>-0.32796262690767852</v>
      </c>
      <c r="I28">
        <f t="shared" si="44"/>
        <v>5.6756166371180361E-2</v>
      </c>
      <c r="J28">
        <f t="shared" si="45"/>
        <v>0.31348104650313124</v>
      </c>
      <c r="K28">
        <f t="shared" si="44"/>
        <v>-0.11184981248370481</v>
      </c>
      <c r="L28">
        <f t="shared" si="45"/>
        <v>-0.28981687636714021</v>
      </c>
      <c r="M28">
        <f t="shared" si="44"/>
        <v>0.16366711716814722</v>
      </c>
      <c r="N28">
        <f t="shared" si="53"/>
        <v>0.25766329514038533</v>
      </c>
      <c r="O28">
        <f t="shared" si="54"/>
        <v>-0.21069023092383027</v>
      </c>
      <c r="P28">
        <f t="shared" si="53"/>
        <v>-0.21796215608032973</v>
      </c>
      <c r="Q28">
        <f t="shared" si="54"/>
        <v>0.25154173726471762</v>
      </c>
      <c r="R28">
        <f t="shared" si="53"/>
        <v>0.17187639798638712</v>
      </c>
      <c r="S28">
        <f t="shared" si="54"/>
        <v>-0.2850250004553343</v>
      </c>
      <c r="T28">
        <f t="shared" si="53"/>
        <v>-0.12075598001481384</v>
      </c>
      <c r="U28">
        <f t="shared" si="54"/>
        <v>0.31015921775758998</v>
      </c>
      <c r="V28">
        <f t="shared" si="53"/>
        <v>6.6098338231900144E-2</v>
      </c>
      <c r="W28">
        <f t="shared" si="54"/>
        <v>-0.3262081494265886</v>
      </c>
      <c r="X28">
        <f t="shared" si="53"/>
        <v>-9.5045222251081991E-3</v>
      </c>
      <c r="Y28">
        <f t="shared" si="54"/>
        <v>0.33270168488694296</v>
      </c>
      <c r="Z28">
        <f t="shared" si="53"/>
        <v>-4.7367703367078955E-2</v>
      </c>
      <c r="AA28">
        <f t="shared" si="54"/>
        <v>-0.32944961336609074</v>
      </c>
      <c r="AB28">
        <f t="shared" si="53"/>
        <v>0.10285241864120211</v>
      </c>
      <c r="AC28">
        <f t="shared" si="54"/>
        <v>0.31654719561069117</v>
      </c>
      <c r="AD28">
        <f t="shared" si="53"/>
        <v>-0.15532434710156573</v>
      </c>
      <c r="AE28">
        <f t="shared" si="54"/>
        <v>-0.29437237347755746</v>
      </c>
      <c r="AF28">
        <f t="shared" si="53"/>
        <v>0.20324646379292835</v>
      </c>
      <c r="AG28">
        <f t="shared" si="54"/>
        <v>0.26357469913671172</v>
      </c>
      <c r="AH28">
        <f t="shared" si="53"/>
        <v>-0.24521501834011686</v>
      </c>
      <c r="AI28">
        <f t="shared" si="54"/>
        <v>-0.22505630817596381</v>
      </c>
      <c r="AJ28">
        <f t="shared" si="53"/>
        <v>0.28000065406486624</v>
      </c>
      <c r="AK28">
        <f t="shared" si="54"/>
        <v>0.17994549394909937</v>
      </c>
      <c r="AL28">
        <f t="shared" si="53"/>
        <v>-0.3065844187052395</v>
      </c>
      <c r="AM28">
        <f t="shared" si="54"/>
        <v>-0.12956365723654387</v>
      </c>
      <c r="AN28">
        <f t="shared" si="53"/>
        <v>0.32418761189981993</v>
      </c>
      <c r="AO28">
        <f t="shared" si="54"/>
        <v>7.5386599339869173E-2</v>
      </c>
      <c r="AP28">
        <f t="shared" si="53"/>
        <v>-0.33229459513434251</v>
      </c>
      <c r="AQ28">
        <f t="shared" si="54"/>
        <v>-1.900129242556033E-2</v>
      </c>
      <c r="AR28">
        <f t="shared" si="53"/>
        <v>0.33066789599434082</v>
      </c>
      <c r="AS28">
        <f t="shared" si="54"/>
        <v>-3.7940606584687675E-2</v>
      </c>
      <c r="AT28">
        <f t="shared" si="46"/>
        <v>-0.31935516428507726</v>
      </c>
      <c r="AU28">
        <f t="shared" si="47"/>
        <v>9.3771136890780843E-2</v>
      </c>
      <c r="AV28">
        <f t="shared" si="46"/>
        <v>0.29868777625780052</v>
      </c>
      <c r="AW28">
        <f t="shared" si="47"/>
        <v>-0.14685489226957457</v>
      </c>
      <c r="AX28">
        <f t="shared" si="46"/>
        <v>-0.26927112782780749</v>
      </c>
      <c r="AY28">
        <f t="shared" si="47"/>
        <v>0.19563692593086512</v>
      </c>
      <c r="AZ28">
        <f t="shared" si="46"/>
        <v>0.23196690111852444</v>
      </c>
      <c r="BA28">
        <f t="shared" si="47"/>
        <v>-0.23868829852928894</v>
      </c>
      <c r="BB28">
        <f t="shared" si="46"/>
        <v>-0.18786782378587663</v>
      </c>
      <c r="BC28">
        <f t="shared" si="47"/>
        <v>0.27474793512471946</v>
      </c>
      <c r="BD28">
        <f t="shared" si="48"/>
        <v>0.13826566048101971</v>
      </c>
      <c r="BE28">
        <f t="shared" si="49"/>
        <v>-0.30275956500346218</v>
      </c>
      <c r="BF28">
        <f t="shared" si="48"/>
        <v>-8.4613374056098575E-2</v>
      </c>
      <c r="BG28">
        <f t="shared" si="49"/>
        <v>0.32190266230676162</v>
      </c>
      <c r="BH28">
        <f t="shared" si="48"/>
        <v>2.8482564899365181E-2</v>
      </c>
      <c r="BI28">
        <f t="shared" si="49"/>
        <v>-0.33161648114364234</v>
      </c>
    </row>
    <row r="29" spans="1:61">
      <c r="A29" s="1">
        <v>27</v>
      </c>
      <c r="B29" s="2">
        <v>7599</v>
      </c>
      <c r="C29">
        <f t="shared" si="42"/>
        <v>8.9357719386697845</v>
      </c>
      <c r="D29">
        <f t="shared" si="43"/>
        <v>3.0844727871608875</v>
      </c>
      <c r="H29">
        <f t="shared" si="50"/>
        <v>-0.32440722266538402</v>
      </c>
      <c r="I29">
        <f t="shared" si="44"/>
        <v>1.8550276149801922E-2</v>
      </c>
      <c r="J29">
        <f t="shared" si="45"/>
        <v>0.3228191349930376</v>
      </c>
      <c r="K29">
        <f t="shared" si="44"/>
        <v>-3.7040045154520217E-2</v>
      </c>
      <c r="L29">
        <f t="shared" si="45"/>
        <v>-0.3201780784010344</v>
      </c>
      <c r="M29">
        <f t="shared" si="44"/>
        <v>5.540899723080199E-2</v>
      </c>
      <c r="N29">
        <f t="shared" si="53"/>
        <v>0.31649266746702781</v>
      </c>
      <c r="O29">
        <f t="shared" si="54"/>
        <v>-7.3597216675002811E-2</v>
      </c>
      <c r="P29">
        <f t="shared" si="53"/>
        <v>-0.31177492323546357</v>
      </c>
      <c r="Q29">
        <f t="shared" si="54"/>
        <v>9.1545377295758415E-2</v>
      </c>
      <c r="R29">
        <f t="shared" si="53"/>
        <v>0.30604023400743113</v>
      </c>
      <c r="S29">
        <f t="shared" si="54"/>
        <v>-0.10919493592368985</v>
      </c>
      <c r="T29">
        <f t="shared" si="53"/>
        <v>-0.29930730514722426</v>
      </c>
      <c r="U29">
        <f t="shared" si="54"/>
        <v>0.12648832336705365</v>
      </c>
      <c r="V29">
        <f t="shared" si="53"/>
        <v>0.29159809806933035</v>
      </c>
      <c r="W29">
        <f t="shared" si="54"/>
        <v>-0.14336913219047945</v>
      </c>
      <c r="X29">
        <f t="shared" si="53"/>
        <v>-0.2829377586048612</v>
      </c>
      <c r="Y29">
        <f t="shared" si="54"/>
        <v>0.15978230070429966</v>
      </c>
      <c r="Z29">
        <f t="shared" si="53"/>
        <v>0.27335453498107881</v>
      </c>
      <c r="AA29">
        <f t="shared" si="54"/>
        <v>-0.17567429256433656</v>
      </c>
      <c r="AB29">
        <f t="shared" si="53"/>
        <v>-0.2628796856815484</v>
      </c>
      <c r="AC29">
        <f t="shared" si="54"/>
        <v>0.19099327139633024</v>
      </c>
      <c r="AD29">
        <f t="shared" si="53"/>
        <v>0.25154737748746592</v>
      </c>
      <c r="AE29">
        <f t="shared" si="54"/>
        <v>-0.2056892698754125</v>
      </c>
      <c r="AF29">
        <f t="shared" si="53"/>
        <v>-0.23939457403271314</v>
      </c>
      <c r="AG29">
        <f t="shared" si="54"/>
        <v>0.21971435270914316</v>
      </c>
      <c r="AH29">
        <f t="shared" si="53"/>
        <v>0.2264609152361701</v>
      </c>
      <c r="AI29">
        <f t="shared" si="54"/>
        <v>-0.23302277299246554</v>
      </c>
      <c r="AJ29">
        <f t="shared" si="53"/>
        <v>-0.21278858800454212</v>
      </c>
      <c r="AK29">
        <f t="shared" si="54"/>
        <v>0.24557112142459905</v>
      </c>
      <c r="AL29">
        <f t="shared" si="53"/>
        <v>0.19842218862743644</v>
      </c>
      <c r="AM29">
        <f t="shared" si="54"/>
        <v>-0.25731846790115936</v>
      </c>
      <c r="AN29">
        <f t="shared" si="53"/>
        <v>-0.18340857731353066</v>
      </c>
      <c r="AO29">
        <f t="shared" si="54"/>
        <v>0.26822649501965423</v>
      </c>
      <c r="AP29">
        <f t="shared" si="53"/>
        <v>0.16779672534231566</v>
      </c>
      <c r="AQ29">
        <f t="shared" si="54"/>
        <v>-0.27825962306288249</v>
      </c>
      <c r="AR29">
        <f t="shared" si="53"/>
        <v>-0.15163755532996445</v>
      </c>
      <c r="AS29">
        <f t="shared" si="54"/>
        <v>0.28738512605257416</v>
      </c>
      <c r="AT29">
        <f t="shared" si="46"/>
        <v>0.13498377513033921</v>
      </c>
      <c r="AU29">
        <f t="shared" si="47"/>
        <v>-0.29557323849473244</v>
      </c>
      <c r="AV29">
        <f t="shared" si="46"/>
        <v>-0.11788970591292311</v>
      </c>
      <c r="AW29">
        <f t="shared" si="47"/>
        <v>0.30279725246848999</v>
      </c>
      <c r="AX29">
        <f t="shared" si="46"/>
        <v>0.10041110497845784</v>
      </c>
      <c r="AY29">
        <f t="shared" si="47"/>
        <v>-0.30903360474179353</v>
      </c>
      <c r="AZ29">
        <f t="shared" si="46"/>
        <v>-8.2604983890233408E-2</v>
      </c>
      <c r="BA29">
        <f t="shared" si="47"/>
        <v>0.31426195362976445</v>
      </c>
      <c r="BB29">
        <f t="shared" si="46"/>
        <v>6.4529422514192608E-2</v>
      </c>
      <c r="BC29">
        <f t="shared" si="47"/>
        <v>-0.3184652453450561</v>
      </c>
      <c r="BD29">
        <f t="shared" si="48"/>
        <v>-4.6243379574497569E-2</v>
      </c>
      <c r="BE29">
        <f t="shared" si="49"/>
        <v>0.32162976962375683</v>
      </c>
      <c r="BF29">
        <f t="shared" si="48"/>
        <v>2.7806500342422023E-2</v>
      </c>
      <c r="BG29">
        <f t="shared" si="49"/>
        <v>-0.32374520444542315</v>
      </c>
      <c r="BH29">
        <f t="shared" si="48"/>
        <v>-9.2789220858691401E-3</v>
      </c>
      <c r="BI29">
        <f t="shared" si="49"/>
        <v>0.32480464970136486</v>
      </c>
    </row>
    <row r="30" spans="1:61">
      <c r="A30" s="1">
        <v>28</v>
      </c>
      <c r="B30" s="2">
        <v>8061</v>
      </c>
      <c r="C30">
        <f t="shared" si="42"/>
        <v>8.9947928972836007</v>
      </c>
      <c r="D30">
        <f t="shared" si="43"/>
        <v>3.1987125200186983</v>
      </c>
      <c r="H30">
        <f t="shared" si="50"/>
        <v>-0.32654993908589808</v>
      </c>
      <c r="I30">
        <f t="shared" si="44"/>
        <v>-1.8672801107737821E-2</v>
      </c>
      <c r="J30">
        <f t="shared" si="45"/>
        <v>0.32495136206160452</v>
      </c>
      <c r="K30">
        <f t="shared" si="44"/>
        <v>3.7284695419446325E-2</v>
      </c>
      <c r="L30">
        <f t="shared" si="45"/>
        <v>-0.32229286123614476</v>
      </c>
      <c r="M30">
        <f t="shared" si="44"/>
        <v>-5.5774974804405082E-2</v>
      </c>
      <c r="N30">
        <f t="shared" si="53"/>
        <v>0.31858310808663587</v>
      </c>
      <c r="O30">
        <f t="shared" si="54"/>
        <v>7.4083327814507355E-2</v>
      </c>
      <c r="P30">
        <f t="shared" si="53"/>
        <v>-0.31383420305677101</v>
      </c>
      <c r="Q30">
        <f t="shared" si="54"/>
        <v>-9.2150036407666669E-2</v>
      </c>
      <c r="R30">
        <f t="shared" si="53"/>
        <v>0.30806163608768711</v>
      </c>
      <c r="S30">
        <f t="shared" si="54"/>
        <v>0.10991617073565799</v>
      </c>
      <c r="T30">
        <f t="shared" si="53"/>
        <v>-0.30128423609299582</v>
      </c>
      <c r="U30">
        <f t="shared" si="54"/>
        <v>-0.12732378136103589</v>
      </c>
      <c r="V30">
        <f t="shared" si="53"/>
        <v>0.29352410954278185</v>
      </c>
      <c r="W30">
        <f t="shared" si="54"/>
        <v>0.14431608827615122</v>
      </c>
      <c r="X30">
        <f t="shared" si="53"/>
        <v>-0.28480656835689228</v>
      </c>
      <c r="Y30">
        <f t="shared" si="54"/>
        <v>-0.16083766610773653</v>
      </c>
      <c r="Z30">
        <f t="shared" si="53"/>
        <v>0.2751600473427146</v>
      </c>
      <c r="AA30">
        <f t="shared" si="54"/>
        <v>0.1768346249029526</v>
      </c>
      <c r="AB30">
        <f t="shared" si="53"/>
        <v>-0.26461601144674585</v>
      </c>
      <c r="AC30">
        <f t="shared" si="54"/>
        <v>-0.19225478590721368</v>
      </c>
      <c r="AD30">
        <f t="shared" si="53"/>
        <v>0.25320885312247754</v>
      </c>
      <c r="AE30">
        <f t="shared" si="54"/>
        <v>0.20704785176043844</v>
      </c>
      <c r="AF30">
        <f t="shared" si="53"/>
        <v>-0.24097578014935747</v>
      </c>
      <c r="AG30">
        <f t="shared" si="54"/>
        <v>-0.22116557055658873</v>
      </c>
      <c r="AH30">
        <f t="shared" si="53"/>
        <v>0.22795669426875501</v>
      </c>
      <c r="AI30">
        <f t="shared" si="54"/>
        <v>0.23456189323134788</v>
      </c>
      <c r="AJ30">
        <f t="shared" si="53"/>
        <v>-0.21419406103276289</v>
      </c>
      <c r="AK30">
        <f t="shared" si="54"/>
        <v>-0.24719312376461031</v>
      </c>
      <c r="AL30">
        <f t="shared" si="53"/>
        <v>0.19973277129040573</v>
      </c>
      <c r="AM30">
        <f t="shared" si="54"/>
        <v>0.25901806170780323</v>
      </c>
      <c r="AN30">
        <f t="shared" si="53"/>
        <v>-0.18461999476300953</v>
      </c>
      <c r="AO30">
        <f t="shared" si="54"/>
        <v>-0.26999813657119787</v>
      </c>
      <c r="AP30">
        <f t="shared" si="53"/>
        <v>0.1689050261863797</v>
      </c>
      <c r="AQ30">
        <f t="shared" si="54"/>
        <v>0.28009753363282452</v>
      </c>
      <c r="AR30">
        <f t="shared" si="53"/>
        <v>-0.15263912452162526</v>
      </c>
      <c r="AS30">
        <f t="shared" si="54"/>
        <v>-0.28928331075864827</v>
      </c>
      <c r="AT30">
        <f t="shared" si="46"/>
        <v>0.13587534575906793</v>
      </c>
      <c r="AU30">
        <f t="shared" si="47"/>
        <v>0.29752550585297161</v>
      </c>
      <c r="AV30">
        <f t="shared" si="46"/>
        <v>-0.11866836986064586</v>
      </c>
      <c r="AW30">
        <f t="shared" si="47"/>
        <v>-0.30479723458855373</v>
      </c>
      <c r="AX30">
        <f t="shared" si="46"/>
        <v>0.10107432240522643</v>
      </c>
      <c r="AY30">
        <f t="shared" si="47"/>
        <v>0.31107477809770634</v>
      </c>
      <c r="AZ30">
        <f t="shared" si="46"/>
        <v>-8.3150591518648578E-2</v>
      </c>
      <c r="BA30">
        <f t="shared" si="47"/>
        <v>-0.31633766033830329</v>
      </c>
      <c r="BB30">
        <f t="shared" si="46"/>
        <v>6.495564068558074E-2</v>
      </c>
      <c r="BC30">
        <f t="shared" si="47"/>
        <v>0.32056871488237687</v>
      </c>
      <c r="BD30">
        <f t="shared" si="48"/>
        <v>-4.654881805376946E-2</v>
      </c>
      <c r="BE30">
        <f t="shared" si="49"/>
        <v>-0.32375414090944066</v>
      </c>
      <c r="BF30">
        <f t="shared" si="48"/>
        <v>2.7990162852744329E-2</v>
      </c>
      <c r="BG30">
        <f t="shared" si="49"/>
        <v>0.32588354822189131</v>
      </c>
      <c r="BH30">
        <f t="shared" si="48"/>
        <v>-9.3402095583171047E-3</v>
      </c>
      <c r="BI30">
        <f t="shared" si="49"/>
        <v>-0.32694999113567752</v>
      </c>
    </row>
    <row r="31" spans="1:61">
      <c r="A31" s="1">
        <v>29</v>
      </c>
      <c r="B31" s="2">
        <v>27187</v>
      </c>
      <c r="C31">
        <f t="shared" si="42"/>
        <v>10.210494196857329</v>
      </c>
      <c r="D31">
        <f t="shared" si="43"/>
        <v>3.3129522528765092</v>
      </c>
      <c r="H31">
        <f t="shared" si="50"/>
        <v>-0.36585271355541737</v>
      </c>
      <c r="I31">
        <f t="shared" si="44"/>
        <v>-6.3313303938574261E-2</v>
      </c>
      <c r="J31">
        <f t="shared" si="45"/>
        <v>0.3496980512466964</v>
      </c>
      <c r="K31">
        <f t="shared" si="44"/>
        <v>0.12477201379213</v>
      </c>
      <c r="L31">
        <f t="shared" si="45"/>
        <v>-0.32329991881337361</v>
      </c>
      <c r="M31">
        <f t="shared" si="44"/>
        <v>-0.18257586085445854</v>
      </c>
      <c r="N31">
        <f t="shared" si="53"/>
        <v>0.28743157901731414</v>
      </c>
      <c r="O31">
        <f t="shared" si="54"/>
        <v>0.23503163586014136</v>
      </c>
      <c r="P31">
        <f t="shared" si="53"/>
        <v>-0.24314369904356578</v>
      </c>
      <c r="Q31">
        <f t="shared" si="54"/>
        <v>-0.28060278702623836</v>
      </c>
      <c r="R31">
        <f t="shared" si="53"/>
        <v>0.19173357401223615</v>
      </c>
      <c r="S31">
        <f t="shared" si="54"/>
        <v>0.31795442923157236</v>
      </c>
      <c r="T31">
        <f t="shared" si="53"/>
        <v>-0.13470712618392203</v>
      </c>
      <c r="U31">
        <f t="shared" si="54"/>
        <v>-0.34599244590994971</v>
      </c>
      <c r="V31">
        <f t="shared" si="53"/>
        <v>7.3734792990457335E-2</v>
      </c>
      <c r="W31">
        <f t="shared" si="54"/>
        <v>0.36389553827181637</v>
      </c>
      <c r="X31">
        <f t="shared" si="53"/>
        <v>-1.0602596033243422E-2</v>
      </c>
      <c r="Y31">
        <f t="shared" si="54"/>
        <v>-0.37113928305804067</v>
      </c>
      <c r="Z31">
        <f t="shared" si="53"/>
        <v>-5.2840175647857465E-2</v>
      </c>
      <c r="AA31">
        <f t="shared" si="54"/>
        <v>0.36751149411818967</v>
      </c>
      <c r="AB31">
        <f t="shared" si="53"/>
        <v>0.11473513555620657</v>
      </c>
      <c r="AC31">
        <f t="shared" si="54"/>
        <v>-0.35311843783690972</v>
      </c>
      <c r="AD31">
        <f t="shared" si="53"/>
        <v>-0.17326923620576901</v>
      </c>
      <c r="AE31">
        <f t="shared" si="54"/>
        <v>0.32838172034409896</v>
      </c>
      <c r="AF31">
        <f t="shared" si="53"/>
        <v>0.22672787750330456</v>
      </c>
      <c r="AG31">
        <f t="shared" si="54"/>
        <v>-0.29402593768973362</v>
      </c>
      <c r="AH31">
        <f t="shared" si="53"/>
        <v>-0.27354513137720293</v>
      </c>
      <c r="AI31">
        <f t="shared" si="54"/>
        <v>0.25105745073849006</v>
      </c>
      <c r="AJ31">
        <f t="shared" si="53"/>
        <v>0.31234961145667317</v>
      </c>
      <c r="AK31">
        <f t="shared" si="54"/>
        <v>-0.2007349065168933</v>
      </c>
      <c r="AL31">
        <f t="shared" si="53"/>
        <v>-0.34200464417153442</v>
      </c>
      <c r="AM31">
        <f t="shared" si="54"/>
        <v>0.14453236951140977</v>
      </c>
      <c r="AN31">
        <f t="shared" si="53"/>
        <v>0.36164156456762075</v>
      </c>
      <c r="AO31">
        <f t="shared" si="54"/>
        <v>-8.409614288755439E-2</v>
      </c>
      <c r="AP31">
        <f t="shared" si="53"/>
        <v>-0.37068516152579856</v>
      </c>
      <c r="AQ31">
        <f t="shared" si="54"/>
        <v>2.1196544437082507E-2</v>
      </c>
      <c r="AR31">
        <f t="shared" si="53"/>
        <v>0.36887052703491358</v>
      </c>
      <c r="AS31">
        <f t="shared" si="54"/>
        <v>4.2323950151961158E-2</v>
      </c>
      <c r="AT31">
        <f t="shared" si="46"/>
        <v>-0.35625081596422548</v>
      </c>
      <c r="AU31">
        <f t="shared" si="47"/>
        <v>-0.10460467769800802</v>
      </c>
      <c r="AV31">
        <f t="shared" si="46"/>
        <v>0.33319568903352847</v>
      </c>
      <c r="AW31">
        <f t="shared" si="47"/>
        <v>0.16382129068272161</v>
      </c>
      <c r="AX31">
        <f t="shared" si="46"/>
        <v>-0.30038048458997729</v>
      </c>
      <c r="AY31">
        <f t="shared" si="47"/>
        <v>-0.21823919663747615</v>
      </c>
      <c r="AZ31">
        <f t="shared" si="46"/>
        <v>0.25876643637551705</v>
      </c>
      <c r="BA31">
        <f t="shared" si="47"/>
        <v>0.26626436839539019</v>
      </c>
      <c r="BB31">
        <f t="shared" si="46"/>
        <v>-0.20957251675253408</v>
      </c>
      <c r="BC31">
        <f t="shared" si="47"/>
        <v>-0.30649003685844239</v>
      </c>
      <c r="BD31">
        <f t="shared" si="48"/>
        <v>0.15423973016520759</v>
      </c>
      <c r="BE31">
        <f t="shared" si="49"/>
        <v>0.33773789853974712</v>
      </c>
      <c r="BF31">
        <f t="shared" si="48"/>
        <v>-9.4388902764266563E-2</v>
      </c>
      <c r="BG31">
        <f t="shared" si="49"/>
        <v>-0.35909263081611464</v>
      </c>
      <c r="BH31">
        <f t="shared" si="48"/>
        <v>3.1773204635242185E-2</v>
      </c>
      <c r="BI31">
        <f t="shared" si="49"/>
        <v>0.36992870385884846</v>
      </c>
    </row>
    <row r="32" spans="1:61">
      <c r="A32" s="1">
        <v>30</v>
      </c>
      <c r="B32" s="2">
        <v>51511</v>
      </c>
      <c r="C32">
        <f t="shared" si="42"/>
        <v>10.849550656077264</v>
      </c>
      <c r="D32">
        <f t="shared" si="43"/>
        <v>3.4271919857343196</v>
      </c>
      <c r="H32">
        <f t="shared" si="50"/>
        <v>-0.37854791350475259</v>
      </c>
      <c r="I32">
        <f t="shared" si="44"/>
        <v>-0.11115169625153656</v>
      </c>
      <c r="J32">
        <f t="shared" si="45"/>
        <v>0.33189901160203134</v>
      </c>
      <c r="K32">
        <f t="shared" si="44"/>
        <v>0.21329854311736443</v>
      </c>
      <c r="L32">
        <f t="shared" si="45"/>
        <v>-0.25836162565873871</v>
      </c>
      <c r="M32">
        <f t="shared" si="44"/>
        <v>-0.29816521055510364</v>
      </c>
      <c r="N32">
        <f t="shared" si="53"/>
        <v>0.16389331734032631</v>
      </c>
      <c r="O32">
        <f t="shared" si="54"/>
        <v>0.35887630589045383</v>
      </c>
      <c r="P32">
        <f t="shared" si="53"/>
        <v>-5.6147347162090383E-2</v>
      </c>
      <c r="Q32">
        <f t="shared" si="54"/>
        <v>-0.39051337724213137</v>
      </c>
      <c r="R32">
        <f t="shared" si="53"/>
        <v>-5.6147347162088426E-2</v>
      </c>
      <c r="S32">
        <f t="shared" si="54"/>
        <v>0.39051337724213164</v>
      </c>
      <c r="T32">
        <f t="shared" si="53"/>
        <v>0.16389331734032578</v>
      </c>
      <c r="U32">
        <f t="shared" si="54"/>
        <v>-0.35887630589045405</v>
      </c>
      <c r="V32">
        <f t="shared" si="53"/>
        <v>-0.25836162565873771</v>
      </c>
      <c r="W32">
        <f t="shared" si="54"/>
        <v>0.29816521055510448</v>
      </c>
      <c r="X32">
        <f t="shared" si="53"/>
        <v>0.33189901160203028</v>
      </c>
      <c r="Y32">
        <f t="shared" si="54"/>
        <v>-0.2132985431173661</v>
      </c>
      <c r="Z32">
        <f t="shared" si="53"/>
        <v>-0.37854791350475187</v>
      </c>
      <c r="AA32">
        <f t="shared" si="54"/>
        <v>0.11115169625153914</v>
      </c>
      <c r="AB32">
        <f t="shared" si="53"/>
        <v>0.39452911476644598</v>
      </c>
      <c r="AC32">
        <f t="shared" si="54"/>
        <v>-5.8002808244709231E-16</v>
      </c>
      <c r="AD32">
        <f t="shared" si="53"/>
        <v>-0.37854791350475298</v>
      </c>
      <c r="AE32">
        <f t="shared" si="54"/>
        <v>-0.11115169625153533</v>
      </c>
      <c r="AF32">
        <f t="shared" si="53"/>
        <v>0.33189901160203239</v>
      </c>
      <c r="AG32">
        <f t="shared" si="54"/>
        <v>0.21329854311736277</v>
      </c>
      <c r="AH32">
        <f t="shared" si="53"/>
        <v>-0.2583616256587386</v>
      </c>
      <c r="AI32">
        <f t="shared" si="54"/>
        <v>-0.2981652105551037</v>
      </c>
      <c r="AJ32">
        <f t="shared" si="53"/>
        <v>0.16389331734032683</v>
      </c>
      <c r="AK32">
        <f t="shared" si="54"/>
        <v>0.35887630589045355</v>
      </c>
      <c r="AL32">
        <f t="shared" si="53"/>
        <v>-5.6147347162090952E-2</v>
      </c>
      <c r="AM32">
        <f t="shared" si="54"/>
        <v>-0.39051337724213125</v>
      </c>
      <c r="AN32">
        <f t="shared" si="53"/>
        <v>-5.6147347162086463E-2</v>
      </c>
      <c r="AO32">
        <f t="shared" si="54"/>
        <v>0.39051337724213192</v>
      </c>
      <c r="AP32">
        <f t="shared" si="53"/>
        <v>0.16389331734032273</v>
      </c>
      <c r="AQ32">
        <f t="shared" si="54"/>
        <v>-0.35887630589045549</v>
      </c>
      <c r="AR32">
        <f t="shared" si="53"/>
        <v>-0.25836162565873727</v>
      </c>
      <c r="AS32">
        <f t="shared" si="54"/>
        <v>0.29816521055510486</v>
      </c>
      <c r="AT32">
        <f t="shared" si="46"/>
        <v>0.33189901160202839</v>
      </c>
      <c r="AU32">
        <f t="shared" si="47"/>
        <v>-0.21329854311736896</v>
      </c>
      <c r="AV32">
        <f t="shared" si="46"/>
        <v>-0.3785479135047517</v>
      </c>
      <c r="AW32">
        <f t="shared" si="47"/>
        <v>0.1111516962515397</v>
      </c>
      <c r="AX32">
        <f t="shared" si="46"/>
        <v>0.39452911476644598</v>
      </c>
      <c r="AY32">
        <f t="shared" si="47"/>
        <v>-1.1600561648941846E-15</v>
      </c>
      <c r="AZ32">
        <f t="shared" si="46"/>
        <v>-0.37854791350475392</v>
      </c>
      <c r="BA32">
        <f t="shared" si="47"/>
        <v>-0.11115169625153209</v>
      </c>
      <c r="BB32">
        <f t="shared" si="46"/>
        <v>0.33189901160203272</v>
      </c>
      <c r="BC32">
        <f t="shared" si="47"/>
        <v>0.21329854311736229</v>
      </c>
      <c r="BD32">
        <f t="shared" si="48"/>
        <v>-0.25836162565873905</v>
      </c>
      <c r="BE32">
        <f t="shared" si="49"/>
        <v>-0.29816521055510331</v>
      </c>
      <c r="BF32">
        <f t="shared" si="48"/>
        <v>0.16389331734032994</v>
      </c>
      <c r="BG32">
        <f t="shared" si="49"/>
        <v>0.35887630589045216</v>
      </c>
      <c r="BH32">
        <f t="shared" si="48"/>
        <v>-5.6147347162091535E-2</v>
      </c>
      <c r="BI32">
        <f t="shared" si="49"/>
        <v>-0.3905133772421312</v>
      </c>
    </row>
    <row r="33" spans="1:61">
      <c r="A33" s="1">
        <v>31</v>
      </c>
      <c r="B33" s="2">
        <v>74050</v>
      </c>
      <c r="C33">
        <f t="shared" si="42"/>
        <v>11.212495819695945</v>
      </c>
      <c r="D33">
        <f t="shared" si="43"/>
        <v>3.5414317185921305</v>
      </c>
      <c r="H33">
        <f t="shared" si="50"/>
        <v>-0.37556709490812057</v>
      </c>
      <c r="I33">
        <f t="shared" si="44"/>
        <v>-0.15871597962968537</v>
      </c>
      <c r="J33">
        <f t="shared" si="45"/>
        <v>0.2841603481867831</v>
      </c>
      <c r="K33">
        <f t="shared" si="44"/>
        <v>0.29239408592839583</v>
      </c>
      <c r="L33">
        <f t="shared" si="45"/>
        <v>-0.14792654107627448</v>
      </c>
      <c r="M33">
        <f t="shared" si="44"/>
        <v>-0.37994623752939732</v>
      </c>
      <c r="N33">
        <f t="shared" si="53"/>
        <v>-1.1643076369139634E-2</v>
      </c>
      <c r="O33">
        <f t="shared" si="54"/>
        <v>0.40756084667224635</v>
      </c>
      <c r="P33">
        <f t="shared" si="53"/>
        <v>0.16937596715354866</v>
      </c>
      <c r="Q33">
        <f t="shared" si="54"/>
        <v>-0.37088163437724436</v>
      </c>
      <c r="R33">
        <f t="shared" si="53"/>
        <v>-0.300389342859535</v>
      </c>
      <c r="S33">
        <f t="shared" si="54"/>
        <v>0.27569484518930099</v>
      </c>
      <c r="T33">
        <f t="shared" si="53"/>
        <v>0.38401549054954043</v>
      </c>
      <c r="U33">
        <f t="shared" si="54"/>
        <v>-0.13701645151415864</v>
      </c>
      <c r="V33">
        <f t="shared" si="53"/>
        <v>-0.40706216015583213</v>
      </c>
      <c r="W33">
        <f t="shared" si="54"/>
        <v>-2.3276656478188718E-2</v>
      </c>
      <c r="X33">
        <f t="shared" si="53"/>
        <v>0.3658936774655846</v>
      </c>
      <c r="Y33">
        <f t="shared" si="54"/>
        <v>0.17989780920913592</v>
      </c>
      <c r="Z33">
        <f t="shared" si="53"/>
        <v>-0.26700448152161921</v>
      </c>
      <c r="AA33">
        <f t="shared" si="54"/>
        <v>-0.30813959793396767</v>
      </c>
      <c r="AB33">
        <f t="shared" si="53"/>
        <v>0.1259946093688771</v>
      </c>
      <c r="AC33">
        <f t="shared" si="54"/>
        <v>0.3877715350274179</v>
      </c>
      <c r="AD33">
        <f t="shared" si="53"/>
        <v>3.4891251812341914E-2</v>
      </c>
      <c r="AE33">
        <f t="shared" si="54"/>
        <v>-0.40623146790284931</v>
      </c>
      <c r="AF33">
        <f t="shared" si="53"/>
        <v>-0.19027292403114618</v>
      </c>
      <c r="AG33">
        <f t="shared" si="54"/>
        <v>0.36060729242234357</v>
      </c>
      <c r="AH33">
        <f t="shared" si="53"/>
        <v>0.31563852993248753</v>
      </c>
      <c r="AI33">
        <f t="shared" si="54"/>
        <v>-0.2580963451689971</v>
      </c>
      <c r="AJ33">
        <f t="shared" si="53"/>
        <v>-0.3912113074792794</v>
      </c>
      <c r="AK33">
        <f t="shared" si="54"/>
        <v>0.1148700042129739</v>
      </c>
      <c r="AL33">
        <f t="shared" si="53"/>
        <v>0.40506944743781431</v>
      </c>
      <c r="AM33">
        <f t="shared" si="54"/>
        <v>4.6477389341051507E-2</v>
      </c>
      <c r="AN33">
        <f t="shared" si="53"/>
        <v>-0.3550267908989877</v>
      </c>
      <c r="AO33">
        <f t="shared" si="54"/>
        <v>-0.20049284952711505</v>
      </c>
      <c r="AP33">
        <f t="shared" si="53"/>
        <v>0.24897770173522119</v>
      </c>
      <c r="AQ33">
        <f t="shared" si="54"/>
        <v>0.32288002261859311</v>
      </c>
      <c r="AR33">
        <f t="shared" si="53"/>
        <v>-0.10365170943398555</v>
      </c>
      <c r="AS33">
        <f t="shared" si="54"/>
        <v>-0.39433200237737304</v>
      </c>
      <c r="AT33">
        <f t="shared" si="46"/>
        <v>-5.8025619244360449E-2</v>
      </c>
      <c r="AU33">
        <f t="shared" si="47"/>
        <v>0.40357704652128629</v>
      </c>
      <c r="AV33">
        <f t="shared" si="46"/>
        <v>0.21054925017921364</v>
      </c>
      <c r="AW33">
        <f t="shared" si="47"/>
        <v>-0.34915672443260615</v>
      </c>
      <c r="AX33">
        <f t="shared" si="46"/>
        <v>-0.3298581697269839</v>
      </c>
      <c r="AY33">
        <f t="shared" si="47"/>
        <v>0.23965598851666578</v>
      </c>
      <c r="AZ33">
        <f t="shared" si="46"/>
        <v>0.39713107443818019</v>
      </c>
      <c r="BA33">
        <f t="shared" si="47"/>
        <v>-9.2348874834036324E-2</v>
      </c>
      <c r="BB33">
        <f t="shared" si="46"/>
        <v>-0.40175548237685937</v>
      </c>
      <c r="BC33">
        <f t="shared" si="47"/>
        <v>-6.9526522620313308E-2</v>
      </c>
      <c r="BD33">
        <f t="shared" si="48"/>
        <v>0.34300188073360238</v>
      </c>
      <c r="BE33">
        <f t="shared" si="49"/>
        <v>0.2204339238428322</v>
      </c>
      <c r="BF33">
        <f t="shared" si="48"/>
        <v>-0.23013880843634377</v>
      </c>
      <c r="BG33">
        <f t="shared" si="49"/>
        <v>-0.33656727978078288</v>
      </c>
      <c r="BH33">
        <f t="shared" si="48"/>
        <v>8.0970719167160796E-2</v>
      </c>
      <c r="BI33">
        <f t="shared" si="49"/>
        <v>0.39960624069837636</v>
      </c>
    </row>
    <row r="34" spans="1:61">
      <c r="A34" s="1">
        <v>32</v>
      </c>
      <c r="B34" s="2">
        <v>78773</v>
      </c>
      <c r="C34">
        <f t="shared" si="42"/>
        <v>11.274325577537704</v>
      </c>
      <c r="D34">
        <f t="shared" si="43"/>
        <v>3.6556714514499409</v>
      </c>
      <c r="H34">
        <f t="shared" si="50"/>
        <v>-0.35698453704771355</v>
      </c>
      <c r="I34">
        <f t="shared" si="44"/>
        <v>-0.20159843962361262</v>
      </c>
      <c r="J34">
        <f t="shared" si="45"/>
        <v>0.21171029490660725</v>
      </c>
      <c r="K34">
        <f t="shared" si="44"/>
        <v>0.35108210091145792</v>
      </c>
      <c r="L34">
        <f t="shared" si="45"/>
        <v>-1.1707280503885168E-2</v>
      </c>
      <c r="M34">
        <f t="shared" si="44"/>
        <v>-0.40980828460763102</v>
      </c>
      <c r="N34">
        <f t="shared" si="53"/>
        <v>-0.19132215776160924</v>
      </c>
      <c r="O34">
        <f t="shared" si="54"/>
        <v>0.36259581147510195</v>
      </c>
      <c r="P34">
        <f t="shared" si="53"/>
        <v>0.34489331717791044</v>
      </c>
      <c r="Q34">
        <f t="shared" si="54"/>
        <v>-0.22164947623638326</v>
      </c>
      <c r="R34">
        <f t="shared" si="53"/>
        <v>-0.40930684815337559</v>
      </c>
      <c r="S34">
        <f t="shared" si="54"/>
        <v>2.3405012381866565E-2</v>
      </c>
      <c r="T34">
        <f t="shared" si="53"/>
        <v>0.36791134755771404</v>
      </c>
      <c r="U34">
        <f t="shared" si="54"/>
        <v>0.18088983080348298</v>
      </c>
      <c r="V34">
        <f t="shared" si="53"/>
        <v>-0.23140787707408556</v>
      </c>
      <c r="W34">
        <f t="shared" si="54"/>
        <v>-0.33842323350785281</v>
      </c>
      <c r="X34">
        <f t="shared" si="53"/>
        <v>3.5083654796035951E-2</v>
      </c>
      <c r="Y34">
        <f t="shared" si="54"/>
        <v>0.40847157516282367</v>
      </c>
      <c r="Z34">
        <f t="shared" si="53"/>
        <v>0.17030996750473881</v>
      </c>
      <c r="AA34">
        <f t="shared" si="54"/>
        <v>-0.37292680986807664</v>
      </c>
      <c r="AB34">
        <f t="shared" si="53"/>
        <v>-0.33167712699433216</v>
      </c>
      <c r="AC34">
        <f t="shared" si="54"/>
        <v>0.24097753832801802</v>
      </c>
      <c r="AD34">
        <f t="shared" si="53"/>
        <v>0.40730314689660724</v>
      </c>
      <c r="AE34">
        <f t="shared" si="54"/>
        <v>-4.6733682478128466E-2</v>
      </c>
      <c r="AF34">
        <f t="shared" si="53"/>
        <v>-0.37763810772319034</v>
      </c>
      <c r="AG34">
        <f t="shared" si="54"/>
        <v>-0.15959119695363475</v>
      </c>
      <c r="AH34">
        <f t="shared" si="53"/>
        <v>0.25035065484520069</v>
      </c>
      <c r="AI34">
        <f t="shared" si="54"/>
        <v>0.32466049985858292</v>
      </c>
      <c r="AJ34">
        <f t="shared" si="53"/>
        <v>-5.8345593498461558E-2</v>
      </c>
      <c r="AK34">
        <f t="shared" si="54"/>
        <v>-0.40580251634157966</v>
      </c>
      <c r="AL34">
        <f t="shared" si="53"/>
        <v>-0.14874226153317952</v>
      </c>
      <c r="AM34">
        <f t="shared" si="54"/>
        <v>0.38204139852094693</v>
      </c>
      <c r="AN34">
        <f t="shared" si="53"/>
        <v>0.31737907496234169</v>
      </c>
      <c r="AO34">
        <f t="shared" si="54"/>
        <v>-0.25951958177735657</v>
      </c>
      <c r="AP34">
        <f t="shared" si="53"/>
        <v>-0.40397090743354663</v>
      </c>
      <c r="AQ34">
        <f t="shared" si="54"/>
        <v>6.9909917015847325E-2</v>
      </c>
      <c r="AR34">
        <f t="shared" si="53"/>
        <v>0.38613309087421255</v>
      </c>
      <c r="AS34">
        <f t="shared" si="54"/>
        <v>0.13777200979071511</v>
      </c>
      <c r="AT34">
        <f t="shared" si="46"/>
        <v>-0.26847684081616191</v>
      </c>
      <c r="AU34">
        <f t="shared" si="47"/>
        <v>-0.30983879114019763</v>
      </c>
      <c r="AV34">
        <f t="shared" si="46"/>
        <v>8.1417221002159298E-2</v>
      </c>
      <c r="AW34">
        <f t="shared" si="47"/>
        <v>0.40180981405900396</v>
      </c>
      <c r="AX34">
        <f t="shared" si="46"/>
        <v>0.12668938922091857</v>
      </c>
      <c r="AY34">
        <f t="shared" si="47"/>
        <v>-0.38990984754001323</v>
      </c>
      <c r="AZ34">
        <f t="shared" si="46"/>
        <v>-0.30204579835578543</v>
      </c>
      <c r="BA34">
        <f t="shared" si="47"/>
        <v>0.27721512629267181</v>
      </c>
      <c r="BB34">
        <f t="shared" si="46"/>
        <v>0.39932099883670791</v>
      </c>
      <c r="BC34">
        <f t="shared" si="47"/>
        <v>-9.285811993519838E-2</v>
      </c>
      <c r="BD34">
        <f t="shared" si="48"/>
        <v>-0.39336858814144277</v>
      </c>
      <c r="BE34">
        <f t="shared" si="49"/>
        <v>-0.11550343896808325</v>
      </c>
      <c r="BF34">
        <f t="shared" si="48"/>
        <v>0.28572731113590416</v>
      </c>
      <c r="BG34">
        <f t="shared" si="49"/>
        <v>0.2940064526858075</v>
      </c>
      <c r="BH34">
        <f t="shared" si="48"/>
        <v>-0.10422328245370226</v>
      </c>
      <c r="BI34">
        <f t="shared" si="49"/>
        <v>-0.39650649168004998</v>
      </c>
    </row>
    <row r="35" spans="1:61">
      <c r="A35" s="1">
        <v>33</v>
      </c>
      <c r="B35" s="2">
        <v>33899</v>
      </c>
      <c r="C35">
        <f t="shared" si="42"/>
        <v>10.431140794408378</v>
      </c>
      <c r="D35">
        <f t="shared" si="43"/>
        <v>3.7699111843077517</v>
      </c>
      <c r="H35">
        <f t="shared" si="50"/>
        <v>-0.3068716426688789</v>
      </c>
      <c r="I35">
        <f t="shared" si="44"/>
        <v>-0.22295529903780495</v>
      </c>
      <c r="J35">
        <f t="shared" si="45"/>
        <v>0.11721453731599933</v>
      </c>
      <c r="K35">
        <f t="shared" si="44"/>
        <v>0.36074925181506518</v>
      </c>
      <c r="L35">
        <f t="shared" si="45"/>
        <v>0.11721453731599905</v>
      </c>
      <c r="M35">
        <f t="shared" si="44"/>
        <v>-0.36074925181506529</v>
      </c>
      <c r="N35">
        <f t="shared" si="53"/>
        <v>-0.30687164266887873</v>
      </c>
      <c r="O35">
        <f t="shared" si="54"/>
        <v>0.22295529903780517</v>
      </c>
      <c r="P35">
        <f t="shared" si="53"/>
        <v>0.37931421070575921</v>
      </c>
      <c r="Q35">
        <f t="shared" si="54"/>
        <v>-2.7882973150262618E-16</v>
      </c>
      <c r="R35">
        <f t="shared" si="53"/>
        <v>-0.30687164266887901</v>
      </c>
      <c r="S35">
        <f t="shared" si="54"/>
        <v>-0.22295529903780476</v>
      </c>
      <c r="T35">
        <f t="shared" si="53"/>
        <v>0.11721453731599958</v>
      </c>
      <c r="U35">
        <f t="shared" si="54"/>
        <v>0.36074925181506512</v>
      </c>
      <c r="V35">
        <f t="shared" si="53"/>
        <v>0.11721453731599879</v>
      </c>
      <c r="W35">
        <f t="shared" si="54"/>
        <v>-0.36074925181506534</v>
      </c>
      <c r="X35">
        <f t="shared" si="53"/>
        <v>-0.30687164266887856</v>
      </c>
      <c r="Y35">
        <f t="shared" si="54"/>
        <v>0.22295529903780542</v>
      </c>
      <c r="Z35">
        <f t="shared" si="53"/>
        <v>0.37931421070575921</v>
      </c>
      <c r="AA35">
        <f t="shared" si="54"/>
        <v>-5.5765946300525237E-16</v>
      </c>
      <c r="AB35">
        <f t="shared" si="53"/>
        <v>-0.30687164266887917</v>
      </c>
      <c r="AC35">
        <f t="shared" si="54"/>
        <v>-0.22295529903780448</v>
      </c>
      <c r="AD35">
        <f t="shared" si="53"/>
        <v>0.11721453731599986</v>
      </c>
      <c r="AE35">
        <f t="shared" si="54"/>
        <v>0.36074925181506495</v>
      </c>
      <c r="AF35">
        <f t="shared" si="53"/>
        <v>0.11721453731599853</v>
      </c>
      <c r="AG35">
        <f t="shared" si="54"/>
        <v>-0.36074925181506545</v>
      </c>
      <c r="AH35">
        <f t="shared" si="53"/>
        <v>-0.3068716426688784</v>
      </c>
      <c r="AI35">
        <f t="shared" si="54"/>
        <v>0.22295529903780562</v>
      </c>
      <c r="AJ35">
        <f t="shared" si="53"/>
        <v>0.37931421070575921</v>
      </c>
      <c r="AK35">
        <f t="shared" si="54"/>
        <v>-8.3648919450787855E-16</v>
      </c>
      <c r="AL35">
        <f t="shared" si="53"/>
        <v>-0.30687164266887934</v>
      </c>
      <c r="AM35">
        <f t="shared" si="54"/>
        <v>-0.22295529903780428</v>
      </c>
      <c r="AN35">
        <f t="shared" si="53"/>
        <v>0.11721453731600268</v>
      </c>
      <c r="AO35">
        <f t="shared" si="54"/>
        <v>0.36074925181506412</v>
      </c>
      <c r="AP35">
        <f t="shared" si="53"/>
        <v>0.11721453731599826</v>
      </c>
      <c r="AQ35">
        <f t="shared" si="54"/>
        <v>-0.36074925181506551</v>
      </c>
      <c r="AR35">
        <f t="shared" si="53"/>
        <v>-0.30687164266887978</v>
      </c>
      <c r="AS35">
        <f t="shared" si="54"/>
        <v>0.2229552990378037</v>
      </c>
      <c r="AT35">
        <f t="shared" si="46"/>
        <v>0.37931421070575921</v>
      </c>
      <c r="AU35">
        <f t="shared" si="47"/>
        <v>-1.1153189260105047E-15</v>
      </c>
      <c r="AV35">
        <f t="shared" si="46"/>
        <v>-0.30687164266888112</v>
      </c>
      <c r="AW35">
        <f t="shared" si="47"/>
        <v>-0.22295529903780187</v>
      </c>
      <c r="AX35">
        <f t="shared" si="46"/>
        <v>0.11721453731600039</v>
      </c>
      <c r="AY35">
        <f t="shared" si="47"/>
        <v>0.36074925181506479</v>
      </c>
      <c r="AZ35">
        <f t="shared" si="46"/>
        <v>0.11721453731600055</v>
      </c>
      <c r="BA35">
        <f t="shared" si="47"/>
        <v>-0.36074925181506479</v>
      </c>
      <c r="BB35">
        <f t="shared" si="46"/>
        <v>-0.30687164266887801</v>
      </c>
      <c r="BC35">
        <f t="shared" si="47"/>
        <v>0.22295529903780609</v>
      </c>
      <c r="BD35">
        <f t="shared" si="48"/>
        <v>0.37931421070575921</v>
      </c>
      <c r="BE35">
        <f t="shared" si="49"/>
        <v>-4.0893382273886636E-15</v>
      </c>
      <c r="BF35">
        <f t="shared" si="48"/>
        <v>-0.30687164266887967</v>
      </c>
      <c r="BG35">
        <f t="shared" si="49"/>
        <v>-0.22295529903780381</v>
      </c>
      <c r="BH35">
        <f t="shared" si="48"/>
        <v>0.1172145373159981</v>
      </c>
      <c r="BI35">
        <f t="shared" si="49"/>
        <v>0.36074925181506556</v>
      </c>
    </row>
    <row r="36" spans="1:61">
      <c r="A36" s="1">
        <v>34</v>
      </c>
      <c r="B36" s="2">
        <v>18886</v>
      </c>
      <c r="C36">
        <f t="shared" si="42"/>
        <v>9.8461761858230137</v>
      </c>
      <c r="D36">
        <f t="shared" si="43"/>
        <v>3.8841509171655626</v>
      </c>
      <c r="H36">
        <f t="shared" si="50"/>
        <v>-0.26378483806817477</v>
      </c>
      <c r="I36">
        <f t="shared" si="44"/>
        <v>-0.2420995345647019</v>
      </c>
      <c r="J36">
        <f t="shared" si="45"/>
        <v>3.0639513112216486E-2</v>
      </c>
      <c r="K36">
        <f t="shared" si="44"/>
        <v>0.35672937314909298</v>
      </c>
      <c r="L36">
        <f t="shared" si="45"/>
        <v>0.21863805855962787</v>
      </c>
      <c r="M36">
        <f t="shared" si="44"/>
        <v>-0.283534874010897</v>
      </c>
      <c r="N36">
        <f t="shared" ref="N36:AR51" si="55">2/COUNT($A$3:$A$57)*$C36*COS($D36*N$1)</f>
        <v>-0.35279881720483325</v>
      </c>
      <c r="O36">
        <f t="shared" ref="O36:AS51" si="56">2/55*$C36*SIN($D36*O$1)</f>
        <v>6.1054238263769559E-2</v>
      </c>
      <c r="P36">
        <f t="shared" si="55"/>
        <v>0.30120474549824949</v>
      </c>
      <c r="Q36">
        <f t="shared" si="56"/>
        <v>0.19357253606964303</v>
      </c>
      <c r="R36">
        <f t="shared" si="55"/>
        <v>-9.1021036659473198E-2</v>
      </c>
      <c r="S36">
        <f t="shared" si="56"/>
        <v>-0.34627993923491052</v>
      </c>
      <c r="T36">
        <f t="shared" si="55"/>
        <v>-0.16708686125986905</v>
      </c>
      <c r="U36">
        <f t="shared" si="56"/>
        <v>0.3166648168417574</v>
      </c>
      <c r="V36">
        <f t="shared" si="55"/>
        <v>0.3372205652370589</v>
      </c>
      <c r="W36">
        <f t="shared" si="56"/>
        <v>-0.12032005573592866</v>
      </c>
      <c r="X36">
        <f t="shared" si="55"/>
        <v>-0.32980166463628163</v>
      </c>
      <c r="Y36">
        <f t="shared" si="56"/>
        <v>-0.13937534729727524</v>
      </c>
      <c r="Z36">
        <f t="shared" si="55"/>
        <v>0.14873634211827458</v>
      </c>
      <c r="AA36">
        <f t="shared" si="56"/>
        <v>0.32568715965535711</v>
      </c>
      <c r="AB36">
        <f t="shared" si="55"/>
        <v>0.11064130076469804</v>
      </c>
      <c r="AC36">
        <f t="shared" si="56"/>
        <v>-0.34051890989516886</v>
      </c>
      <c r="AD36">
        <f t="shared" si="55"/>
        <v>-0.31176433776129286</v>
      </c>
      <c r="AE36">
        <f t="shared" si="56"/>
        <v>0.17606141863384206</v>
      </c>
      <c r="AF36">
        <f t="shared" si="55"/>
        <v>0.34873792513837926</v>
      </c>
      <c r="AG36">
        <f t="shared" si="56"/>
        <v>8.1095530094307214E-2</v>
      </c>
      <c r="AH36">
        <f t="shared" si="55"/>
        <v>-0.20209481381291894</v>
      </c>
      <c r="AI36">
        <f t="shared" si="56"/>
        <v>-0.29555424487058229</v>
      </c>
      <c r="AJ36">
        <f t="shared" si="55"/>
        <v>-5.0954798963479153E-2</v>
      </c>
      <c r="AK36">
        <f t="shared" si="56"/>
        <v>0.35439841124600135</v>
      </c>
      <c r="AL36">
        <f t="shared" si="55"/>
        <v>0.27717580695015309</v>
      </c>
      <c r="AM36">
        <f t="shared" si="56"/>
        <v>-0.22664553265535575</v>
      </c>
      <c r="AN36">
        <f t="shared" si="55"/>
        <v>-0.35745883984505378</v>
      </c>
      <c r="AO36">
        <f t="shared" si="56"/>
        <v>-2.0440235999780114E-2</v>
      </c>
      <c r="AP36">
        <f t="shared" si="55"/>
        <v>0.24953345787269743</v>
      </c>
      <c r="AQ36">
        <f t="shared" si="56"/>
        <v>0.25676385811323449</v>
      </c>
      <c r="AR36">
        <f t="shared" si="55"/>
        <v>-1.0224287537673522E-2</v>
      </c>
      <c r="AS36">
        <f t="shared" si="56"/>
        <v>-0.35789675798398268</v>
      </c>
      <c r="AT36">
        <f t="shared" si="46"/>
        <v>-0.23446815140373142</v>
      </c>
      <c r="AU36">
        <f t="shared" si="47"/>
        <v>0.27059067132555653</v>
      </c>
      <c r="AV36">
        <f t="shared" si="46"/>
        <v>0.35570895285960075</v>
      </c>
      <c r="AW36">
        <f t="shared" si="47"/>
        <v>-4.081380019827633E-2</v>
      </c>
      <c r="AX36">
        <f t="shared" si="46"/>
        <v>-0.28966268596148137</v>
      </c>
      <c r="AY36">
        <f t="shared" si="47"/>
        <v>-0.21045226012727616</v>
      </c>
      <c r="AZ36">
        <f t="shared" si="46"/>
        <v>7.1103880851591902E-2</v>
      </c>
      <c r="BA36">
        <f t="shared" si="47"/>
        <v>0.35091147538794037</v>
      </c>
      <c r="BB36">
        <f t="shared" si="46"/>
        <v>0.18489237778941747</v>
      </c>
      <c r="BC36">
        <f t="shared" si="47"/>
        <v>-0.30660957921512139</v>
      </c>
      <c r="BD36">
        <f t="shared" si="48"/>
        <v>-0.34353952244609415</v>
      </c>
      <c r="BE36">
        <f t="shared" si="49"/>
        <v>0.10087230516156598</v>
      </c>
      <c r="BF36">
        <f t="shared" si="48"/>
        <v>0.32130701955548546</v>
      </c>
      <c r="BG36">
        <f t="shared" si="49"/>
        <v>0.15797602544522177</v>
      </c>
      <c r="BH36">
        <f t="shared" si="48"/>
        <v>-0.12990067594387333</v>
      </c>
      <c r="BI36">
        <f t="shared" si="49"/>
        <v>-0.33364717864897836</v>
      </c>
    </row>
    <row r="37" spans="1:61">
      <c r="A37" s="1">
        <v>35</v>
      </c>
      <c r="B37" s="2">
        <v>11520</v>
      </c>
      <c r="C37">
        <f t="shared" si="42"/>
        <v>9.3518399342498828</v>
      </c>
      <c r="D37">
        <f t="shared" si="43"/>
        <v>3.998390650023373</v>
      </c>
      <c r="H37">
        <f t="shared" si="50"/>
        <v>-0.22269646411206204</v>
      </c>
      <c r="I37">
        <f t="shared" si="44"/>
        <v>-0.25700541999049098</v>
      </c>
      <c r="J37">
        <f t="shared" si="45"/>
        <v>-4.8396566829106105E-2</v>
      </c>
      <c r="K37">
        <f t="shared" si="44"/>
        <v>0.33660551592577842</v>
      </c>
      <c r="L37">
        <f t="shared" si="45"/>
        <v>0.28608248666034308</v>
      </c>
      <c r="M37">
        <f t="shared" si="44"/>
        <v>-0.18385405042788217</v>
      </c>
      <c r="N37">
        <f t="shared" si="55"/>
        <v>-0.32629180753746284</v>
      </c>
      <c r="O37">
        <f t="shared" si="56"/>
        <v>-9.5807919121745466E-2</v>
      </c>
      <c r="P37">
        <f t="shared" si="55"/>
        <v>0.14126889846829047</v>
      </c>
      <c r="Q37">
        <f t="shared" si="56"/>
        <v>0.30933573889555577</v>
      </c>
      <c r="R37">
        <f t="shared" si="55"/>
        <v>0.14126889846828994</v>
      </c>
      <c r="S37">
        <f t="shared" si="56"/>
        <v>-0.30933573889555599</v>
      </c>
      <c r="T37">
        <f t="shared" si="55"/>
        <v>-0.32629180753746245</v>
      </c>
      <c r="U37">
        <f t="shared" si="56"/>
        <v>9.580791912174659E-2</v>
      </c>
      <c r="V37">
        <f t="shared" si="55"/>
        <v>0.28608248666034336</v>
      </c>
      <c r="W37">
        <f t="shared" si="56"/>
        <v>0.18385405042788167</v>
      </c>
      <c r="X37">
        <f t="shared" si="55"/>
        <v>-4.8396566829107583E-2</v>
      </c>
      <c r="Y37">
        <f t="shared" si="56"/>
        <v>-0.3366055159257782</v>
      </c>
      <c r="Z37">
        <f t="shared" si="55"/>
        <v>-0.22269646411206123</v>
      </c>
      <c r="AA37">
        <f t="shared" si="56"/>
        <v>0.2570054199904917</v>
      </c>
      <c r="AB37">
        <f t="shared" si="55"/>
        <v>0.34006690669999573</v>
      </c>
      <c r="AC37">
        <f t="shared" si="56"/>
        <v>-5.8328542343267507E-16</v>
      </c>
      <c r="AD37">
        <f t="shared" si="55"/>
        <v>-0.22269646411206215</v>
      </c>
      <c r="AE37">
        <f t="shared" si="56"/>
        <v>-0.25700541999049092</v>
      </c>
      <c r="AF37">
        <f t="shared" si="55"/>
        <v>-4.8396566829106431E-2</v>
      </c>
      <c r="AG37">
        <f t="shared" si="56"/>
        <v>0.33660551592577836</v>
      </c>
      <c r="AH37">
        <f t="shared" si="55"/>
        <v>0.28608248666034208</v>
      </c>
      <c r="AI37">
        <f t="shared" si="56"/>
        <v>-0.18385405042788366</v>
      </c>
      <c r="AJ37">
        <f t="shared" si="55"/>
        <v>-0.32629180753746317</v>
      </c>
      <c r="AK37">
        <f t="shared" si="56"/>
        <v>-9.5807919121744328E-2</v>
      </c>
      <c r="AL37">
        <f t="shared" si="55"/>
        <v>0.14126889846829099</v>
      </c>
      <c r="AM37">
        <f t="shared" si="56"/>
        <v>0.30933573889555555</v>
      </c>
      <c r="AN37">
        <f t="shared" si="55"/>
        <v>0.14126889846828941</v>
      </c>
      <c r="AO37">
        <f t="shared" si="56"/>
        <v>-0.30933573889555621</v>
      </c>
      <c r="AP37">
        <f t="shared" si="55"/>
        <v>-0.32629180753746201</v>
      </c>
      <c r="AQ37">
        <f t="shared" si="56"/>
        <v>9.5807919121748311E-2</v>
      </c>
      <c r="AR37">
        <f t="shared" si="55"/>
        <v>0.28608248666034303</v>
      </c>
      <c r="AS37">
        <f t="shared" si="56"/>
        <v>0.18385405042788219</v>
      </c>
      <c r="AT37">
        <f t="shared" si="46"/>
        <v>-4.8396566829108159E-2</v>
      </c>
      <c r="AU37">
        <f t="shared" si="47"/>
        <v>-0.33660551592577814</v>
      </c>
      <c r="AV37">
        <f t="shared" si="46"/>
        <v>-0.22269646411206265</v>
      </c>
      <c r="AW37">
        <f t="shared" si="47"/>
        <v>0.25700541999049048</v>
      </c>
      <c r="AX37">
        <f t="shared" si="46"/>
        <v>0.34006690669999573</v>
      </c>
      <c r="AY37">
        <f t="shared" si="47"/>
        <v>-1.1665708468653501E-15</v>
      </c>
      <c r="AZ37">
        <f t="shared" si="46"/>
        <v>-0.22269646411206442</v>
      </c>
      <c r="BA37">
        <f t="shared" si="47"/>
        <v>-0.25700541999048898</v>
      </c>
      <c r="BB37">
        <f t="shared" si="46"/>
        <v>-4.8396566829105855E-2</v>
      </c>
      <c r="BC37">
        <f t="shared" si="47"/>
        <v>0.33660551592577848</v>
      </c>
      <c r="BD37">
        <f t="shared" si="48"/>
        <v>0.28608248666034175</v>
      </c>
      <c r="BE37">
        <f t="shared" si="49"/>
        <v>-0.18385405042788416</v>
      </c>
      <c r="BF37">
        <f t="shared" si="48"/>
        <v>-0.32629180753746262</v>
      </c>
      <c r="BG37">
        <f t="shared" si="49"/>
        <v>-9.5807919121746091E-2</v>
      </c>
      <c r="BH37">
        <f t="shared" si="48"/>
        <v>0.14126889846829152</v>
      </c>
      <c r="BI37">
        <f t="shared" si="49"/>
        <v>0.30933573889555527</v>
      </c>
    </row>
    <row r="38" spans="1:61">
      <c r="A38" s="1">
        <v>36</v>
      </c>
      <c r="B38" s="2">
        <v>8352</v>
      </c>
      <c r="C38">
        <f t="shared" si="42"/>
        <v>9.0302563101224198</v>
      </c>
      <c r="D38">
        <f t="shared" si="43"/>
        <v>4.1126303828811839</v>
      </c>
      <c r="H38">
        <f t="shared" si="50"/>
        <v>-0.1853478886864528</v>
      </c>
      <c r="I38">
        <f t="shared" si="44"/>
        <v>-0.2710626475046114</v>
      </c>
      <c r="J38">
        <f t="shared" si="45"/>
        <v>-0.11913623893104223</v>
      </c>
      <c r="K38">
        <f t="shared" si="44"/>
        <v>0.30599894654410253</v>
      </c>
      <c r="L38">
        <f t="shared" si="45"/>
        <v>0.31983917305828874</v>
      </c>
      <c r="M38">
        <f t="shared" si="44"/>
        <v>-7.4375413209775962E-2</v>
      </c>
      <c r="N38">
        <f t="shared" si="55"/>
        <v>-0.24192586579037006</v>
      </c>
      <c r="O38">
        <f t="shared" si="56"/>
        <v>-0.22203755127075858</v>
      </c>
      <c r="P38">
        <f t="shared" si="55"/>
        <v>-4.6732344230596384E-2</v>
      </c>
      <c r="Q38">
        <f t="shared" si="56"/>
        <v>0.32503059350690044</v>
      </c>
      <c r="R38">
        <f t="shared" si="55"/>
        <v>0.29468137539578487</v>
      </c>
      <c r="S38">
        <f t="shared" si="56"/>
        <v>-0.14488507758766406</v>
      </c>
      <c r="T38">
        <f t="shared" si="55"/>
        <v>-0.28592946390637158</v>
      </c>
      <c r="U38">
        <f t="shared" si="56"/>
        <v>-0.1614717943882146</v>
      </c>
      <c r="V38">
        <f t="shared" si="55"/>
        <v>2.8100518556538986E-2</v>
      </c>
      <c r="W38">
        <f t="shared" si="56"/>
        <v>0.32716839634901856</v>
      </c>
      <c r="X38">
        <f t="shared" si="55"/>
        <v>0.2542071696146152</v>
      </c>
      <c r="Y38">
        <f t="shared" si="56"/>
        <v>-0.2078641711052224</v>
      </c>
      <c r="Z38">
        <f t="shared" si="55"/>
        <v>-0.31507154470910653</v>
      </c>
      <c r="AA38">
        <f t="shared" si="56"/>
        <v>-9.2513352697609991E-2</v>
      </c>
      <c r="AB38">
        <f t="shared" si="55"/>
        <v>0.10147282412325268</v>
      </c>
      <c r="AC38">
        <f t="shared" si="56"/>
        <v>0.31230124027481276</v>
      </c>
      <c r="AD38">
        <f t="shared" si="55"/>
        <v>0.20052024975784694</v>
      </c>
      <c r="AE38">
        <f t="shared" si="56"/>
        <v>-0.26003928193599057</v>
      </c>
      <c r="AF38">
        <f t="shared" si="55"/>
        <v>-0.32783741456582732</v>
      </c>
      <c r="AG38">
        <f t="shared" si="56"/>
        <v>-1.8746421619305891E-2</v>
      </c>
      <c r="AH38">
        <f t="shared" si="55"/>
        <v>0.16957096132714411</v>
      </c>
      <c r="AI38">
        <f t="shared" si="56"/>
        <v>0.28120186305805855</v>
      </c>
      <c r="AJ38">
        <f t="shared" si="55"/>
        <v>0.13641105609017662</v>
      </c>
      <c r="AK38">
        <f t="shared" si="56"/>
        <v>-0.29869854785234157</v>
      </c>
      <c r="AL38">
        <f t="shared" si="55"/>
        <v>-0.32356355250425312</v>
      </c>
      <c r="AM38">
        <f t="shared" si="56"/>
        <v>5.5994876583151332E-2</v>
      </c>
      <c r="AN38">
        <f t="shared" si="55"/>
        <v>0.22885545007675909</v>
      </c>
      <c r="AO38">
        <f t="shared" si="56"/>
        <v>0.23548669109505729</v>
      </c>
      <c r="AP38">
        <f t="shared" si="55"/>
        <v>6.5211738711197481E-2</v>
      </c>
      <c r="AQ38">
        <f t="shared" si="56"/>
        <v>-0.32183260842710981</v>
      </c>
      <c r="AR38">
        <f t="shared" si="55"/>
        <v>-0.30247209748885034</v>
      </c>
      <c r="AS38">
        <f t="shared" si="56"/>
        <v>0.12782577577871507</v>
      </c>
      <c r="AT38">
        <f t="shared" si="46"/>
        <v>0.27624490993678241</v>
      </c>
      <c r="AU38">
        <f t="shared" si="47"/>
        <v>0.17753182375775298</v>
      </c>
      <c r="AV38">
        <f t="shared" si="46"/>
        <v>-9.3770348317067514E-3</v>
      </c>
      <c r="AW38">
        <f t="shared" si="47"/>
        <v>-0.32823904388494046</v>
      </c>
      <c r="AX38">
        <f t="shared" si="46"/>
        <v>-0.26565930248911362</v>
      </c>
      <c r="AY38">
        <f t="shared" si="47"/>
        <v>0.1930127812185829</v>
      </c>
      <c r="AZ38">
        <f t="shared" si="46"/>
        <v>0.30927621846941949</v>
      </c>
      <c r="BA38">
        <f t="shared" si="47"/>
        <v>0.11034953285805431</v>
      </c>
      <c r="BB38">
        <f t="shared" si="46"/>
        <v>-8.3478426054528904E-2</v>
      </c>
      <c r="BC38">
        <f t="shared" si="47"/>
        <v>-0.31758487227226906</v>
      </c>
      <c r="BD38">
        <f t="shared" si="48"/>
        <v>-0.21503855545311903</v>
      </c>
      <c r="BE38">
        <f t="shared" si="49"/>
        <v>0.24816772227945108</v>
      </c>
      <c r="BF38">
        <f t="shared" si="48"/>
        <v>0.32623253489536774</v>
      </c>
      <c r="BG38">
        <f t="shared" si="49"/>
        <v>3.7431696307775916E-2</v>
      </c>
      <c r="BH38">
        <f t="shared" si="48"/>
        <v>-0.15324092873769427</v>
      </c>
      <c r="BI38">
        <f t="shared" si="49"/>
        <v>-0.29042385658265718</v>
      </c>
    </row>
    <row r="39" spans="1:61">
      <c r="A39" s="1">
        <v>37</v>
      </c>
      <c r="B39" s="2">
        <v>8660</v>
      </c>
      <c r="C39">
        <f t="shared" si="42"/>
        <v>9.0664700015564801</v>
      </c>
      <c r="D39">
        <f t="shared" si="43"/>
        <v>4.2268701157389943</v>
      </c>
      <c r="H39">
        <f t="shared" si="50"/>
        <v>-0.15385546497208122</v>
      </c>
      <c r="I39">
        <f t="shared" si="44"/>
        <v>-0.29158853226474013</v>
      </c>
      <c r="J39">
        <f t="shared" si="45"/>
        <v>-0.18609118223409224</v>
      </c>
      <c r="K39">
        <f t="shared" si="44"/>
        <v>0.27214967967057868</v>
      </c>
      <c r="L39">
        <f t="shared" si="45"/>
        <v>0.32754081275025104</v>
      </c>
      <c r="M39">
        <f t="shared" si="44"/>
        <v>3.758180720755333E-2</v>
      </c>
      <c r="N39">
        <f t="shared" si="55"/>
        <v>-0.11961400643255045</v>
      </c>
      <c r="O39">
        <f t="shared" si="56"/>
        <v>-0.30722608241364291</v>
      </c>
      <c r="P39">
        <f t="shared" si="55"/>
        <v>-0.21590091634589711</v>
      </c>
      <c r="Q39">
        <f t="shared" si="56"/>
        <v>0.24916293980261722</v>
      </c>
      <c r="R39">
        <f t="shared" si="55"/>
        <v>0.32112181185877042</v>
      </c>
      <c r="S39">
        <f t="shared" si="56"/>
        <v>7.4673678084189468E-2</v>
      </c>
      <c r="T39">
        <f t="shared" si="55"/>
        <v>-8.381319639312422E-2</v>
      </c>
      <c r="U39">
        <f t="shared" si="56"/>
        <v>-0.31885847073654527</v>
      </c>
      <c r="V39">
        <f t="shared" si="55"/>
        <v>-0.24289605183523633</v>
      </c>
      <c r="W39">
        <f t="shared" si="56"/>
        <v>0.22292797996872196</v>
      </c>
      <c r="X39">
        <f t="shared" si="55"/>
        <v>0.31051649705719275</v>
      </c>
      <c r="Y39">
        <f t="shared" si="56"/>
        <v>0.11079206336832575</v>
      </c>
      <c r="Z39">
        <f t="shared" si="55"/>
        <v>-4.691975316295053E-2</v>
      </c>
      <c r="AA39">
        <f t="shared" si="56"/>
        <v>-0.32633405126221277</v>
      </c>
      <c r="AB39">
        <f t="shared" si="55"/>
        <v>-0.26672466582726684</v>
      </c>
      <c r="AC39">
        <f t="shared" si="56"/>
        <v>0.19378681299152828</v>
      </c>
      <c r="AD39">
        <f t="shared" si="55"/>
        <v>0.29586312484269522</v>
      </c>
      <c r="AE39">
        <f t="shared" si="56"/>
        <v>0.14546610467183219</v>
      </c>
      <c r="AF39">
        <f t="shared" si="55"/>
        <v>-9.4146391957820787E-3</v>
      </c>
      <c r="AG39">
        <f t="shared" si="56"/>
        <v>-0.32955536836606675</v>
      </c>
      <c r="AH39">
        <f t="shared" si="55"/>
        <v>-0.28707611589743409</v>
      </c>
      <c r="AI39">
        <f t="shared" si="56"/>
        <v>0.162119338548255</v>
      </c>
      <c r="AJ39">
        <f t="shared" si="55"/>
        <v>0.27735272433153979</v>
      </c>
      <c r="AK39">
        <f t="shared" si="56"/>
        <v>0.17824377283920362</v>
      </c>
      <c r="AL39">
        <f t="shared" si="55"/>
        <v>2.8213208991138414E-2</v>
      </c>
      <c r="AM39">
        <f t="shared" si="56"/>
        <v>-0.32848042725328869</v>
      </c>
      <c r="AN39">
        <f t="shared" si="55"/>
        <v>-0.30368508977054087</v>
      </c>
      <c r="AO39">
        <f t="shared" si="56"/>
        <v>0.12833839059743285</v>
      </c>
      <c r="AP39">
        <f t="shared" si="55"/>
        <v>0.25522660690239457</v>
      </c>
      <c r="AQ39">
        <f t="shared" si="56"/>
        <v>0.20869776083890129</v>
      </c>
      <c r="AR39">
        <f t="shared" si="55"/>
        <v>6.54732548523171E-2</v>
      </c>
      <c r="AS39">
        <f t="shared" si="56"/>
        <v>-0.32312324142519405</v>
      </c>
      <c r="AT39">
        <f t="shared" si="46"/>
        <v>-0.31633506407200152</v>
      </c>
      <c r="AU39">
        <f t="shared" si="47"/>
        <v>9.2884355456898243E-2</v>
      </c>
      <c r="AV39">
        <f t="shared" si="46"/>
        <v>0.22977322033348799</v>
      </c>
      <c r="AW39">
        <f t="shared" si="47"/>
        <v>0.23643105436397116</v>
      </c>
      <c r="AX39">
        <f t="shared" si="46"/>
        <v>0.10187975670805734</v>
      </c>
      <c r="AY39">
        <f t="shared" si="47"/>
        <v>-0.31355364999181201</v>
      </c>
      <c r="AZ39">
        <f t="shared" si="46"/>
        <v>-0.32486112704115283</v>
      </c>
      <c r="BA39">
        <f t="shared" si="47"/>
        <v>5.6219430694668837E-2</v>
      </c>
      <c r="BB39">
        <f t="shared" si="46"/>
        <v>0.20132438844468228</v>
      </c>
      <c r="BC39">
        <f t="shared" si="47"/>
        <v>0.26108210752070965</v>
      </c>
      <c r="BD39">
        <f t="shared" si="48"/>
        <v>0.13695810013010071</v>
      </c>
      <c r="BE39">
        <f t="shared" si="49"/>
        <v>-0.29989640721228056</v>
      </c>
      <c r="BF39">
        <f t="shared" si="48"/>
        <v>-0.32915212840825919</v>
      </c>
      <c r="BG39">
        <f t="shared" si="49"/>
        <v>1.8821599676796055E-2</v>
      </c>
      <c r="BH39">
        <f t="shared" si="48"/>
        <v>0.17025098526653312</v>
      </c>
      <c r="BI39">
        <f t="shared" si="49"/>
        <v>0.28232955613228922</v>
      </c>
    </row>
    <row r="40" spans="1:61">
      <c r="A40" s="1">
        <v>38</v>
      </c>
      <c r="B40" s="2">
        <v>12902</v>
      </c>
      <c r="C40">
        <f t="shared" si="42"/>
        <v>9.4651376170921875</v>
      </c>
      <c r="D40">
        <f t="shared" si="43"/>
        <v>4.3411098485968047</v>
      </c>
      <c r="H40">
        <f t="shared" si="50"/>
        <v>-0.12487363126128198</v>
      </c>
      <c r="I40">
        <f t="shared" si="44"/>
        <v>-0.32073531916016029</v>
      </c>
      <c r="J40">
        <f t="shared" si="45"/>
        <v>-0.25357659120630022</v>
      </c>
      <c r="K40">
        <f t="shared" si="44"/>
        <v>0.23273049033880677</v>
      </c>
      <c r="L40">
        <f t="shared" si="45"/>
        <v>0.3088727136336728</v>
      </c>
      <c r="M40">
        <f t="shared" si="44"/>
        <v>0.15186248883025605</v>
      </c>
      <c r="N40">
        <f t="shared" si="55"/>
        <v>2.9453790248582922E-2</v>
      </c>
      <c r="O40">
        <f t="shared" si="56"/>
        <v>-0.342924252541492</v>
      </c>
      <c r="P40">
        <f t="shared" si="55"/>
        <v>-0.33024483774160779</v>
      </c>
      <c r="Q40">
        <f t="shared" si="56"/>
        <v>9.6968633517069136E-2</v>
      </c>
      <c r="R40">
        <f t="shared" si="55"/>
        <v>0.21017695332127231</v>
      </c>
      <c r="S40">
        <f t="shared" si="56"/>
        <v>0.27256231770686168</v>
      </c>
      <c r="T40">
        <f t="shared" si="55"/>
        <v>0.17773720143744837</v>
      </c>
      <c r="U40">
        <f t="shared" si="56"/>
        <v>-0.29474405162162715</v>
      </c>
      <c r="V40">
        <f t="shared" si="55"/>
        <v>-0.33914580573920305</v>
      </c>
      <c r="W40">
        <f t="shared" si="56"/>
        <v>-5.8691491637674578E-2</v>
      </c>
      <c r="X40">
        <f t="shared" si="55"/>
        <v>6.8352221681622208E-2</v>
      </c>
      <c r="Y40">
        <f t="shared" si="56"/>
        <v>0.33733150243096904</v>
      </c>
      <c r="Z40">
        <f t="shared" si="55"/>
        <v>0.28954838033134855</v>
      </c>
      <c r="AA40">
        <f t="shared" si="56"/>
        <v>-0.18608144504125404</v>
      </c>
      <c r="AB40">
        <f t="shared" si="55"/>
        <v>-0.27845298859364304</v>
      </c>
      <c r="AC40">
        <f t="shared" si="56"/>
        <v>-0.20230793826347251</v>
      </c>
      <c r="AD40">
        <f t="shared" si="55"/>
        <v>-8.7498600651972069E-2</v>
      </c>
      <c r="AE40">
        <f t="shared" si="56"/>
        <v>0.33287920275243271</v>
      </c>
      <c r="AF40">
        <f t="shared" si="55"/>
        <v>0.34194332164151187</v>
      </c>
      <c r="AG40">
        <f t="shared" si="56"/>
        <v>-3.9234341155651782E-2</v>
      </c>
      <c r="AH40">
        <f t="shared" si="55"/>
        <v>-0.16062074311749455</v>
      </c>
      <c r="AI40">
        <f t="shared" si="56"/>
        <v>-0.30441016018118106</v>
      </c>
      <c r="AJ40">
        <f t="shared" si="55"/>
        <v>-0.22539443515716687</v>
      </c>
      <c r="AK40">
        <f t="shared" si="56"/>
        <v>0.26011904455716084</v>
      </c>
      <c r="AL40">
        <f t="shared" si="55"/>
        <v>0.32417041875384522</v>
      </c>
      <c r="AM40">
        <f t="shared" si="56"/>
        <v>0.11566377283361096</v>
      </c>
      <c r="AN40">
        <f t="shared" si="55"/>
        <v>-9.8286163841135414E-3</v>
      </c>
      <c r="AO40">
        <f t="shared" si="56"/>
        <v>-0.34404646058508209</v>
      </c>
      <c r="AP40">
        <f t="shared" si="55"/>
        <v>-0.3170386232396612</v>
      </c>
      <c r="AQ40">
        <f t="shared" si="56"/>
        <v>0.1339816409641584</v>
      </c>
      <c r="AR40">
        <f t="shared" si="55"/>
        <v>0.23987672719432823</v>
      </c>
      <c r="AS40">
        <f t="shared" si="56"/>
        <v>0.24682731715044495</v>
      </c>
      <c r="AT40">
        <f t="shared" si="46"/>
        <v>0.14298037331886945</v>
      </c>
      <c r="AU40">
        <f t="shared" si="47"/>
        <v>-0.31308334607057148</v>
      </c>
      <c r="AV40">
        <f t="shared" si="46"/>
        <v>-0.34362548950232336</v>
      </c>
      <c r="AW40">
        <f t="shared" si="47"/>
        <v>-1.9649216407713273E-2</v>
      </c>
      <c r="AX40">
        <f t="shared" si="46"/>
        <v>0.10635957737378592</v>
      </c>
      <c r="AY40">
        <f t="shared" si="47"/>
        <v>0.32734112030421436</v>
      </c>
      <c r="AZ40">
        <f t="shared" si="46"/>
        <v>0.26644934108422785</v>
      </c>
      <c r="BA40">
        <f t="shared" si="47"/>
        <v>-0.21787454504124459</v>
      </c>
      <c r="BB40">
        <f t="shared" si="46"/>
        <v>-0.29969932543570593</v>
      </c>
      <c r="BC40">
        <f t="shared" si="47"/>
        <v>-0.16924799282275507</v>
      </c>
      <c r="BD40">
        <f t="shared" si="48"/>
        <v>-4.8982891971298667E-2</v>
      </c>
      <c r="BE40">
        <f t="shared" si="49"/>
        <v>0.34068349686369692</v>
      </c>
      <c r="BF40">
        <f t="shared" si="48"/>
        <v>0.3352420667107967</v>
      </c>
      <c r="BG40">
        <f t="shared" si="49"/>
        <v>-7.795720267314786E-2</v>
      </c>
      <c r="BH40">
        <f t="shared" si="48"/>
        <v>-0.19427391794940113</v>
      </c>
      <c r="BI40">
        <f t="shared" si="49"/>
        <v>-0.28411654922889984</v>
      </c>
    </row>
    <row r="41" spans="1:61">
      <c r="A41" s="1">
        <v>39</v>
      </c>
      <c r="B41" s="2">
        <v>20331</v>
      </c>
      <c r="C41">
        <f t="shared" si="42"/>
        <v>9.9199020938042235</v>
      </c>
      <c r="D41">
        <f t="shared" si="43"/>
        <v>4.4553495814546151</v>
      </c>
      <c r="H41">
        <f t="shared" si="50"/>
        <v>-9.1702581296341817E-2</v>
      </c>
      <c r="I41">
        <f t="shared" si="44"/>
        <v>-0.34887280396269499</v>
      </c>
      <c r="J41">
        <f t="shared" si="45"/>
        <v>-0.31409875758517397</v>
      </c>
      <c r="K41">
        <f t="shared" si="44"/>
        <v>0.17737972613761499</v>
      </c>
      <c r="L41">
        <f t="shared" si="45"/>
        <v>0.2514019071474361</v>
      </c>
      <c r="M41">
        <f t="shared" si="44"/>
        <v>0.25868644696589171</v>
      </c>
      <c r="N41">
        <f t="shared" si="55"/>
        <v>0.18627680948899999</v>
      </c>
      <c r="O41">
        <f t="shared" si="56"/>
        <v>-0.30890540138981704</v>
      </c>
      <c r="P41">
        <f t="shared" si="55"/>
        <v>-0.3461118675617782</v>
      </c>
      <c r="Q41">
        <f t="shared" si="56"/>
        <v>-0.10162761383651234</v>
      </c>
      <c r="R41">
        <f t="shared" si="55"/>
        <v>-1.0300844656694751E-2</v>
      </c>
      <c r="S41">
        <f t="shared" si="56"/>
        <v>0.36057660678497133</v>
      </c>
      <c r="T41">
        <f t="shared" si="55"/>
        <v>0.35134919470060022</v>
      </c>
      <c r="U41">
        <f t="shared" si="56"/>
        <v>-8.1702754815519529E-2</v>
      </c>
      <c r="V41">
        <f t="shared" si="55"/>
        <v>-0.16833796933732453</v>
      </c>
      <c r="W41">
        <f t="shared" si="56"/>
        <v>-0.31903593032853084</v>
      </c>
      <c r="X41">
        <f t="shared" si="55"/>
        <v>-0.26575999840770154</v>
      </c>
      <c r="Y41">
        <f t="shared" si="56"/>
        <v>0.2439123203274973</v>
      </c>
      <c r="Z41">
        <f t="shared" si="55"/>
        <v>0.30346009751826414</v>
      </c>
      <c r="AA41">
        <f t="shared" si="56"/>
        <v>0.1950219628026823</v>
      </c>
      <c r="AB41">
        <f t="shared" si="55"/>
        <v>0.11146975743712886</v>
      </c>
      <c r="AC41">
        <f t="shared" si="56"/>
        <v>-0.34306863735718079</v>
      </c>
      <c r="AD41">
        <f t="shared" si="55"/>
        <v>-0.36013540961550283</v>
      </c>
      <c r="AE41">
        <f t="shared" si="56"/>
        <v>-2.0593287796736089E-2</v>
      </c>
      <c r="AF41">
        <f t="shared" si="55"/>
        <v>7.1636290395955385E-2</v>
      </c>
      <c r="AG41">
        <f t="shared" si="56"/>
        <v>0.3535390199956881</v>
      </c>
      <c r="AH41">
        <f t="shared" si="55"/>
        <v>0.32371289279098081</v>
      </c>
      <c r="AI41">
        <f t="shared" si="56"/>
        <v>-0.15915891367466706</v>
      </c>
      <c r="AJ41">
        <f t="shared" si="55"/>
        <v>-0.23622379512051153</v>
      </c>
      <c r="AK41">
        <f t="shared" si="56"/>
        <v>-0.27261679218285101</v>
      </c>
      <c r="AL41">
        <f t="shared" si="55"/>
        <v>-0.20360805340618046</v>
      </c>
      <c r="AM41">
        <f t="shared" si="56"/>
        <v>0.29776728723845935</v>
      </c>
      <c r="AN41">
        <f t="shared" si="55"/>
        <v>0.33974559545110833</v>
      </c>
      <c r="AO41">
        <f t="shared" si="56"/>
        <v>0.12122098470469971</v>
      </c>
      <c r="AP41">
        <f t="shared" si="55"/>
        <v>3.0868934755868091E-2</v>
      </c>
      <c r="AQ41">
        <f t="shared" si="56"/>
        <v>-0.35940048084030596</v>
      </c>
      <c r="AR41">
        <f t="shared" si="55"/>
        <v>-0.35544049379503778</v>
      </c>
      <c r="AS41">
        <f t="shared" si="56"/>
        <v>6.1511398390419213E-2</v>
      </c>
      <c r="AT41">
        <f t="shared" si="46"/>
        <v>0.14985004571909905</v>
      </c>
      <c r="AU41">
        <f t="shared" si="47"/>
        <v>0.32812583037485649</v>
      </c>
      <c r="AV41">
        <f t="shared" si="46"/>
        <v>0.27925123579198241</v>
      </c>
      <c r="AW41">
        <f t="shared" si="47"/>
        <v>-0.22834260239792273</v>
      </c>
      <c r="AX41">
        <f t="shared" si="46"/>
        <v>-0.29183161368812166</v>
      </c>
      <c r="AY41">
        <f t="shared" si="47"/>
        <v>-0.21202807836084378</v>
      </c>
      <c r="AZ41">
        <f t="shared" si="46"/>
        <v>-0.13087334239839751</v>
      </c>
      <c r="BA41">
        <f t="shared" si="47"/>
        <v>0.33614545216420372</v>
      </c>
      <c r="BB41">
        <f t="shared" si="46"/>
        <v>0.35837241987783142</v>
      </c>
      <c r="BC41">
        <f t="shared" si="47"/>
        <v>4.1119404569040896E-2</v>
      </c>
      <c r="BD41">
        <f t="shared" si="48"/>
        <v>-5.1336336806062123E-2</v>
      </c>
      <c r="BE41">
        <f t="shared" si="49"/>
        <v>-0.35705206522934402</v>
      </c>
      <c r="BF41">
        <f t="shared" si="48"/>
        <v>-0.3322711438249647</v>
      </c>
      <c r="BG41">
        <f t="shared" si="49"/>
        <v>0.14041895791685249</v>
      </c>
      <c r="BH41">
        <f t="shared" si="48"/>
        <v>0.22027517017355841</v>
      </c>
      <c r="BI41">
        <f t="shared" si="49"/>
        <v>0.28565791808772789</v>
      </c>
    </row>
    <row r="42" spans="1:61">
      <c r="A42" s="1">
        <v>40</v>
      </c>
      <c r="B42" s="2">
        <v>36853</v>
      </c>
      <c r="C42">
        <f t="shared" si="42"/>
        <v>10.514692305429964</v>
      </c>
      <c r="D42">
        <f t="shared" si="43"/>
        <v>4.5695893143124264</v>
      </c>
      <c r="H42">
        <f t="shared" si="50"/>
        <v>-5.441442672511352E-2</v>
      </c>
      <c r="I42">
        <f t="shared" si="44"/>
        <v>-0.3784606508616376</v>
      </c>
      <c r="J42">
        <f t="shared" si="45"/>
        <v>-0.36686448679194439</v>
      </c>
      <c r="K42">
        <f t="shared" si="44"/>
        <v>0.10772113264035246</v>
      </c>
      <c r="L42">
        <f t="shared" si="45"/>
        <v>0.15883494693712852</v>
      </c>
      <c r="M42">
        <f t="shared" si="44"/>
        <v>0.34780001972098379</v>
      </c>
      <c r="N42">
        <f t="shared" si="55"/>
        <v>0.32165534722093786</v>
      </c>
      <c r="O42">
        <f t="shared" si="56"/>
        <v>-0.20671533975642692</v>
      </c>
      <c r="P42">
        <f t="shared" si="55"/>
        <v>-0.25038760437609836</v>
      </c>
      <c r="Q42">
        <f t="shared" si="56"/>
        <v>-0.28896269942889791</v>
      </c>
      <c r="R42">
        <f t="shared" si="55"/>
        <v>-0.25038760437609781</v>
      </c>
      <c r="S42">
        <f t="shared" si="56"/>
        <v>0.28896269942889841</v>
      </c>
      <c r="T42">
        <f t="shared" si="55"/>
        <v>0.32165534722093825</v>
      </c>
      <c r="U42">
        <f t="shared" si="56"/>
        <v>0.20671533975642628</v>
      </c>
      <c r="V42">
        <f t="shared" si="55"/>
        <v>0.15883494693712785</v>
      </c>
      <c r="W42">
        <f t="shared" si="56"/>
        <v>-0.34780001972098407</v>
      </c>
      <c r="X42">
        <f t="shared" si="55"/>
        <v>-0.36686448679194478</v>
      </c>
      <c r="Y42">
        <f t="shared" si="56"/>
        <v>-0.10772113264035109</v>
      </c>
      <c r="Z42">
        <f t="shared" si="55"/>
        <v>-5.441442672511379E-2</v>
      </c>
      <c r="AA42">
        <f t="shared" si="56"/>
        <v>0.3784606508616376</v>
      </c>
      <c r="AB42">
        <f t="shared" si="55"/>
        <v>0.38235244747018049</v>
      </c>
      <c r="AC42">
        <f t="shared" si="56"/>
        <v>-7.4950161639779344E-16</v>
      </c>
      <c r="AD42">
        <f t="shared" si="55"/>
        <v>-5.4414426725115275E-2</v>
      </c>
      <c r="AE42">
        <f t="shared" si="56"/>
        <v>-0.37846065086163738</v>
      </c>
      <c r="AF42">
        <f t="shared" si="55"/>
        <v>-0.36686448679194433</v>
      </c>
      <c r="AG42">
        <f t="shared" si="56"/>
        <v>0.10772113264035253</v>
      </c>
      <c r="AH42">
        <f t="shared" si="55"/>
        <v>0.15883494693712921</v>
      </c>
      <c r="AI42">
        <f t="shared" si="56"/>
        <v>0.34780001972098346</v>
      </c>
      <c r="AJ42">
        <f t="shared" si="55"/>
        <v>0.32165534722093825</v>
      </c>
      <c r="AK42">
        <f t="shared" si="56"/>
        <v>-0.20671533975642642</v>
      </c>
      <c r="AL42">
        <f t="shared" si="55"/>
        <v>-0.25038760437609886</v>
      </c>
      <c r="AM42">
        <f t="shared" si="56"/>
        <v>-0.28896269942889741</v>
      </c>
      <c r="AN42">
        <f t="shared" si="55"/>
        <v>-0.25038760437609719</v>
      </c>
      <c r="AO42">
        <f t="shared" si="56"/>
        <v>0.28896269942889891</v>
      </c>
      <c r="AP42">
        <f t="shared" si="55"/>
        <v>0.32165534722093941</v>
      </c>
      <c r="AQ42">
        <f t="shared" si="56"/>
        <v>0.20671533975642456</v>
      </c>
      <c r="AR42">
        <f t="shared" si="55"/>
        <v>0.15883494693712963</v>
      </c>
      <c r="AS42">
        <f t="shared" si="56"/>
        <v>-0.34780001972098323</v>
      </c>
      <c r="AT42">
        <f t="shared" si="46"/>
        <v>-0.36686448679194422</v>
      </c>
      <c r="AU42">
        <f t="shared" si="47"/>
        <v>-0.10772113264035298</v>
      </c>
      <c r="AV42">
        <f t="shared" si="46"/>
        <v>-5.4414426725113055E-2</v>
      </c>
      <c r="AW42">
        <f t="shared" si="47"/>
        <v>0.37846065086163772</v>
      </c>
      <c r="AX42">
        <f t="shared" si="46"/>
        <v>0.38235244747018049</v>
      </c>
      <c r="AY42">
        <f t="shared" si="47"/>
        <v>-1.4990032327955869E-15</v>
      </c>
      <c r="AZ42">
        <f t="shared" si="46"/>
        <v>-5.4414426725116018E-2</v>
      </c>
      <c r="BA42">
        <f t="shared" si="47"/>
        <v>-0.37846065086163727</v>
      </c>
      <c r="BB42">
        <f t="shared" si="46"/>
        <v>-0.36686448679194333</v>
      </c>
      <c r="BC42">
        <f t="shared" si="47"/>
        <v>0.10772113264035586</v>
      </c>
      <c r="BD42">
        <f t="shared" si="48"/>
        <v>0.15883494693712744</v>
      </c>
      <c r="BE42">
        <f t="shared" si="49"/>
        <v>0.34780001972098429</v>
      </c>
      <c r="BF42">
        <f t="shared" si="48"/>
        <v>0.3216553472209378</v>
      </c>
      <c r="BG42">
        <f t="shared" si="49"/>
        <v>-0.20671533975642706</v>
      </c>
      <c r="BH42">
        <f t="shared" si="48"/>
        <v>-0.25038760437609947</v>
      </c>
      <c r="BI42">
        <f t="shared" si="49"/>
        <v>-0.28896269942889691</v>
      </c>
    </row>
    <row r="43" spans="1:61">
      <c r="A43" s="1">
        <v>41</v>
      </c>
      <c r="B43" s="2">
        <v>56407</v>
      </c>
      <c r="C43">
        <f t="shared" si="42"/>
        <v>10.940348543259887</v>
      </c>
      <c r="D43">
        <f t="shared" si="43"/>
        <v>4.6838290471702368</v>
      </c>
      <c r="H43">
        <f t="shared" si="50"/>
        <v>-1.136047813462087E-2</v>
      </c>
      <c r="I43">
        <f t="shared" si="44"/>
        <v>-0.39766861784224861</v>
      </c>
      <c r="J43">
        <f t="shared" si="45"/>
        <v>-0.39718203533723551</v>
      </c>
      <c r="K43">
        <f t="shared" si="44"/>
        <v>2.2711690500324743E-2</v>
      </c>
      <c r="L43">
        <f t="shared" si="45"/>
        <v>3.4044378885488655E-2</v>
      </c>
      <c r="M43">
        <f t="shared" si="44"/>
        <v>0.39637150546717265</v>
      </c>
      <c r="N43">
        <f t="shared" si="55"/>
        <v>0.39523768931184777</v>
      </c>
      <c r="O43">
        <f t="shared" si="56"/>
        <v>-4.5349300186913882E-2</v>
      </c>
      <c r="P43">
        <f t="shared" si="55"/>
        <v>-5.6617233948634167E-2</v>
      </c>
      <c r="Q43">
        <f t="shared" si="56"/>
        <v>-0.39378151162798031</v>
      </c>
      <c r="R43">
        <f t="shared" si="55"/>
        <v>-0.39200416009497624</v>
      </c>
      <c r="S43">
        <f t="shared" si="56"/>
        <v>6.783898988224836E-2</v>
      </c>
      <c r="T43">
        <f t="shared" si="55"/>
        <v>7.9005415362657802E-2</v>
      </c>
      <c r="U43">
        <f t="shared" si="56"/>
        <v>0.38990708434623944</v>
      </c>
      <c r="V43">
        <f t="shared" si="55"/>
        <v>0.38749199478682989</v>
      </c>
      <c r="W43">
        <f t="shared" si="56"/>
        <v>-9.0107402893075061E-2</v>
      </c>
      <c r="X43">
        <f t="shared" si="55"/>
        <v>-0.10113589753322624</v>
      </c>
      <c r="Y43">
        <f t="shared" si="56"/>
        <v>-0.38476086119843367</v>
      </c>
      <c r="Z43">
        <f t="shared" si="55"/>
        <v>-0.38171591113277969</v>
      </c>
      <c r="AA43">
        <f t="shared" si="56"/>
        <v>0.11208190428469425</v>
      </c>
      <c r="AB43">
        <f t="shared" si="55"/>
        <v>0.12293649542736457</v>
      </c>
      <c r="AC43">
        <f t="shared" si="56"/>
        <v>0.37835962809481816</v>
      </c>
      <c r="AD43">
        <f t="shared" si="55"/>
        <v>0.37469474951713433</v>
      </c>
      <c r="AE43">
        <f t="shared" si="56"/>
        <v>-0.13369081780101247</v>
      </c>
      <c r="AF43">
        <f t="shared" si="55"/>
        <v>-0.14433610002605132</v>
      </c>
      <c r="AG43">
        <f t="shared" si="56"/>
        <v>-0.37072426452726459</v>
      </c>
      <c r="AH43">
        <f t="shared" si="55"/>
        <v>-0.36645141150971894</v>
      </c>
      <c r="AI43">
        <f t="shared" si="56"/>
        <v>0.15486365965760393</v>
      </c>
      <c r="AJ43">
        <f t="shared" si="55"/>
        <v>0.16526491026703669</v>
      </c>
      <c r="AK43">
        <f t="shared" si="56"/>
        <v>0.36187967546470451</v>
      </c>
      <c r="AL43">
        <f t="shared" si="55"/>
        <v>0.35701278516571594</v>
      </c>
      <c r="AM43">
        <f t="shared" si="56"/>
        <v>-0.17553136844515829</v>
      </c>
      <c r="AN43">
        <f t="shared" si="55"/>
        <v>-0.18565466072142051</v>
      </c>
      <c r="AO43">
        <f t="shared" si="56"/>
        <v>-0.35185471011828984</v>
      </c>
      <c r="AP43">
        <f t="shared" si="55"/>
        <v>-0.34640965732242046</v>
      </c>
      <c r="AQ43">
        <f t="shared" si="56"/>
        <v>0.19562653039343811</v>
      </c>
      <c r="AR43">
        <f t="shared" si="55"/>
        <v>0.20543884426127387</v>
      </c>
      <c r="AS43">
        <f t="shared" si="56"/>
        <v>0.34068206784126986</v>
      </c>
      <c r="AT43">
        <f t="shared" si="46"/>
        <v>0.33467661317897324</v>
      </c>
      <c r="AU43">
        <f t="shared" si="47"/>
        <v>-0.2150835992609931</v>
      </c>
      <c r="AV43">
        <f t="shared" si="46"/>
        <v>-0.2245529289920726</v>
      </c>
      <c r="AW43">
        <f t="shared" si="47"/>
        <v>-0.32839819147049631</v>
      </c>
      <c r="AX43">
        <f t="shared" si="46"/>
        <v>-0.32185192348663355</v>
      </c>
      <c r="AY43">
        <f t="shared" si="47"/>
        <v>0.23383911013336869</v>
      </c>
      <c r="AZ43">
        <f t="shared" si="46"/>
        <v>0.24293456874234026</v>
      </c>
      <c r="BA43">
        <f t="shared" si="47"/>
        <v>0.31504314845745285</v>
      </c>
      <c r="BB43">
        <f t="shared" si="46"/>
        <v>0.30797741971753062</v>
      </c>
      <c r="BC43">
        <f t="shared" si="47"/>
        <v>-0.25183188643248411</v>
      </c>
      <c r="BD43">
        <f t="shared" si="48"/>
        <v>-0.26052380642387218</v>
      </c>
      <c r="BE43">
        <f t="shared" si="49"/>
        <v>-0.30066050017657509</v>
      </c>
      <c r="BF43">
        <f t="shared" si="48"/>
        <v>-0.29309835761911512</v>
      </c>
      <c r="BG43">
        <f t="shared" si="49"/>
        <v>0.26900323946188615</v>
      </c>
      <c r="BH43">
        <f t="shared" si="48"/>
        <v>0.2772632695993143</v>
      </c>
      <c r="BI43">
        <f t="shared" si="49"/>
        <v>0.28529715983708903</v>
      </c>
    </row>
    <row r="44" spans="1:61">
      <c r="A44" s="1">
        <v>42</v>
      </c>
      <c r="B44" s="2">
        <v>39437</v>
      </c>
      <c r="C44">
        <f t="shared" si="42"/>
        <v>10.582459740914768</v>
      </c>
      <c r="D44">
        <f t="shared" si="43"/>
        <v>4.7980687800280482</v>
      </c>
      <c r="H44">
        <f t="shared" si="50"/>
        <v>3.2930693892936895E-2</v>
      </c>
      <c r="I44">
        <f t="shared" si="44"/>
        <v>-0.38340510656183124</v>
      </c>
      <c r="J44">
        <f t="shared" si="45"/>
        <v>-0.37918062903324179</v>
      </c>
      <c r="K44">
        <f t="shared" si="44"/>
        <v>-6.5619790489718555E-2</v>
      </c>
      <c r="L44">
        <f t="shared" si="45"/>
        <v>-9.7827464982000026E-2</v>
      </c>
      <c r="M44">
        <f t="shared" si="44"/>
        <v>0.37217427830675653</v>
      </c>
      <c r="N44">
        <f t="shared" si="55"/>
        <v>0.3624374567426456</v>
      </c>
      <c r="O44">
        <f t="shared" si="56"/>
        <v>0.12931742453313227</v>
      </c>
      <c r="P44">
        <f t="shared" si="55"/>
        <v>0.15985864184960163</v>
      </c>
      <c r="Q44">
        <f t="shared" si="56"/>
        <v>-0.35004159890498765</v>
      </c>
      <c r="R44">
        <f t="shared" si="55"/>
        <v>-0.3350776474792545</v>
      </c>
      <c r="S44">
        <f t="shared" si="56"/>
        <v>-0.18922705012161431</v>
      </c>
      <c r="T44">
        <f t="shared" si="55"/>
        <v>-0.21720718689781679</v>
      </c>
      <c r="U44">
        <f t="shared" si="56"/>
        <v>0.31765538606782096</v>
      </c>
      <c r="V44">
        <f t="shared" si="55"/>
        <v>0.29790263375836323</v>
      </c>
      <c r="W44">
        <f t="shared" si="56"/>
        <v>0.24359377483382036</v>
      </c>
      <c r="X44">
        <f t="shared" si="55"/>
        <v>0.26819322771729714</v>
      </c>
      <c r="Y44">
        <f t="shared" si="56"/>
        <v>-0.27596430737422817</v>
      </c>
      <c r="Z44">
        <f t="shared" si="55"/>
        <v>-0.25200135828661385</v>
      </c>
      <c r="AA44">
        <f t="shared" si="56"/>
        <v>-0.29082507072063296</v>
      </c>
      <c r="AB44">
        <f t="shared" si="55"/>
        <v>-0.31132326446141023</v>
      </c>
      <c r="AC44">
        <f t="shared" si="56"/>
        <v>0.22618959158867213</v>
      </c>
      <c r="AD44">
        <f t="shared" si="55"/>
        <v>0.19871837629472219</v>
      </c>
      <c r="AE44">
        <f t="shared" si="56"/>
        <v>0.32953742315668594</v>
      </c>
      <c r="AF44">
        <f t="shared" si="55"/>
        <v>0.34533391793405388</v>
      </c>
      <c r="AG44">
        <f t="shared" si="56"/>
        <v>-0.16978925602721628</v>
      </c>
      <c r="AH44">
        <f t="shared" si="55"/>
        <v>-0.13961447038424546</v>
      </c>
      <c r="AI44">
        <f t="shared" si="56"/>
        <v>-0.3585968572049763</v>
      </c>
      <c r="AJ44">
        <f t="shared" si="55"/>
        <v>-0.36922893690785574</v>
      </c>
      <c r="AK44">
        <f t="shared" si="56"/>
        <v>0.10841539783561266</v>
      </c>
      <c r="AL44">
        <f t="shared" si="55"/>
        <v>7.6420931571201056E-2</v>
      </c>
      <c r="AM44">
        <f t="shared" si="56"/>
        <v>0.37715215438301458</v>
      </c>
      <c r="AN44">
        <f t="shared" si="55"/>
        <v>0.38230838064218825</v>
      </c>
      <c r="AO44">
        <f t="shared" si="56"/>
        <v>-4.3865800217335459E-2</v>
      </c>
      <c r="AP44">
        <f t="shared" si="55"/>
        <v>-1.0988845741228681E-2</v>
      </c>
      <c r="AQ44">
        <f t="shared" si="56"/>
        <v>-0.38465978683407359</v>
      </c>
      <c r="AR44">
        <f t="shared" si="55"/>
        <v>-0.38418912177714482</v>
      </c>
      <c r="AS44">
        <f t="shared" si="56"/>
        <v>-2.1968728822252481E-2</v>
      </c>
      <c r="AT44">
        <f t="shared" si="46"/>
        <v>-5.4765128965884514E-2</v>
      </c>
      <c r="AU44">
        <f t="shared" si="47"/>
        <v>0.38089983852360654</v>
      </c>
      <c r="AV44">
        <f t="shared" si="46"/>
        <v>0.37481606902594311</v>
      </c>
      <c r="AW44">
        <f t="shared" si="47"/>
        <v>8.7159742644749322E-2</v>
      </c>
      <c r="AX44">
        <f t="shared" si="46"/>
        <v>0.11891490553568974</v>
      </c>
      <c r="AY44">
        <f t="shared" si="47"/>
        <v>-0.36598244709193017</v>
      </c>
      <c r="AZ44">
        <f t="shared" si="46"/>
        <v>-0.35446378092698932</v>
      </c>
      <c r="BA44">
        <f t="shared" si="47"/>
        <v>-0.14979764467074513</v>
      </c>
      <c r="BB44">
        <f t="shared" si="46"/>
        <v>-0.17958138765222612</v>
      </c>
      <c r="BC44">
        <f t="shared" si="47"/>
        <v>0.3403445776663121</v>
      </c>
      <c r="BD44">
        <f t="shared" si="48"/>
        <v>0.32372842338502772</v>
      </c>
      <c r="BE44">
        <f t="shared" si="49"/>
        <v>0.2080476249097877</v>
      </c>
      <c r="BF44">
        <f t="shared" si="48"/>
        <v>0.23498751280425548</v>
      </c>
      <c r="BG44">
        <f t="shared" si="49"/>
        <v>-0.30473722313499763</v>
      </c>
      <c r="BH44">
        <f t="shared" si="48"/>
        <v>-0.2835103065837335</v>
      </c>
      <c r="BI44">
        <f t="shared" si="49"/>
        <v>-0.26020340581698187</v>
      </c>
    </row>
    <row r="45" spans="1:61">
      <c r="A45" s="1">
        <v>43</v>
      </c>
      <c r="B45" s="2">
        <v>26761</v>
      </c>
      <c r="C45">
        <f t="shared" si="42"/>
        <v>10.194700882751727</v>
      </c>
      <c r="D45">
        <f t="shared" si="43"/>
        <v>4.9123085128858586</v>
      </c>
      <c r="H45">
        <f t="shared" si="50"/>
        <v>7.3620742022525776E-2</v>
      </c>
      <c r="I45">
        <f t="shared" si="44"/>
        <v>-0.36333267457229801</v>
      </c>
      <c r="J45">
        <f t="shared" si="45"/>
        <v>-0.3414756407103075</v>
      </c>
      <c r="K45">
        <f t="shared" si="44"/>
        <v>-0.1443088107819189</v>
      </c>
      <c r="L45">
        <f t="shared" si="45"/>
        <v>-0.20924835569615588</v>
      </c>
      <c r="M45">
        <f t="shared" si="44"/>
        <v>0.30601596642375006</v>
      </c>
      <c r="N45">
        <f t="shared" si="55"/>
        <v>0.25836618350519858</v>
      </c>
      <c r="O45">
        <f t="shared" si="56"/>
        <v>0.26585251792820164</v>
      </c>
      <c r="P45">
        <f t="shared" si="55"/>
        <v>0.31186647759171082</v>
      </c>
      <c r="Q45">
        <f t="shared" si="56"/>
        <v>-0.20042441523513457</v>
      </c>
      <c r="R45">
        <f t="shared" si="55"/>
        <v>-0.13449876487299228</v>
      </c>
      <c r="S45">
        <f t="shared" si="56"/>
        <v>-0.34545727422569383</v>
      </c>
      <c r="T45">
        <f t="shared" si="55"/>
        <v>-0.36528682255051914</v>
      </c>
      <c r="U45">
        <f t="shared" si="56"/>
        <v>6.321537264583843E-2</v>
      </c>
      <c r="V45">
        <f t="shared" si="55"/>
        <v>-1.0586196226705544E-2</v>
      </c>
      <c r="W45">
        <f t="shared" si="56"/>
        <v>0.37056521493153727</v>
      </c>
      <c r="X45">
        <f t="shared" si="55"/>
        <v>0.36108218725318941</v>
      </c>
      <c r="Y45">
        <f t="shared" si="56"/>
        <v>8.3966065266030843E-2</v>
      </c>
      <c r="Z45">
        <f t="shared" si="55"/>
        <v>0.15400115635485961</v>
      </c>
      <c r="AA45">
        <f t="shared" si="56"/>
        <v>-0.33721549476436102</v>
      </c>
      <c r="AB45">
        <f t="shared" si="55"/>
        <v>-0.29991586424419769</v>
      </c>
      <c r="AC45">
        <f t="shared" si="56"/>
        <v>-0.21790163019689107</v>
      </c>
      <c r="AD45">
        <f t="shared" si="55"/>
        <v>-0.27312201922429546</v>
      </c>
      <c r="AE45">
        <f t="shared" si="56"/>
        <v>0.2506691219170209</v>
      </c>
      <c r="AF45">
        <f t="shared" si="55"/>
        <v>0.1914370057462344</v>
      </c>
      <c r="AG45">
        <f t="shared" si="56"/>
        <v>0.31746262598725367</v>
      </c>
      <c r="AH45">
        <f t="shared" si="55"/>
        <v>0.34915714783311302</v>
      </c>
      <c r="AI45">
        <f t="shared" si="56"/>
        <v>-0.12457901984223649</v>
      </c>
      <c r="AJ45">
        <f t="shared" si="55"/>
        <v>-5.2758443904484087E-2</v>
      </c>
      <c r="AK45">
        <f t="shared" si="56"/>
        <v>-0.36694303735673217</v>
      </c>
      <c r="AL45">
        <f t="shared" si="55"/>
        <v>-0.37011179582210274</v>
      </c>
      <c r="AM45">
        <f t="shared" si="56"/>
        <v>-2.1163758199924193E-2</v>
      </c>
      <c r="AN45">
        <f t="shared" si="55"/>
        <v>-9.4242904582327786E-2</v>
      </c>
      <c r="AO45">
        <f t="shared" si="56"/>
        <v>0.35853719612293083</v>
      </c>
      <c r="AP45">
        <f t="shared" si="55"/>
        <v>0.33268031102399298</v>
      </c>
      <c r="AQ45">
        <f t="shared" si="56"/>
        <v>0.16356789637574359</v>
      </c>
      <c r="AR45">
        <f t="shared" si="55"/>
        <v>0.22637718100254026</v>
      </c>
      <c r="AS45">
        <f t="shared" si="56"/>
        <v>-0.29357114638388737</v>
      </c>
      <c r="AT45">
        <f t="shared" si="46"/>
        <v>-0.24276761099750765</v>
      </c>
      <c r="AU45">
        <f t="shared" si="47"/>
        <v>-0.28016875828394838</v>
      </c>
      <c r="AV45">
        <f t="shared" si="46"/>
        <v>-0.32279984731147554</v>
      </c>
      <c r="AW45">
        <f t="shared" si="47"/>
        <v>0.18229345748955106</v>
      </c>
      <c r="AX45">
        <f t="shared" si="46"/>
        <v>0.11455766637598555</v>
      </c>
      <c r="AY45">
        <f t="shared" si="47"/>
        <v>0.35257224386258074</v>
      </c>
      <c r="AZ45">
        <f t="shared" si="46"/>
        <v>0.36829996815838456</v>
      </c>
      <c r="BA45">
        <f t="shared" si="47"/>
        <v>-4.2258484619536706E-2</v>
      </c>
      <c r="BB45">
        <f t="shared" si="46"/>
        <v>3.172405870839267E-2</v>
      </c>
      <c r="BC45">
        <f t="shared" si="47"/>
        <v>-0.36935650822325189</v>
      </c>
      <c r="BD45">
        <f t="shared" si="48"/>
        <v>-0.35569977691279175</v>
      </c>
      <c r="BE45">
        <f t="shared" si="49"/>
        <v>-0.10444287803386536</v>
      </c>
      <c r="BF45">
        <f t="shared" si="48"/>
        <v>-0.17300122807418983</v>
      </c>
      <c r="BG45">
        <f t="shared" si="49"/>
        <v>0.32787378845011206</v>
      </c>
      <c r="BH45">
        <f t="shared" si="48"/>
        <v>0.28698698768571129</v>
      </c>
      <c r="BI45">
        <f t="shared" si="49"/>
        <v>0.23466809533229718</v>
      </c>
    </row>
    <row r="46" spans="1:61">
      <c r="A46" s="1">
        <v>44</v>
      </c>
      <c r="B46" s="2">
        <v>15185</v>
      </c>
      <c r="C46">
        <f t="shared" si="42"/>
        <v>9.6280633774798492</v>
      </c>
      <c r="D46">
        <f t="shared" si="43"/>
        <v>5.0265482457436681</v>
      </c>
      <c r="H46">
        <f t="shared" si="50"/>
        <v>0.10819037114764792</v>
      </c>
      <c r="I46">
        <f t="shared" si="44"/>
        <v>-0.33297572416199772</v>
      </c>
      <c r="J46">
        <f t="shared" si="45"/>
        <v>-0.28324606892000959</v>
      </c>
      <c r="K46">
        <f t="shared" si="44"/>
        <v>-0.2057903149607235</v>
      </c>
      <c r="L46">
        <f t="shared" si="45"/>
        <v>-0.28324606892000831</v>
      </c>
      <c r="M46">
        <f t="shared" si="44"/>
        <v>0.20579031496072531</v>
      </c>
      <c r="N46">
        <f t="shared" si="55"/>
        <v>0.10819037114764972</v>
      </c>
      <c r="O46">
        <f t="shared" si="56"/>
        <v>0.33297572416199717</v>
      </c>
      <c r="P46">
        <f t="shared" si="55"/>
        <v>0.35011139554472176</v>
      </c>
      <c r="Q46">
        <f t="shared" si="56"/>
        <v>-1.586996292293679E-15</v>
      </c>
      <c r="R46">
        <f t="shared" si="55"/>
        <v>0.10819037114764553</v>
      </c>
      <c r="S46">
        <f t="shared" si="56"/>
        <v>-0.3329757241619985</v>
      </c>
      <c r="T46">
        <f t="shared" si="55"/>
        <v>-0.28324606892001092</v>
      </c>
      <c r="U46">
        <f t="shared" si="56"/>
        <v>-0.20579031496072173</v>
      </c>
      <c r="V46">
        <f t="shared" si="55"/>
        <v>-0.28324606892000737</v>
      </c>
      <c r="W46">
        <f t="shared" si="56"/>
        <v>0.20579031496072658</v>
      </c>
      <c r="X46">
        <f t="shared" si="55"/>
        <v>0.10819037114765122</v>
      </c>
      <c r="Y46">
        <f t="shared" si="56"/>
        <v>0.33297572416199667</v>
      </c>
      <c r="Z46">
        <f t="shared" si="55"/>
        <v>0.35011139554472176</v>
      </c>
      <c r="AA46">
        <f t="shared" si="56"/>
        <v>-3.173992584587358E-15</v>
      </c>
      <c r="AB46">
        <f t="shared" si="55"/>
        <v>0.1081903711476452</v>
      </c>
      <c r="AC46">
        <f t="shared" si="56"/>
        <v>-0.33297572416199861</v>
      </c>
      <c r="AD46">
        <f t="shared" si="55"/>
        <v>-0.28324606892001253</v>
      </c>
      <c r="AE46">
        <f t="shared" si="56"/>
        <v>-0.20579031496071942</v>
      </c>
      <c r="AF46">
        <f t="shared" si="55"/>
        <v>-0.2832460689200057</v>
      </c>
      <c r="AG46">
        <f t="shared" si="56"/>
        <v>0.20579031496072889</v>
      </c>
      <c r="AH46">
        <f t="shared" si="55"/>
        <v>0.10819037114765392</v>
      </c>
      <c r="AI46">
        <f t="shared" si="56"/>
        <v>0.33297572416199578</v>
      </c>
      <c r="AJ46">
        <f t="shared" si="55"/>
        <v>0.35011139554472176</v>
      </c>
      <c r="AK46">
        <f t="shared" si="56"/>
        <v>-6.0048344209367031E-15</v>
      </c>
      <c r="AL46">
        <f t="shared" si="55"/>
        <v>0.10819037114764249</v>
      </c>
      <c r="AM46">
        <f t="shared" si="56"/>
        <v>-0.3329757241619995</v>
      </c>
      <c r="AN46">
        <f t="shared" si="55"/>
        <v>-0.28324606892001281</v>
      </c>
      <c r="AO46">
        <f t="shared" si="56"/>
        <v>-0.20579031496071917</v>
      </c>
      <c r="AP46">
        <f t="shared" si="55"/>
        <v>-0.28324606892000553</v>
      </c>
      <c r="AQ46">
        <f t="shared" si="56"/>
        <v>0.20579031496072914</v>
      </c>
      <c r="AR46">
        <f t="shared" si="55"/>
        <v>0.10819037114765426</v>
      </c>
      <c r="AS46">
        <f t="shared" si="56"/>
        <v>0.33297572416199567</v>
      </c>
      <c r="AT46">
        <f t="shared" si="46"/>
        <v>0.35011139554472176</v>
      </c>
      <c r="AU46">
        <f t="shared" si="47"/>
        <v>-6.3479851691747159E-15</v>
      </c>
      <c r="AV46">
        <f t="shared" si="46"/>
        <v>0.10819037114764218</v>
      </c>
      <c r="AW46">
        <f t="shared" si="47"/>
        <v>-0.33297572416199961</v>
      </c>
      <c r="AX46">
        <f t="shared" si="46"/>
        <v>-0.28324606892001297</v>
      </c>
      <c r="AY46">
        <f t="shared" si="47"/>
        <v>-0.2057903149607189</v>
      </c>
      <c r="AZ46">
        <f t="shared" si="46"/>
        <v>-0.28324606892000531</v>
      </c>
      <c r="BA46">
        <f t="shared" si="47"/>
        <v>0.20579031496072941</v>
      </c>
      <c r="BB46">
        <f t="shared" si="46"/>
        <v>0.10819037114765931</v>
      </c>
      <c r="BC46">
        <f t="shared" si="47"/>
        <v>0.33297572416199406</v>
      </c>
      <c r="BD46">
        <f t="shared" si="48"/>
        <v>0.35011139554472176</v>
      </c>
      <c r="BE46">
        <f t="shared" si="49"/>
        <v>-1.1666518093635393E-14</v>
      </c>
      <c r="BF46">
        <f t="shared" si="48"/>
        <v>0.1081903711476371</v>
      </c>
      <c r="BG46">
        <f t="shared" si="49"/>
        <v>-0.33297572416200127</v>
      </c>
      <c r="BH46">
        <f t="shared" si="48"/>
        <v>-0.28324606892001608</v>
      </c>
      <c r="BI46">
        <f t="shared" si="49"/>
        <v>-0.20579031496071457</v>
      </c>
    </row>
    <row r="47" spans="1:61">
      <c r="A47" s="1">
        <v>45</v>
      </c>
      <c r="B47" s="2">
        <v>4473</v>
      </c>
      <c r="C47">
        <f t="shared" si="42"/>
        <v>8.405814603432848</v>
      </c>
      <c r="D47">
        <f t="shared" si="43"/>
        <v>5.1407879786014794</v>
      </c>
      <c r="H47">
        <f t="shared" si="50"/>
        <v>0.1269782393736909</v>
      </c>
      <c r="I47">
        <f t="shared" si="44"/>
        <v>-0.27804356037457356</v>
      </c>
      <c r="J47">
        <f t="shared" si="45"/>
        <v>-0.2001686516586195</v>
      </c>
      <c r="K47">
        <f t="shared" si="44"/>
        <v>-0.23100693849618831</v>
      </c>
      <c r="L47">
        <f t="shared" si="45"/>
        <v>-0.29328436543636166</v>
      </c>
      <c r="M47">
        <f t="shared" si="44"/>
        <v>8.6116059656733912E-2</v>
      </c>
      <c r="N47">
        <f t="shared" si="55"/>
        <v>-4.3500805303372712E-2</v>
      </c>
      <c r="O47">
        <f t="shared" si="56"/>
        <v>0.3025547465801347</v>
      </c>
      <c r="P47">
        <f t="shared" si="55"/>
        <v>0.25714259023497538</v>
      </c>
      <c r="Q47">
        <f t="shared" si="56"/>
        <v>0.16525550831200456</v>
      </c>
      <c r="R47">
        <f t="shared" si="55"/>
        <v>0.25714259023497443</v>
      </c>
      <c r="S47">
        <f t="shared" si="56"/>
        <v>-0.16525550831200606</v>
      </c>
      <c r="T47">
        <f t="shared" si="55"/>
        <v>-4.3500805303374454E-2</v>
      </c>
      <c r="U47">
        <f t="shared" si="56"/>
        <v>-0.30255474658013448</v>
      </c>
      <c r="V47">
        <f t="shared" si="55"/>
        <v>-0.29328436543636216</v>
      </c>
      <c r="W47">
        <f t="shared" si="56"/>
        <v>-8.6116059656732219E-2</v>
      </c>
      <c r="X47">
        <f t="shared" si="55"/>
        <v>-0.20016865165861858</v>
      </c>
      <c r="Y47">
        <f t="shared" si="56"/>
        <v>0.23100693849618908</v>
      </c>
      <c r="Z47">
        <f t="shared" si="55"/>
        <v>0.12697823937369176</v>
      </c>
      <c r="AA47">
        <f t="shared" si="56"/>
        <v>0.27804356037457317</v>
      </c>
      <c r="AB47">
        <f t="shared" si="55"/>
        <v>0.3056659855793763</v>
      </c>
      <c r="AC47">
        <f t="shared" si="56"/>
        <v>-6.7407517791124816E-16</v>
      </c>
      <c r="AD47">
        <f t="shared" si="55"/>
        <v>0.12697823937368857</v>
      </c>
      <c r="AE47">
        <f t="shared" si="56"/>
        <v>-0.27804356037457462</v>
      </c>
      <c r="AF47">
        <f t="shared" si="55"/>
        <v>-0.20016865165862122</v>
      </c>
      <c r="AG47">
        <f t="shared" si="56"/>
        <v>-0.23100693849618678</v>
      </c>
      <c r="AH47">
        <f t="shared" si="55"/>
        <v>-0.29328436543636116</v>
      </c>
      <c r="AI47">
        <f t="shared" si="56"/>
        <v>8.6116059656735591E-2</v>
      </c>
      <c r="AJ47">
        <f t="shared" si="55"/>
        <v>-4.3500805303370964E-2</v>
      </c>
      <c r="AK47">
        <f t="shared" si="56"/>
        <v>0.30255474658013498</v>
      </c>
      <c r="AL47">
        <f t="shared" si="55"/>
        <v>0.25714259023497638</v>
      </c>
      <c r="AM47">
        <f t="shared" si="56"/>
        <v>0.16525550831200309</v>
      </c>
      <c r="AN47">
        <f t="shared" si="55"/>
        <v>0.2571425902349741</v>
      </c>
      <c r="AO47">
        <f t="shared" si="56"/>
        <v>-0.16525550831200664</v>
      </c>
      <c r="AP47">
        <f t="shared" si="55"/>
        <v>-4.350080530337512E-2</v>
      </c>
      <c r="AQ47">
        <f t="shared" si="56"/>
        <v>-0.30255474658013437</v>
      </c>
      <c r="AR47">
        <f t="shared" si="55"/>
        <v>-0.29328436543636233</v>
      </c>
      <c r="AS47">
        <f t="shared" si="56"/>
        <v>-8.6116059656731581E-2</v>
      </c>
      <c r="AT47">
        <f t="shared" si="46"/>
        <v>-0.20016865165861808</v>
      </c>
      <c r="AU47">
        <f t="shared" si="47"/>
        <v>0.23100693849618953</v>
      </c>
      <c r="AV47">
        <f t="shared" si="46"/>
        <v>0.12697823937369238</v>
      </c>
      <c r="AW47">
        <f t="shared" si="47"/>
        <v>0.2780435603745729</v>
      </c>
      <c r="AX47">
        <f t="shared" si="46"/>
        <v>0.3056659855793763</v>
      </c>
      <c r="AY47">
        <f t="shared" si="47"/>
        <v>-1.3481503558224963E-15</v>
      </c>
      <c r="AZ47">
        <f t="shared" si="46"/>
        <v>0.12697823937368993</v>
      </c>
      <c r="BA47">
        <f t="shared" si="47"/>
        <v>-0.27804356037457401</v>
      </c>
      <c r="BB47">
        <f t="shared" si="46"/>
        <v>-0.20016865165862335</v>
      </c>
      <c r="BC47">
        <f t="shared" si="47"/>
        <v>-0.23100693849618495</v>
      </c>
      <c r="BD47">
        <f t="shared" si="48"/>
        <v>-0.29328436543636033</v>
      </c>
      <c r="BE47">
        <f t="shared" si="49"/>
        <v>8.6116059656738325E-2</v>
      </c>
      <c r="BF47">
        <f t="shared" si="48"/>
        <v>-4.3500805303368147E-2</v>
      </c>
      <c r="BG47">
        <f t="shared" si="49"/>
        <v>0.30255474658013537</v>
      </c>
      <c r="BH47">
        <f t="shared" si="48"/>
        <v>0.25714259023497793</v>
      </c>
      <c r="BI47">
        <f t="shared" si="49"/>
        <v>0.1652555083120007</v>
      </c>
    </row>
    <row r="48" spans="1:61">
      <c r="A48" s="1">
        <v>46</v>
      </c>
      <c r="B48" s="2">
        <v>5781</v>
      </c>
      <c r="C48">
        <f t="shared" si="42"/>
        <v>8.6623319570824755</v>
      </c>
      <c r="D48">
        <f t="shared" si="43"/>
        <v>5.2550277114592898</v>
      </c>
      <c r="H48">
        <f t="shared" si="50"/>
        <v>0.16266204489132532</v>
      </c>
      <c r="I48">
        <f t="shared" si="44"/>
        <v>-0.26974471167872471</v>
      </c>
      <c r="J48">
        <f t="shared" si="45"/>
        <v>-0.14699735517468729</v>
      </c>
      <c r="K48">
        <f t="shared" si="44"/>
        <v>-0.27859096880285383</v>
      </c>
      <c r="L48">
        <f t="shared" si="45"/>
        <v>-0.314480167051024</v>
      </c>
      <c r="M48">
        <f t="shared" si="44"/>
        <v>-1.7982626571940885E-2</v>
      </c>
      <c r="N48">
        <f t="shared" si="55"/>
        <v>-0.17779616482720334</v>
      </c>
      <c r="O48">
        <f t="shared" si="56"/>
        <v>0.26001860337215066</v>
      </c>
      <c r="P48">
        <f t="shared" si="55"/>
        <v>0.13085319063920312</v>
      </c>
      <c r="Q48">
        <f t="shared" si="56"/>
        <v>0.28652852009251401</v>
      </c>
      <c r="R48">
        <f t="shared" si="55"/>
        <v>0.31294067581409107</v>
      </c>
      <c r="S48">
        <f t="shared" si="56"/>
        <v>3.5906597553733884E-2</v>
      </c>
      <c r="T48">
        <f t="shared" si="55"/>
        <v>0.19235035062875136</v>
      </c>
      <c r="U48">
        <f t="shared" si="56"/>
        <v>-0.24944436842683429</v>
      </c>
      <c r="V48">
        <f t="shared" si="55"/>
        <v>-0.11428221019398781</v>
      </c>
      <c r="W48">
        <f t="shared" si="56"/>
        <v>-0.29353147490523573</v>
      </c>
      <c r="X48">
        <f t="shared" si="55"/>
        <v>-0.31038043713808278</v>
      </c>
      <c r="Y48">
        <f t="shared" si="56"/>
        <v>-5.3713448677575014E-2</v>
      </c>
      <c r="Z48">
        <f t="shared" si="55"/>
        <v>-0.20627712956700747</v>
      </c>
      <c r="AA48">
        <f t="shared" si="56"/>
        <v>0.23805649779928686</v>
      </c>
      <c r="AB48">
        <f t="shared" si="55"/>
        <v>9.7338464932936714E-2</v>
      </c>
      <c r="AC48">
        <f t="shared" si="56"/>
        <v>0.29957699105800045</v>
      </c>
      <c r="AD48">
        <f t="shared" si="55"/>
        <v>0.30680780198940921</v>
      </c>
      <c r="AE48">
        <f t="shared" si="56"/>
        <v>7.1345097696291132E-2</v>
      </c>
      <c r="AF48">
        <f t="shared" si="55"/>
        <v>0.21953107538378258</v>
      </c>
      <c r="AG48">
        <f t="shared" si="56"/>
        <v>-0.22589213635650493</v>
      </c>
      <c r="AH48">
        <f t="shared" si="55"/>
        <v>-8.0077221831295453E-2</v>
      </c>
      <c r="AI48">
        <f t="shared" si="56"/>
        <v>-0.30464534933369219</v>
      </c>
      <c r="AJ48">
        <f t="shared" si="55"/>
        <v>-0.30223442356134478</v>
      </c>
      <c r="AK48">
        <f t="shared" si="56"/>
        <v>-8.8744033835562564E-2</v>
      </c>
      <c r="AL48">
        <f t="shared" si="55"/>
        <v>-0.23206895646269177</v>
      </c>
      <c r="AM48">
        <f t="shared" si="56"/>
        <v>0.2129909617171187</v>
      </c>
      <c r="AN48">
        <f t="shared" si="55"/>
        <v>6.2554783476270789E-2</v>
      </c>
      <c r="AO48">
        <f t="shared" si="56"/>
        <v>0.30872001780108577</v>
      </c>
      <c r="AP48">
        <f t="shared" si="55"/>
        <v>0.29667521926373408</v>
      </c>
      <c r="AQ48">
        <f t="shared" si="56"/>
        <v>0.10585350538211355</v>
      </c>
      <c r="AR48">
        <f t="shared" si="55"/>
        <v>0.24384987684167925</v>
      </c>
      <c r="AS48">
        <f t="shared" si="56"/>
        <v>-0.19939505483126632</v>
      </c>
      <c r="AT48">
        <f t="shared" si="46"/>
        <v>-4.4828304419700336E-2</v>
      </c>
      <c r="AU48">
        <f t="shared" si="47"/>
        <v>-0.31178770573856907</v>
      </c>
      <c r="AV48">
        <f t="shared" si="46"/>
        <v>-0.29014832206550489</v>
      </c>
      <c r="AW48">
        <f t="shared" si="47"/>
        <v>-0.12261770479599544</v>
      </c>
      <c r="AX48">
        <f t="shared" si="46"/>
        <v>-0.25483540960715728</v>
      </c>
      <c r="AY48">
        <f t="shared" si="47"/>
        <v>0.18514876272127292</v>
      </c>
      <c r="AZ48">
        <f t="shared" si="46"/>
        <v>2.6955604751782158E-2</v>
      </c>
      <c r="BA48">
        <f t="shared" si="47"/>
        <v>0.31383840698571541</v>
      </c>
      <c r="BB48">
        <f t="shared" si="46"/>
        <v>0.28267502134868416</v>
      </c>
      <c r="BC48">
        <f t="shared" si="47"/>
        <v>0.13898195074320543</v>
      </c>
      <c r="BD48">
        <f t="shared" si="48"/>
        <v>0.2649897222346157</v>
      </c>
      <c r="BE48">
        <f t="shared" si="49"/>
        <v>-0.17029855383087389</v>
      </c>
      <c r="BF48">
        <f t="shared" si="48"/>
        <v>-8.9949815039473795E-3</v>
      </c>
      <c r="BG48">
        <f t="shared" si="49"/>
        <v>-0.31486543258130051</v>
      </c>
      <c r="BH48">
        <f t="shared" si="48"/>
        <v>-0.27427969346687142</v>
      </c>
      <c r="BI48">
        <f t="shared" si="49"/>
        <v>-0.15489286645480127</v>
      </c>
    </row>
    <row r="49" spans="1:61">
      <c r="A49" s="1">
        <v>47</v>
      </c>
      <c r="B49" s="2">
        <v>9117</v>
      </c>
      <c r="C49">
        <f t="shared" si="42"/>
        <v>9.1178960815849024</v>
      </c>
      <c r="D49">
        <f t="shared" si="43"/>
        <v>5.3692674443171011</v>
      </c>
      <c r="H49">
        <f t="shared" si="50"/>
        <v>0.20246632396203965</v>
      </c>
      <c r="I49">
        <f t="shared" si="44"/>
        <v>-0.26256299582156345</v>
      </c>
      <c r="J49">
        <f t="shared" si="45"/>
        <v>-8.4288594662175878E-2</v>
      </c>
      <c r="K49">
        <f t="shared" si="44"/>
        <v>-0.32066707333833228</v>
      </c>
      <c r="L49">
        <f t="shared" si="45"/>
        <v>-0.30540762717785708</v>
      </c>
      <c r="M49">
        <f t="shared" si="44"/>
        <v>-0.12906634098434422</v>
      </c>
      <c r="N49">
        <f t="shared" si="55"/>
        <v>-0.28870444525912148</v>
      </c>
      <c r="O49">
        <f t="shared" si="56"/>
        <v>0.16303889842954311</v>
      </c>
      <c r="P49">
        <f t="shared" si="55"/>
        <v>-4.7185887499759618E-2</v>
      </c>
      <c r="Q49">
        <f t="shared" si="56"/>
        <v>0.32818505623254079</v>
      </c>
      <c r="R49">
        <f t="shared" si="55"/>
        <v>0.23107652095823397</v>
      </c>
      <c r="S49">
        <f t="shared" si="56"/>
        <v>0.23777211900333228</v>
      </c>
      <c r="T49">
        <f t="shared" si="55"/>
        <v>0.32939866261311684</v>
      </c>
      <c r="U49">
        <f t="shared" si="56"/>
        <v>-3.779497562092065E-2</v>
      </c>
      <c r="V49">
        <f t="shared" si="55"/>
        <v>0.17121666880066466</v>
      </c>
      <c r="W49">
        <f t="shared" si="56"/>
        <v>-0.28393096245090893</v>
      </c>
      <c r="X49">
        <f t="shared" si="55"/>
        <v>-0.12029247109037848</v>
      </c>
      <c r="Y49">
        <f t="shared" si="56"/>
        <v>-0.30896870474607363</v>
      </c>
      <c r="Z49">
        <f t="shared" si="55"/>
        <v>-0.31812935361555866</v>
      </c>
      <c r="AA49">
        <f t="shared" si="56"/>
        <v>-9.3411206402887081E-2</v>
      </c>
      <c r="AB49">
        <f t="shared" si="55"/>
        <v>-0.26823755937988786</v>
      </c>
      <c r="AC49">
        <f t="shared" si="56"/>
        <v>0.19488599449785277</v>
      </c>
      <c r="AD49">
        <f t="shared" si="55"/>
        <v>-9.4680401322659088E-3</v>
      </c>
      <c r="AE49">
        <f t="shared" si="56"/>
        <v>0.33142464502440033</v>
      </c>
      <c r="AF49">
        <f t="shared" si="55"/>
        <v>0.25667428211774362</v>
      </c>
      <c r="AG49">
        <f t="shared" si="56"/>
        <v>0.20988151898830185</v>
      </c>
      <c r="AH49">
        <f t="shared" si="55"/>
        <v>0.32294325239656341</v>
      </c>
      <c r="AI49">
        <f t="shared" si="56"/>
        <v>-7.5097235934656781E-2</v>
      </c>
      <c r="AJ49">
        <f t="shared" si="55"/>
        <v>0.13773494251932439</v>
      </c>
      <c r="AK49">
        <f t="shared" si="56"/>
        <v>-0.30159745476826288</v>
      </c>
      <c r="AL49">
        <f t="shared" si="55"/>
        <v>-0.15472815119429423</v>
      </c>
      <c r="AM49">
        <f t="shared" si="56"/>
        <v>-0.29324245658071335</v>
      </c>
      <c r="AN49">
        <f t="shared" si="55"/>
        <v>-0.32670377741273932</v>
      </c>
      <c r="AO49">
        <f t="shared" si="56"/>
        <v>-5.6538313891937267E-2</v>
      </c>
      <c r="AP49">
        <f t="shared" si="55"/>
        <v>-0.24427378669766148</v>
      </c>
      <c r="AQ49">
        <f t="shared" si="56"/>
        <v>0.22419245358816459</v>
      </c>
      <c r="AR49">
        <f t="shared" si="55"/>
        <v>2.8373237617846093E-2</v>
      </c>
      <c r="AS49">
        <f t="shared" si="56"/>
        <v>0.33034360671969604</v>
      </c>
      <c r="AT49">
        <f t="shared" si="46"/>
        <v>0.27892590147712193</v>
      </c>
      <c r="AU49">
        <f t="shared" si="47"/>
        <v>0.17925479240084724</v>
      </c>
      <c r="AV49">
        <f t="shared" si="46"/>
        <v>0.31227778300696835</v>
      </c>
      <c r="AW49">
        <f t="shared" si="47"/>
        <v>-0.11142048893156395</v>
      </c>
      <c r="AX49">
        <f t="shared" si="46"/>
        <v>0.10245763062379772</v>
      </c>
      <c r="AY49">
        <f t="shared" si="47"/>
        <v>-0.3153321630288502</v>
      </c>
      <c r="AZ49">
        <f t="shared" si="46"/>
        <v>-0.18714671322118201</v>
      </c>
      <c r="BA49">
        <f t="shared" si="47"/>
        <v>-0.27369334453728428</v>
      </c>
      <c r="BB49">
        <f t="shared" si="46"/>
        <v>-0.33101911784231092</v>
      </c>
      <c r="BC49">
        <f t="shared" si="47"/>
        <v>-1.8928357995193962E-2</v>
      </c>
      <c r="BD49">
        <f t="shared" si="48"/>
        <v>-0.21712553163721579</v>
      </c>
      <c r="BE49">
        <f t="shared" si="49"/>
        <v>0.25057622118779022</v>
      </c>
      <c r="BF49">
        <f t="shared" si="48"/>
        <v>6.5844626824344221E-2</v>
      </c>
      <c r="BG49">
        <f t="shared" si="49"/>
        <v>0.32495603430596393</v>
      </c>
      <c r="BH49">
        <f t="shared" si="48"/>
        <v>0.29754129514856092</v>
      </c>
      <c r="BI49">
        <f t="shared" si="49"/>
        <v>0.14629120545956581</v>
      </c>
    </row>
    <row r="50" spans="1:61">
      <c r="A50" s="1">
        <v>48</v>
      </c>
      <c r="B50" s="2">
        <v>19267</v>
      </c>
      <c r="C50">
        <f t="shared" si="42"/>
        <v>9.8661490668807605</v>
      </c>
      <c r="D50">
        <f t="shared" si="43"/>
        <v>5.4835071771749115</v>
      </c>
      <c r="H50">
        <f t="shared" si="50"/>
        <v>0.25003963427863879</v>
      </c>
      <c r="I50">
        <f t="shared" si="44"/>
        <v>-0.25728470132193326</v>
      </c>
      <c r="J50">
        <f t="shared" si="45"/>
        <v>-1.0245027414255698E-2</v>
      </c>
      <c r="K50">
        <f t="shared" si="44"/>
        <v>-0.35862274838302299</v>
      </c>
      <c r="L50">
        <f t="shared" si="45"/>
        <v>-0.26431992327243498</v>
      </c>
      <c r="M50">
        <f t="shared" si="44"/>
        <v>-0.24259063132315301</v>
      </c>
      <c r="N50">
        <f t="shared" si="55"/>
        <v>-0.35818394193103359</v>
      </c>
      <c r="O50">
        <f t="shared" si="56"/>
        <v>2.0481698837201533E-2</v>
      </c>
      <c r="P50">
        <f t="shared" si="55"/>
        <v>-0.23494376796913116</v>
      </c>
      <c r="Q50">
        <f t="shared" si="56"/>
        <v>0.27113956210221135</v>
      </c>
      <c r="R50">
        <f t="shared" si="55"/>
        <v>3.0701665092793377E-2</v>
      </c>
      <c r="S50">
        <f t="shared" si="56"/>
        <v>0.35745299551835036</v>
      </c>
      <c r="T50">
        <f t="shared" si="55"/>
        <v>0.27773805561601389</v>
      </c>
      <c r="U50">
        <f t="shared" si="56"/>
        <v>0.22710528110800912</v>
      </c>
      <c r="V50">
        <f t="shared" si="55"/>
        <v>0.35643050531535175</v>
      </c>
      <c r="W50">
        <f t="shared" si="56"/>
        <v>-4.0896590629963731E-2</v>
      </c>
      <c r="X50">
        <f t="shared" si="55"/>
        <v>0.21908156392210518</v>
      </c>
      <c r="Y50">
        <f t="shared" si="56"/>
        <v>-0.28411002198788482</v>
      </c>
      <c r="Z50">
        <f t="shared" si="55"/>
        <v>-5.105816032121107E-2</v>
      </c>
      <c r="AA50">
        <f t="shared" si="56"/>
        <v>-0.35511730527971369</v>
      </c>
      <c r="AB50">
        <f t="shared" si="55"/>
        <v>-0.29025026415065736</v>
      </c>
      <c r="AC50">
        <f t="shared" si="56"/>
        <v>-0.21087916067024134</v>
      </c>
      <c r="AD50">
        <f t="shared" si="55"/>
        <v>-0.35351446647622159</v>
      </c>
      <c r="AE50">
        <f t="shared" si="56"/>
        <v>6.1178086244538993E-2</v>
      </c>
      <c r="AF50">
        <f t="shared" si="55"/>
        <v>-0.20250476135016607</v>
      </c>
      <c r="AG50">
        <f t="shared" si="56"/>
        <v>0.29615377403474724</v>
      </c>
      <c r="AH50">
        <f t="shared" si="55"/>
        <v>7.1248114443215549E-2</v>
      </c>
      <c r="AI50">
        <f t="shared" si="56"/>
        <v>0.35162329620319288</v>
      </c>
      <c r="AJ50">
        <f t="shared" si="55"/>
        <v>0.30181573665281958</v>
      </c>
      <c r="AK50">
        <f t="shared" si="56"/>
        <v>0.1939651962420777</v>
      </c>
      <c r="AL50">
        <f t="shared" si="55"/>
        <v>0.34944533692623031</v>
      </c>
      <c r="AM50">
        <f t="shared" si="56"/>
        <v>-8.1260031657791235E-2</v>
      </c>
      <c r="AN50">
        <f t="shared" si="55"/>
        <v>0.18526743033777518</v>
      </c>
      <c r="AO50">
        <f t="shared" si="56"/>
        <v>-0.30723153402694436</v>
      </c>
      <c r="AP50">
        <f t="shared" si="55"/>
        <v>-9.1205672024983697E-2</v>
      </c>
      <c r="AQ50">
        <f t="shared" si="56"/>
        <v>-0.34698236502015917</v>
      </c>
      <c r="AR50">
        <f t="shared" si="55"/>
        <v>-0.31239674895510655</v>
      </c>
      <c r="AS50">
        <f t="shared" si="56"/>
        <v>-0.17641855765987888</v>
      </c>
      <c r="AT50">
        <f t="shared" si="46"/>
        <v>-0.34423638932019246</v>
      </c>
      <c r="AU50">
        <f t="shared" si="47"/>
        <v>0.10107692373785788</v>
      </c>
      <c r="AV50">
        <f t="shared" si="46"/>
        <v>-0.16742579547587857</v>
      </c>
      <c r="AW50">
        <f t="shared" si="47"/>
        <v>0.31730716861391761</v>
      </c>
      <c r="AX50">
        <f t="shared" si="46"/>
        <v>0.1108657356619174</v>
      </c>
      <c r="AY50">
        <f t="shared" si="47"/>
        <v>0.34120964948350113</v>
      </c>
      <c r="AZ50">
        <f t="shared" si="46"/>
        <v>0.32195878799467331</v>
      </c>
      <c r="BA50">
        <f t="shared" si="47"/>
        <v>0.15829647841159594</v>
      </c>
      <c r="BB50">
        <f t="shared" si="46"/>
        <v>0.33790461416250911</v>
      </c>
      <c r="BC50">
        <f t="shared" si="47"/>
        <v>-0.12056412390175496</v>
      </c>
      <c r="BD50">
        <f t="shared" si="48"/>
        <v>0.14903805246897608</v>
      </c>
      <c r="BE50">
        <f t="shared" si="49"/>
        <v>-0.32634781316988565</v>
      </c>
      <c r="BF50">
        <f t="shared" si="48"/>
        <v>-0.1301641783128121</v>
      </c>
      <c r="BG50">
        <f t="shared" si="49"/>
        <v>-0.33432397899143029</v>
      </c>
      <c r="BH50">
        <f t="shared" si="48"/>
        <v>-0.3304706643876712</v>
      </c>
      <c r="BI50">
        <f t="shared" si="49"/>
        <v>-0.13965806895300775</v>
      </c>
    </row>
    <row r="51" spans="1:61">
      <c r="A51" s="1">
        <v>49</v>
      </c>
      <c r="B51" s="2">
        <v>36116</v>
      </c>
      <c r="C51">
        <f t="shared" si="42"/>
        <v>10.49449125942737</v>
      </c>
      <c r="D51">
        <f t="shared" si="43"/>
        <v>5.597746910032722</v>
      </c>
      <c r="H51">
        <f t="shared" si="50"/>
        <v>0.29542626786948634</v>
      </c>
      <c r="I51">
        <f t="shared" si="44"/>
        <v>-0.24156886049475879</v>
      </c>
      <c r="J51">
        <f t="shared" si="45"/>
        <v>7.5785669687976981E-2</v>
      </c>
      <c r="K51">
        <f t="shared" si="44"/>
        <v>-0.37401701348732058</v>
      </c>
      <c r="L51">
        <f t="shared" si="45"/>
        <v>-0.17808858707826233</v>
      </c>
      <c r="M51">
        <f t="shared" si="44"/>
        <v>-0.33751540596022855</v>
      </c>
      <c r="N51">
        <f t="shared" si="55"/>
        <v>-0.3515172409623859</v>
      </c>
      <c r="O51">
        <f t="shared" si="56"/>
        <v>-0.14855242648378936</v>
      </c>
      <c r="P51">
        <f t="shared" si="55"/>
        <v>-0.36615965909379311</v>
      </c>
      <c r="Q51">
        <f t="shared" si="56"/>
        <v>0.10751417655521947</v>
      </c>
      <c r="R51">
        <f t="shared" si="55"/>
        <v>-0.21540161552146658</v>
      </c>
      <c r="S51">
        <f t="shared" si="56"/>
        <v>0.31501482209377385</v>
      </c>
      <c r="T51">
        <f t="shared" si="55"/>
        <v>3.2656951945697579E-2</v>
      </c>
      <c r="U51">
        <f t="shared" si="56"/>
        <v>0.38021798694649639</v>
      </c>
      <c r="V51">
        <f t="shared" si="55"/>
        <v>0.26596382627707532</v>
      </c>
      <c r="W51">
        <f t="shared" si="56"/>
        <v>0.27367030752364674</v>
      </c>
      <c r="X51">
        <f t="shared" si="55"/>
        <v>0.37913037774603986</v>
      </c>
      <c r="Y51">
        <f t="shared" si="56"/>
        <v>4.350115835440245E-2</v>
      </c>
      <c r="Z51">
        <f t="shared" si="55"/>
        <v>0.32103737626397072</v>
      </c>
      <c r="AA51">
        <f t="shared" si="56"/>
        <v>-0.20631819393736306</v>
      </c>
      <c r="AB51">
        <f t="shared" si="55"/>
        <v>0.11792640532662937</v>
      </c>
      <c r="AC51">
        <f t="shared" si="56"/>
        <v>-0.36294015627203507</v>
      </c>
      <c r="AD51">
        <f t="shared" si="55"/>
        <v>-0.13845390155110057</v>
      </c>
      <c r="AE51">
        <f t="shared" si="56"/>
        <v>-0.35561596034670301</v>
      </c>
      <c r="AF51">
        <f t="shared" si="55"/>
        <v>-0.33229225801869783</v>
      </c>
      <c r="AG51">
        <f t="shared" si="56"/>
        <v>-0.18765406835148779</v>
      </c>
      <c r="AH51">
        <f t="shared" si="55"/>
        <v>-0.37602862609988436</v>
      </c>
      <c r="AI51">
        <f t="shared" si="56"/>
        <v>6.5074314913513176E-2</v>
      </c>
      <c r="AJ51">
        <f t="shared" si="55"/>
        <v>-0.24990655449203247</v>
      </c>
      <c r="AK51">
        <f t="shared" si="56"/>
        <v>0.28840753826824722</v>
      </c>
      <c r="AL51">
        <f t="shared" si="55"/>
        <v>-1.0897499107567946E-2</v>
      </c>
      <c r="AM51">
        <f t="shared" si="56"/>
        <v>0.38146223747735536</v>
      </c>
      <c r="AN51">
        <f t="shared" si="55"/>
        <v>0.23303413946989124</v>
      </c>
      <c r="AO51">
        <f t="shared" si="56"/>
        <v>0.3022040435691703</v>
      </c>
      <c r="AP51">
        <f t="shared" si="55"/>
        <v>0.37170034723379719</v>
      </c>
      <c r="AQ51">
        <f t="shared" si="56"/>
        <v>8.6435212583207674E-2</v>
      </c>
      <c r="AR51">
        <f t="shared" ref="N51:AR57" si="57">2/COUNT($A$3:$A$57)*$C51*COS($D51*AR$1)</f>
        <v>0.34246327149546374</v>
      </c>
      <c r="AS51">
        <f t="shared" ref="O51:AS57" si="58">2/55*$C51*SIN($D51*AS$1)</f>
        <v>-0.16837785419898307</v>
      </c>
      <c r="AT51">
        <f t="shared" si="46"/>
        <v>0.1585297899266582</v>
      </c>
      <c r="AU51">
        <f t="shared" si="47"/>
        <v>-0.34713181907430973</v>
      </c>
      <c r="AV51">
        <f t="shared" si="46"/>
        <v>-9.7014257679265956E-2</v>
      </c>
      <c r="AW51">
        <f t="shared" si="47"/>
        <v>-0.36908051684553966</v>
      </c>
      <c r="AX51">
        <f t="shared" si="46"/>
        <v>-0.3087353373162256</v>
      </c>
      <c r="AY51">
        <f t="shared" si="47"/>
        <v>-0.22430935245830941</v>
      </c>
      <c r="AZ51">
        <f t="shared" si="46"/>
        <v>-0.38099548490309659</v>
      </c>
      <c r="BA51">
        <f t="shared" si="47"/>
        <v>2.1786110058566857E-2</v>
      </c>
      <c r="BB51">
        <f t="shared" si="46"/>
        <v>-0.28115357934197871</v>
      </c>
      <c r="BC51">
        <f t="shared" si="47"/>
        <v>0.25804042111890801</v>
      </c>
      <c r="BD51">
        <f t="shared" si="48"/>
        <v>-5.4309884594389346E-2</v>
      </c>
      <c r="BE51">
        <f t="shared" si="49"/>
        <v>0.37773354437139123</v>
      </c>
      <c r="BF51">
        <f t="shared" si="48"/>
        <v>0.19706649627493197</v>
      </c>
      <c r="BG51">
        <f t="shared" si="49"/>
        <v>0.32679808774524971</v>
      </c>
      <c r="BH51">
        <f t="shared" si="48"/>
        <v>0.35942463425294324</v>
      </c>
      <c r="BI51">
        <f t="shared" si="49"/>
        <v>0.12824245163036957</v>
      </c>
    </row>
    <row r="52" spans="1:61">
      <c r="A52" s="1">
        <v>50</v>
      </c>
      <c r="B52" s="2">
        <v>58850</v>
      </c>
      <c r="C52">
        <f t="shared" si="42"/>
        <v>10.982747112688422</v>
      </c>
      <c r="D52">
        <f t="shared" si="43"/>
        <v>5.7119866428905333</v>
      </c>
      <c r="H52">
        <f t="shared" si="50"/>
        <v>0.33597362940874875</v>
      </c>
      <c r="I52">
        <f t="shared" si="44"/>
        <v>-0.21591714097861714</v>
      </c>
      <c r="J52">
        <f t="shared" si="45"/>
        <v>0.16590538307686886</v>
      </c>
      <c r="K52">
        <f t="shared" si="44"/>
        <v>-0.36328211529413978</v>
      </c>
      <c r="L52">
        <f t="shared" si="45"/>
        <v>-5.6836650150495958E-2</v>
      </c>
      <c r="M52">
        <f t="shared" si="44"/>
        <v>-0.39530758483254202</v>
      </c>
      <c r="N52">
        <f t="shared" si="57"/>
        <v>-0.26153344854365806</v>
      </c>
      <c r="O52">
        <f t="shared" si="58"/>
        <v>-0.30182568929653586</v>
      </c>
      <c r="P52">
        <f t="shared" si="57"/>
        <v>-0.38319522493125263</v>
      </c>
      <c r="Q52">
        <f t="shared" si="58"/>
        <v>-0.1125162700072925</v>
      </c>
      <c r="R52">
        <f t="shared" si="57"/>
        <v>-0.3831952249312528</v>
      </c>
      <c r="S52">
        <f t="shared" si="58"/>
        <v>0.11251627000729209</v>
      </c>
      <c r="T52">
        <f t="shared" si="57"/>
        <v>-0.26153344854365734</v>
      </c>
      <c r="U52">
        <f t="shared" si="58"/>
        <v>0.30182568929653653</v>
      </c>
      <c r="V52">
        <f t="shared" si="57"/>
        <v>-5.6836650150496389E-2</v>
      </c>
      <c r="W52">
        <f t="shared" si="58"/>
        <v>0.39530758483254191</v>
      </c>
      <c r="X52">
        <f t="shared" si="57"/>
        <v>0.16590538307686717</v>
      </c>
      <c r="Y52">
        <f t="shared" si="58"/>
        <v>0.36328211529414056</v>
      </c>
      <c r="Z52">
        <f t="shared" si="57"/>
        <v>0.33597362940874853</v>
      </c>
      <c r="AA52">
        <f t="shared" si="58"/>
        <v>0.21591714097861753</v>
      </c>
      <c r="AB52">
        <f t="shared" si="57"/>
        <v>0.39937262227957898</v>
      </c>
      <c r="AC52">
        <f t="shared" si="58"/>
        <v>-9.7858150223726016E-16</v>
      </c>
      <c r="AD52">
        <f t="shared" si="57"/>
        <v>0.33597362940874897</v>
      </c>
      <c r="AE52">
        <f t="shared" si="58"/>
        <v>-0.21591714097861678</v>
      </c>
      <c r="AF52">
        <f t="shared" si="57"/>
        <v>0.16590538307687053</v>
      </c>
      <c r="AG52">
        <f t="shared" si="58"/>
        <v>-0.36328211529413901</v>
      </c>
      <c r="AH52">
        <f t="shared" si="57"/>
        <v>-5.6836650150498332E-2</v>
      </c>
      <c r="AI52">
        <f t="shared" si="58"/>
        <v>-0.39530758483254164</v>
      </c>
      <c r="AJ52">
        <f t="shared" si="57"/>
        <v>-0.26153344854365884</v>
      </c>
      <c r="AK52">
        <f t="shared" si="58"/>
        <v>-0.30182568929653525</v>
      </c>
      <c r="AL52">
        <f t="shared" si="57"/>
        <v>-0.38319522493125252</v>
      </c>
      <c r="AM52">
        <f t="shared" si="58"/>
        <v>-0.11251627000729293</v>
      </c>
      <c r="AN52">
        <f t="shared" si="57"/>
        <v>-0.3831952249312533</v>
      </c>
      <c r="AO52">
        <f t="shared" si="58"/>
        <v>0.11251627000729031</v>
      </c>
      <c r="AP52">
        <f t="shared" si="57"/>
        <v>-0.2615334485436609</v>
      </c>
      <c r="AQ52">
        <f t="shared" si="58"/>
        <v>0.30182568929653347</v>
      </c>
      <c r="AR52">
        <f t="shared" si="57"/>
        <v>-5.6836650150495424E-2</v>
      </c>
      <c r="AS52">
        <f t="shared" si="58"/>
        <v>0.39530758483254208</v>
      </c>
      <c r="AT52">
        <f t="shared" si="46"/>
        <v>0.16590538307686806</v>
      </c>
      <c r="AU52">
        <f t="shared" si="47"/>
        <v>0.36328211529414017</v>
      </c>
      <c r="AV52">
        <f t="shared" si="46"/>
        <v>0.33597362940874748</v>
      </c>
      <c r="AW52">
        <f t="shared" si="47"/>
        <v>0.21591714097861908</v>
      </c>
      <c r="AX52">
        <f t="shared" si="46"/>
        <v>0.39937262227957898</v>
      </c>
      <c r="AY52">
        <f t="shared" si="47"/>
        <v>-1.9571630044745203E-15</v>
      </c>
      <c r="AZ52">
        <f t="shared" si="46"/>
        <v>0.33597362940874848</v>
      </c>
      <c r="BA52">
        <f t="shared" si="47"/>
        <v>-0.21591714097861761</v>
      </c>
      <c r="BB52">
        <f t="shared" si="46"/>
        <v>0.16590538307686964</v>
      </c>
      <c r="BC52">
        <f t="shared" si="47"/>
        <v>-0.3632821152941394</v>
      </c>
      <c r="BD52">
        <f t="shared" si="48"/>
        <v>-5.6836650150493682E-2</v>
      </c>
      <c r="BE52">
        <f t="shared" si="49"/>
        <v>-0.3953075848325423</v>
      </c>
      <c r="BF52">
        <f t="shared" si="48"/>
        <v>-0.26153344854365529</v>
      </c>
      <c r="BG52">
        <f t="shared" si="49"/>
        <v>-0.3018256892965383</v>
      </c>
      <c r="BH52">
        <f t="shared" si="48"/>
        <v>-0.38319522493125119</v>
      </c>
      <c r="BI52">
        <f t="shared" si="49"/>
        <v>-0.11251627000729743</v>
      </c>
    </row>
    <row r="53" spans="1:61">
      <c r="A53" s="1">
        <v>51</v>
      </c>
      <c r="B53" s="2">
        <v>61478</v>
      </c>
      <c r="C53">
        <f t="shared" si="42"/>
        <v>11.026434666219032</v>
      </c>
      <c r="D53">
        <f t="shared" si="43"/>
        <v>5.8262263757483437</v>
      </c>
      <c r="H53">
        <f t="shared" si="50"/>
        <v>0.35982200521937752</v>
      </c>
      <c r="I53">
        <f t="shared" si="44"/>
        <v>-0.17691256895329432</v>
      </c>
      <c r="J53">
        <f t="shared" si="45"/>
        <v>0.24484614359510323</v>
      </c>
      <c r="K53">
        <f t="shared" si="44"/>
        <v>-0.31752212278887587</v>
      </c>
      <c r="L53">
        <f t="shared" si="45"/>
        <v>7.9627083847390839E-2</v>
      </c>
      <c r="M53">
        <f t="shared" si="44"/>
        <v>-0.39297513917766919</v>
      </c>
      <c r="N53">
        <f t="shared" si="57"/>
        <v>-0.10193170374325548</v>
      </c>
      <c r="O53">
        <f t="shared" si="58"/>
        <v>-0.38778842203674035</v>
      </c>
      <c r="P53">
        <f t="shared" si="57"/>
        <v>-0.26257378539345194</v>
      </c>
      <c r="Q53">
        <f t="shared" si="58"/>
        <v>-0.30302630202327535</v>
      </c>
      <c r="R53">
        <f t="shared" si="57"/>
        <v>-0.36933490111199668</v>
      </c>
      <c r="S53">
        <f t="shared" si="58"/>
        <v>-0.15608223253893916</v>
      </c>
      <c r="T53">
        <f t="shared" si="57"/>
        <v>-0.40030733444411543</v>
      </c>
      <c r="U53">
        <f t="shared" si="58"/>
        <v>2.2890401569106492E-2</v>
      </c>
      <c r="V53">
        <f t="shared" si="57"/>
        <v>-0.34913544473555402</v>
      </c>
      <c r="W53">
        <f t="shared" si="58"/>
        <v>0.19716585333940248</v>
      </c>
      <c r="X53">
        <f t="shared" si="57"/>
        <v>-0.22631986456817321</v>
      </c>
      <c r="Y53">
        <f t="shared" si="58"/>
        <v>0.33098225238763423</v>
      </c>
      <c r="Z53">
        <f t="shared" si="57"/>
        <v>-5.706273695468763E-2</v>
      </c>
      <c r="AA53">
        <f t="shared" si="58"/>
        <v>0.39688005309537538</v>
      </c>
      <c r="AB53">
        <f t="shared" si="57"/>
        <v>0.12390384360824305</v>
      </c>
      <c r="AC53">
        <f t="shared" si="58"/>
        <v>0.38133681966583283</v>
      </c>
      <c r="AD53">
        <f t="shared" si="57"/>
        <v>0.27944496608040642</v>
      </c>
      <c r="AE53">
        <f t="shared" si="58"/>
        <v>0.28754207244517865</v>
      </c>
      <c r="AF53">
        <f t="shared" si="57"/>
        <v>0.37764310332428591</v>
      </c>
      <c r="AG53">
        <f t="shared" si="58"/>
        <v>0.13474278832409015</v>
      </c>
      <c r="AH53">
        <f t="shared" si="57"/>
        <v>0.39834768897827999</v>
      </c>
      <c r="AI53">
        <f t="shared" si="58"/>
        <v>-4.5706139406116522E-2</v>
      </c>
      <c r="AJ53">
        <f t="shared" si="57"/>
        <v>0.33731007699959731</v>
      </c>
      <c r="AK53">
        <f t="shared" si="58"/>
        <v>-0.21677602369328941</v>
      </c>
      <c r="AL53">
        <f t="shared" si="57"/>
        <v>0.20705537718412148</v>
      </c>
      <c r="AM53">
        <f t="shared" si="58"/>
        <v>-0.34336278667451581</v>
      </c>
      <c r="AN53">
        <f t="shared" si="57"/>
        <v>3.431226327465773E-2</v>
      </c>
      <c r="AO53">
        <f t="shared" si="58"/>
        <v>-0.39949042677230506</v>
      </c>
      <c r="AP53">
        <f t="shared" si="57"/>
        <v>-0.14547183488908255</v>
      </c>
      <c r="AQ53">
        <f t="shared" si="58"/>
        <v>-0.37364137585089713</v>
      </c>
      <c r="AR53">
        <f t="shared" si="57"/>
        <v>-0.29540465537127542</v>
      </c>
      <c r="AS53">
        <f t="shared" si="58"/>
        <v>-0.27111994039304055</v>
      </c>
      <c r="AT53">
        <f t="shared" si="46"/>
        <v>-0.38471951222750822</v>
      </c>
      <c r="AU53">
        <f t="shared" si="47"/>
        <v>-0.11296384114032257</v>
      </c>
      <c r="AV53">
        <f t="shared" si="46"/>
        <v>-0.39508871614846847</v>
      </c>
      <c r="AW53">
        <f t="shared" si="47"/>
        <v>6.8372793316514302E-2</v>
      </c>
      <c r="AX53">
        <f t="shared" si="46"/>
        <v>-0.32438447390313846</v>
      </c>
      <c r="AY53">
        <f t="shared" si="47"/>
        <v>0.23567911571527067</v>
      </c>
      <c r="AZ53">
        <f t="shared" si="46"/>
        <v>-0.18711551819662056</v>
      </c>
      <c r="BA53">
        <f t="shared" si="47"/>
        <v>0.35462334292000297</v>
      </c>
      <c r="BB53">
        <f t="shared" si="46"/>
        <v>-1.1449870123702067E-2</v>
      </c>
      <c r="BC53">
        <f t="shared" si="47"/>
        <v>0.40079774571209631</v>
      </c>
      <c r="BD53">
        <f t="shared" si="48"/>
        <v>0.16656532728115978</v>
      </c>
      <c r="BE53">
        <f t="shared" si="49"/>
        <v>0.36472719153014627</v>
      </c>
      <c r="BF53">
        <f t="shared" si="48"/>
        <v>0.31040079607685195</v>
      </c>
      <c r="BG53">
        <f t="shared" si="49"/>
        <v>0.25381347144823585</v>
      </c>
      <c r="BH53">
        <f t="shared" si="48"/>
        <v>0.39054104604666884</v>
      </c>
      <c r="BI53">
        <f t="shared" si="49"/>
        <v>9.0816429386546257E-2</v>
      </c>
    </row>
    <row r="54" spans="1:61">
      <c r="A54" s="1">
        <v>52</v>
      </c>
      <c r="B54" s="2">
        <v>36300</v>
      </c>
      <c r="C54">
        <f t="shared" si="42"/>
        <v>10.499573020252942</v>
      </c>
      <c r="D54">
        <f t="shared" si="43"/>
        <v>5.940466108606155</v>
      </c>
      <c r="H54">
        <f t="shared" si="50"/>
        <v>0.35959867889988567</v>
      </c>
      <c r="I54">
        <f t="shared" si="44"/>
        <v>-0.12830455063553081</v>
      </c>
      <c r="J54">
        <f t="shared" si="45"/>
        <v>0.29556932250622814</v>
      </c>
      <c r="K54">
        <f t="shared" si="44"/>
        <v>-0.24168583569075341</v>
      </c>
      <c r="L54">
        <f t="shared" si="45"/>
        <v>0.19716192203460192</v>
      </c>
      <c r="M54">
        <f t="shared" si="44"/>
        <v>-0.32695633359815823</v>
      </c>
      <c r="N54">
        <f t="shared" si="57"/>
        <v>7.5822367479022948E-2</v>
      </c>
      <c r="O54">
        <f t="shared" si="58"/>
        <v>-0.37419812422058524</v>
      </c>
      <c r="P54">
        <f t="shared" si="57"/>
        <v>-5.4336183138756745E-2</v>
      </c>
      <c r="Q54">
        <f t="shared" si="58"/>
        <v>-0.37791645476512403</v>
      </c>
      <c r="R54">
        <f t="shared" si="57"/>
        <v>-0.17817482314087021</v>
      </c>
      <c r="S54">
        <f t="shared" si="58"/>
        <v>-0.33767884147374139</v>
      </c>
      <c r="T54">
        <f t="shared" si="57"/>
        <v>-0.28128972269663671</v>
      </c>
      <c r="U54">
        <f t="shared" si="58"/>
        <v>-0.25816537235961329</v>
      </c>
      <c r="V54">
        <f t="shared" si="57"/>
        <v>-0.3516874566022361</v>
      </c>
      <c r="W54">
        <f t="shared" si="58"/>
        <v>-0.14862436021385875</v>
      </c>
      <c r="X54">
        <f t="shared" si="57"/>
        <v>-0.38117997483043481</v>
      </c>
      <c r="Y54">
        <f t="shared" si="58"/>
        <v>-2.1796659574293109E-2</v>
      </c>
      <c r="Z54">
        <f t="shared" si="57"/>
        <v>-0.36633696505036595</v>
      </c>
      <c r="AA54">
        <f t="shared" si="58"/>
        <v>0.1075662382814213</v>
      </c>
      <c r="AB54">
        <f t="shared" si="57"/>
        <v>-0.30888483662055988</v>
      </c>
      <c r="AC54">
        <f t="shared" si="58"/>
        <v>0.22441797006081893</v>
      </c>
      <c r="AD54">
        <f t="shared" si="57"/>
        <v>-0.21550591971921007</v>
      </c>
      <c r="AE54">
        <f t="shared" si="58"/>
        <v>0.31516736212099428</v>
      </c>
      <c r="AF54">
        <f t="shared" si="57"/>
        <v>-9.706123501642383E-2</v>
      </c>
      <c r="AG54">
        <f t="shared" si="58"/>
        <v>0.36925923717276876</v>
      </c>
      <c r="AH54">
        <f t="shared" si="57"/>
        <v>3.2672765462989604E-2</v>
      </c>
      <c r="AI54">
        <f t="shared" si="58"/>
        <v>0.38040210038501238</v>
      </c>
      <c r="AJ54">
        <f t="shared" si="57"/>
        <v>0.15860655500809465</v>
      </c>
      <c r="AK54">
        <f t="shared" si="58"/>
        <v>0.34729991115575143</v>
      </c>
      <c r="AL54">
        <f t="shared" si="57"/>
        <v>0.26609261427831787</v>
      </c>
      <c r="AM54">
        <f t="shared" si="58"/>
        <v>0.27380282724409349</v>
      </c>
      <c r="AN54">
        <f t="shared" si="57"/>
        <v>0.34262910292018584</v>
      </c>
      <c r="AO54">
        <f t="shared" si="58"/>
        <v>0.1684593880210814</v>
      </c>
      <c r="AP54">
        <f t="shared" si="57"/>
        <v>0.37931396453017113</v>
      </c>
      <c r="AQ54">
        <f t="shared" si="58"/>
        <v>4.3522222975540072E-2</v>
      </c>
      <c r="AR54">
        <f t="shared" si="57"/>
        <v>0.37188033616482163</v>
      </c>
      <c r="AS54">
        <f t="shared" si="58"/>
        <v>-8.6477067215926323E-2</v>
      </c>
      <c r="AT54">
        <f t="shared" si="46"/>
        <v>0.32119283260024795</v>
      </c>
      <c r="AU54">
        <f t="shared" si="47"/>
        <v>-0.20641809965833341</v>
      </c>
      <c r="AV54">
        <f t="shared" si="46"/>
        <v>0.23314698188708896</v>
      </c>
      <c r="AW54">
        <f t="shared" si="47"/>
        <v>-0.30235038021684374</v>
      </c>
      <c r="AX54">
        <f t="shared" si="46"/>
        <v>0.11798350897960312</v>
      </c>
      <c r="AY54">
        <f t="shared" si="47"/>
        <v>-0.36311590324466436</v>
      </c>
      <c r="AZ54">
        <f t="shared" si="46"/>
        <v>-1.0902776017398816E-2</v>
      </c>
      <c r="BA54">
        <f t="shared" si="47"/>
        <v>-0.38164695342088478</v>
      </c>
      <c r="BB54">
        <f t="shared" si="46"/>
        <v>-0.13852094525961536</v>
      </c>
      <c r="BC54">
        <f t="shared" si="47"/>
        <v>-0.35578816071464664</v>
      </c>
      <c r="BD54">
        <f t="shared" si="48"/>
        <v>-0.25002756706017737</v>
      </c>
      <c r="BE54">
        <f t="shared" si="49"/>
        <v>-0.28854719421664293</v>
      </c>
      <c r="BF54">
        <f t="shared" si="48"/>
        <v>-0.33245316432064814</v>
      </c>
      <c r="BG54">
        <f t="shared" si="49"/>
        <v>-0.18774493631924319</v>
      </c>
      <c r="BH54">
        <f t="shared" si="48"/>
        <v>-0.37621071091887809</v>
      </c>
      <c r="BI54">
        <f t="shared" si="49"/>
        <v>-6.5105825931639064E-2</v>
      </c>
    </row>
    <row r="55" spans="1:61">
      <c r="A55" s="1">
        <v>53</v>
      </c>
      <c r="B55" s="2">
        <v>9704</v>
      </c>
      <c r="C55">
        <f t="shared" si="42"/>
        <v>9.1802934506238856</v>
      </c>
      <c r="D55">
        <f t="shared" si="43"/>
        <v>6.0547058414639654</v>
      </c>
      <c r="H55">
        <f t="shared" si="50"/>
        <v>0.32515328079764799</v>
      </c>
      <c r="I55">
        <f t="shared" si="44"/>
        <v>-7.5611156021317225E-2</v>
      </c>
      <c r="J55">
        <f t="shared" si="45"/>
        <v>0.29957748790965255</v>
      </c>
      <c r="K55">
        <f t="shared" si="44"/>
        <v>-0.14729233403709813</v>
      </c>
      <c r="L55">
        <f t="shared" si="45"/>
        <v>0.25843080574565119</v>
      </c>
      <c r="M55">
        <f t="shared" si="44"/>
        <v>-0.21131782123145124</v>
      </c>
      <c r="N55">
        <f t="shared" si="57"/>
        <v>0.20385188109289387</v>
      </c>
      <c r="O55">
        <f t="shared" si="58"/>
        <v>-0.26435981824634913</v>
      </c>
      <c r="P55">
        <f t="shared" si="57"/>
        <v>0.13867751720552907</v>
      </c>
      <c r="Q55">
        <f t="shared" si="58"/>
        <v>-0.30366140543385534</v>
      </c>
      <c r="R55">
        <f t="shared" si="57"/>
        <v>6.6295227647429941E-2</v>
      </c>
      <c r="S55">
        <f t="shared" si="58"/>
        <v>-0.32717983696971542</v>
      </c>
      <c r="T55">
        <f t="shared" si="57"/>
        <v>-9.5328336755280164E-3</v>
      </c>
      <c r="U55">
        <f t="shared" si="58"/>
        <v>-0.33369271494965069</v>
      </c>
      <c r="V55">
        <f t="shared" si="57"/>
        <v>-8.4865414851816881E-2</v>
      </c>
      <c r="W55">
        <f t="shared" si="58"/>
        <v>-0.32286152494588621</v>
      </c>
      <c r="X55">
        <f t="shared" si="57"/>
        <v>-0.15578701712832102</v>
      </c>
      <c r="Y55">
        <f t="shared" si="58"/>
        <v>-0.29524923068928444</v>
      </c>
      <c r="Z55">
        <f t="shared" si="57"/>
        <v>-0.2186114075239512</v>
      </c>
      <c r="AA55">
        <f t="shared" si="58"/>
        <v>-0.25229101337295196</v>
      </c>
      <c r="AB55">
        <f t="shared" si="57"/>
        <v>-0.27007321508740822</v>
      </c>
      <c r="AC55">
        <f t="shared" si="58"/>
        <v>-0.19621967643614299</v>
      </c>
      <c r="AD55">
        <f t="shared" si="57"/>
        <v>-0.30749765236018073</v>
      </c>
      <c r="AE55">
        <f t="shared" si="58"/>
        <v>-0.12994959300179265</v>
      </c>
      <c r="AF55">
        <f t="shared" si="57"/>
        <v>-0.32893954057380714</v>
      </c>
      <c r="AG55">
        <f t="shared" si="58"/>
        <v>-5.6925227934956864E-2</v>
      </c>
      <c r="AH55">
        <f t="shared" si="57"/>
        <v>-0.33328441258466701</v>
      </c>
      <c r="AI55">
        <f t="shared" si="58"/>
        <v>1.9057892235174914E-2</v>
      </c>
      <c r="AJ55">
        <f t="shared" si="57"/>
        <v>-0.3203064386033746</v>
      </c>
      <c r="AK55">
        <f t="shared" si="58"/>
        <v>9.4050456232687721E-2</v>
      </c>
      <c r="AL55">
        <f t="shared" si="57"/>
        <v>-0.2906801639614236</v>
      </c>
      <c r="AM55">
        <f t="shared" si="58"/>
        <v>0.164154638093823</v>
      </c>
      <c r="AN55">
        <f t="shared" si="57"/>
        <v>-0.2459454488309821</v>
      </c>
      <c r="AO55">
        <f t="shared" si="58"/>
        <v>0.22572669121679179</v>
      </c>
      <c r="AP55">
        <f t="shared" si="57"/>
        <v>-0.18842743219678806</v>
      </c>
      <c r="AQ55">
        <f t="shared" si="58"/>
        <v>0.27556633634041539</v>
      </c>
      <c r="AR55">
        <f t="shared" si="57"/>
        <v>-0.12111568004605182</v>
      </c>
      <c r="AS55">
        <f t="shared" si="58"/>
        <v>0.31108309979061305</v>
      </c>
      <c r="AT55">
        <f t="shared" ref="AT55:AT57" si="59">2/COUNT($A$3:$A$57)*$C55*COS($D55*AT$1)</f>
        <v>-4.7508799190066092E-2</v>
      </c>
      <c r="AU55">
        <f t="shared" ref="AU55:AU57" si="60">2/55*$C55*SIN($D55*AU$1)</f>
        <v>0.33043095637042252</v>
      </c>
      <c r="AV55">
        <f t="shared" ref="AV55:BB57" si="61">2/COUNT($A$3:$A$57)*$C55*COS($D55*AV$1)</f>
        <v>2.8567406904557977E-2</v>
      </c>
      <c r="AW55">
        <f t="shared" ref="AW55:BC57" si="62">2/55*$C55*SIN($D55*AW$1)</f>
        <v>0.33260427867227371</v>
      </c>
      <c r="AX55">
        <f t="shared" si="61"/>
        <v>0.10315878871242651</v>
      </c>
      <c r="AY55">
        <f t="shared" si="62"/>
        <v>0.31749010573518516</v>
      </c>
      <c r="AZ55">
        <f t="shared" si="61"/>
        <v>0.17238837218192166</v>
      </c>
      <c r="BA55">
        <f t="shared" si="62"/>
        <v>0.28587401432243076</v>
      </c>
      <c r="BB55">
        <f t="shared" si="61"/>
        <v>0.23265786898253787</v>
      </c>
      <c r="BC55">
        <f t="shared" si="62"/>
        <v>0.23939928765319737</v>
      </c>
      <c r="BD55">
        <f t="shared" si="48"/>
        <v>0.28083470173688402</v>
      </c>
      <c r="BE55">
        <f t="shared" si="49"/>
        <v>0.18048150384100164</v>
      </c>
      <c r="BF55">
        <f t="shared" si="48"/>
        <v>0.3144148233827978</v>
      </c>
      <c r="BG55">
        <f t="shared" si="49"/>
        <v>0.11218298340442796</v>
      </c>
      <c r="BH55">
        <f t="shared" si="48"/>
        <v>0.33165286793944498</v>
      </c>
      <c r="BI55">
        <f t="shared" si="49"/>
        <v>3.8053621587112368E-2</v>
      </c>
    </row>
    <row r="56" spans="1:61">
      <c r="A56" s="1">
        <v>54</v>
      </c>
      <c r="B56" s="2">
        <v>3410</v>
      </c>
      <c r="C56">
        <f t="shared" si="42"/>
        <v>8.1344675702775628</v>
      </c>
      <c r="D56">
        <f t="shared" si="43"/>
        <v>6.1689455743217749</v>
      </c>
      <c r="H56">
        <f t="shared" si="50"/>
        <v>0.293870725740213</v>
      </c>
      <c r="I56">
        <f t="shared" si="44"/>
        <v>-3.3718524619811882E-2</v>
      </c>
      <c r="J56">
        <f t="shared" si="45"/>
        <v>0.28811157641568336</v>
      </c>
      <c r="K56">
        <f t="shared" si="44"/>
        <v>-6.6997476705367043E-2</v>
      </c>
      <c r="L56">
        <f t="shared" si="45"/>
        <v>0.278596452082706</v>
      </c>
      <c r="M56">
        <f t="shared" si="44"/>
        <v>-9.9403014222632355E-2</v>
      </c>
      <c r="N56">
        <f t="shared" si="57"/>
        <v>0.26544939693846853</v>
      </c>
      <c r="O56">
        <f t="shared" si="58"/>
        <v>-0.13051268143218775</v>
      </c>
      <c r="P56">
        <f t="shared" si="57"/>
        <v>0.24884180295260561</v>
      </c>
      <c r="Q56">
        <f t="shared" si="58"/>
        <v>-0.15992091624585239</v>
      </c>
      <c r="R56">
        <f t="shared" si="57"/>
        <v>0.22899017551076467</v>
      </c>
      <c r="S56">
        <f t="shared" si="58"/>
        <v>-0.18724433734873139</v>
      </c>
      <c r="T56">
        <f t="shared" si="57"/>
        <v>0.20615331093580147</v>
      </c>
      <c r="U56">
        <f t="shared" si="58"/>
        <v>-0.21212674216096158</v>
      </c>
      <c r="V56">
        <f t="shared" si="57"/>
        <v>0.1806289226819339</v>
      </c>
      <c r="W56">
        <f t="shared" si="58"/>
        <v>-0.2342437504830818</v>
      </c>
      <c r="X56">
        <f t="shared" si="57"/>
        <v>0.15274976018457206</v>
      </c>
      <c r="Y56">
        <f t="shared" si="58"/>
        <v>-0.25330703328800813</v>
      </c>
      <c r="Z56">
        <f t="shared" si="57"/>
        <v>0.12287927096255315</v>
      </c>
      <c r="AA56">
        <f t="shared" si="58"/>
        <v>-0.26906807153084472</v>
      </c>
      <c r="AB56">
        <f t="shared" si="57"/>
        <v>9.1406862523909949E-2</v>
      </c>
      <c r="AC56">
        <f t="shared" si="58"/>
        <v>-0.28132139597469541</v>
      </c>
      <c r="AD56">
        <f t="shared" si="57"/>
        <v>5.8742825843491622E-2</v>
      </c>
      <c r="AE56">
        <f t="shared" si="58"/>
        <v>-0.28990726579638798</v>
      </c>
      <c r="AF56">
        <f t="shared" si="57"/>
        <v>2.5312986592629583E-2</v>
      </c>
      <c r="AG56">
        <f t="shared" si="58"/>
        <v>-0.29471375105240288</v>
      </c>
      <c r="AH56">
        <f t="shared" si="57"/>
        <v>-8.4468461496953438E-3</v>
      </c>
      <c r="AI56">
        <f t="shared" si="58"/>
        <v>-0.29567819185685595</v>
      </c>
      <c r="AJ56">
        <f t="shared" si="57"/>
        <v>-4.2096561334672669E-2</v>
      </c>
      <c r="AK56">
        <f t="shared" si="58"/>
        <v>-0.29278801524893822</v>
      </c>
      <c r="AL56">
        <f t="shared" si="57"/>
        <v>-7.5197483464255074E-2</v>
      </c>
      <c r="AM56">
        <f t="shared" si="58"/>
        <v>-0.2860808991006904</v>
      </c>
      <c r="AN56">
        <f t="shared" si="57"/>
        <v>-0.10731809139715152</v>
      </c>
      <c r="AO56">
        <f t="shared" si="58"/>
        <v>-0.27564428092831705</v>
      </c>
      <c r="AP56">
        <f t="shared" si="57"/>
        <v>-0.13803964388682163</v>
      </c>
      <c r="AQ56">
        <f t="shared" si="58"/>
        <v>-0.26161421801044338</v>
      </c>
      <c r="AR56">
        <f t="shared" si="57"/>
        <v>-0.16696163851399909</v>
      </c>
      <c r="AS56">
        <f t="shared" si="58"/>
        <v>-0.24417361367342097</v>
      </c>
      <c r="AT56">
        <f t="shared" si="59"/>
        <v>-0.19370703284822519</v>
      </c>
      <c r="AU56">
        <f t="shared" si="60"/>
        <v>-0.22354983286675242</v>
      </c>
      <c r="AV56">
        <f t="shared" si="61"/>
        <v>-0.21792715977254798</v>
      </c>
      <c r="AW56">
        <f t="shared" si="62"/>
        <v>-0.20001173811325842</v>
      </c>
      <c r="AX56">
        <f t="shared" si="61"/>
        <v>-0.23930627289260348</v>
      </c>
      <c r="AY56">
        <f t="shared" si="62"/>
        <v>-0.17386618447492058</v>
      </c>
      <c r="AZ56">
        <f t="shared" si="61"/>
        <v>-0.25756566277372156</v>
      </c>
      <c r="BA56">
        <f t="shared" si="62"/>
        <v>-0.14545401922789852</v>
      </c>
      <c r="BB56">
        <f t="shared" si="61"/>
        <v>-0.27246729034466965</v>
      </c>
      <c r="BC56">
        <f t="shared" si="62"/>
        <v>-0.11514563839698766</v>
      </c>
      <c r="BD56">
        <f t="shared" si="48"/>
        <v>-0.28381689010095812</v>
      </c>
      <c r="BE56">
        <f t="shared" si="49"/>
        <v>-8.3336158077013542E-2</v>
      </c>
      <c r="BF56">
        <f t="shared" si="48"/>
        <v>-0.29146650265278806</v>
      </c>
      <c r="BG56">
        <f t="shared" si="49"/>
        <v>-5.0440263490277491E-2</v>
      </c>
      <c r="BH56">
        <f t="shared" si="48"/>
        <v>-0.29531640360197214</v>
      </c>
      <c r="BI56">
        <f t="shared" si="49"/>
        <v>-1.6886802930496127E-2</v>
      </c>
    </row>
    <row r="57" spans="1:61">
      <c r="A57" s="1">
        <v>55</v>
      </c>
      <c r="B57" s="2">
        <v>3774</v>
      </c>
      <c r="C57">
        <f t="shared" si="42"/>
        <v>8.2358907259284955</v>
      </c>
      <c r="D57">
        <f>(2*PI()*A57)/COUNT($A$3:$A$57)</f>
        <v>6.2831853071795862</v>
      </c>
      <c r="H57">
        <f t="shared" si="50"/>
        <v>0.2994869354883089</v>
      </c>
      <c r="I57" s="9">
        <f>((2/55)*$C57*SIN($D57*I$1))</f>
        <v>-7.3383191255763838E-17</v>
      </c>
      <c r="J57">
        <f t="shared" si="45"/>
        <v>0.2994869354883089</v>
      </c>
      <c r="K57">
        <f t="shared" si="44"/>
        <v>-1.4676638251152768E-16</v>
      </c>
      <c r="L57">
        <f t="shared" si="45"/>
        <v>0.2994869354883089</v>
      </c>
      <c r="M57">
        <f>2/55*$C57*SIN($D57*M$1)</f>
        <v>-2.2014957376729153E-16</v>
      </c>
      <c r="N57">
        <f t="shared" si="57"/>
        <v>0.2994869354883089</v>
      </c>
      <c r="O57">
        <f t="shared" si="58"/>
        <v>-2.9353276502305535E-16</v>
      </c>
      <c r="P57">
        <f t="shared" si="57"/>
        <v>0.2994869354883089</v>
      </c>
      <c r="Q57">
        <f t="shared" si="58"/>
        <v>-3.669159562788192E-16</v>
      </c>
      <c r="R57">
        <f t="shared" si="57"/>
        <v>0.2994869354883089</v>
      </c>
      <c r="S57">
        <f t="shared" si="58"/>
        <v>-4.4029914753458305E-16</v>
      </c>
      <c r="T57">
        <f t="shared" si="57"/>
        <v>0.2994869354883089</v>
      </c>
      <c r="U57">
        <f t="shared" si="58"/>
        <v>-5.1368233879034685E-16</v>
      </c>
      <c r="V57">
        <f t="shared" si="57"/>
        <v>0.2994869354883089</v>
      </c>
      <c r="W57">
        <f t="shared" si="58"/>
        <v>-5.870655300461107E-16</v>
      </c>
      <c r="X57">
        <f t="shared" si="57"/>
        <v>0.2994869354883089</v>
      </c>
      <c r="Y57">
        <f t="shared" si="58"/>
        <v>-6.6044872130187455E-16</v>
      </c>
      <c r="Z57">
        <f t="shared" si="57"/>
        <v>0.2994869354883089</v>
      </c>
      <c r="AA57">
        <f t="shared" si="58"/>
        <v>-7.338319125576384E-16</v>
      </c>
      <c r="AB57">
        <f t="shared" si="57"/>
        <v>0.2994869354883089</v>
      </c>
      <c r="AC57">
        <f t="shared" si="58"/>
        <v>-2.9351977684761188E-15</v>
      </c>
      <c r="AD57">
        <f t="shared" si="57"/>
        <v>0.2994869354883089</v>
      </c>
      <c r="AE57">
        <f t="shared" si="58"/>
        <v>-8.805982950691661E-16</v>
      </c>
      <c r="AF57">
        <f t="shared" si="57"/>
        <v>0.2994869354883089</v>
      </c>
      <c r="AG57">
        <f t="shared" si="58"/>
        <v>1.1740011783377866E-15</v>
      </c>
      <c r="AH57">
        <f t="shared" si="57"/>
        <v>0.2994869354883089</v>
      </c>
      <c r="AI57">
        <f t="shared" si="58"/>
        <v>-1.0273646775806937E-15</v>
      </c>
      <c r="AJ57">
        <f t="shared" si="57"/>
        <v>0.2994869354883089</v>
      </c>
      <c r="AK57">
        <f t="shared" si="58"/>
        <v>-3.2287305334991742E-15</v>
      </c>
      <c r="AL57">
        <f t="shared" si="57"/>
        <v>0.2994869354883089</v>
      </c>
      <c r="AM57">
        <f t="shared" si="58"/>
        <v>-1.1741310600922214E-15</v>
      </c>
      <c r="AN57">
        <f t="shared" si="57"/>
        <v>0.2994869354883089</v>
      </c>
      <c r="AO57">
        <f t="shared" si="58"/>
        <v>8.8046841331473108E-16</v>
      </c>
      <c r="AP57">
        <f t="shared" si="57"/>
        <v>0.2994869354883089</v>
      </c>
      <c r="AQ57">
        <f t="shared" si="58"/>
        <v>-1.3208974426037491E-15</v>
      </c>
      <c r="AR57">
        <f t="shared" si="57"/>
        <v>0.2994869354883089</v>
      </c>
      <c r="AS57">
        <f t="shared" si="58"/>
        <v>-3.5222632985222296E-15</v>
      </c>
      <c r="AT57">
        <f t="shared" si="59"/>
        <v>0.2994869354883089</v>
      </c>
      <c r="AU57">
        <f t="shared" si="60"/>
        <v>-1.4676638251152768E-15</v>
      </c>
      <c r="AV57">
        <f t="shared" si="61"/>
        <v>0.2994869354883089</v>
      </c>
      <c r="AW57">
        <f t="shared" si="62"/>
        <v>5.8693564829167578E-16</v>
      </c>
      <c r="AX57">
        <f t="shared" si="61"/>
        <v>0.2994869354883089</v>
      </c>
      <c r="AY57">
        <f t="shared" si="62"/>
        <v>-5.8703955369522376E-15</v>
      </c>
      <c r="AZ57">
        <f t="shared" si="61"/>
        <v>0.2994869354883089</v>
      </c>
      <c r="BA57">
        <f t="shared" si="62"/>
        <v>-3.8157960635452846E-15</v>
      </c>
      <c r="BB57">
        <f t="shared" si="61"/>
        <v>0.2994869354883089</v>
      </c>
      <c r="BC57">
        <f t="shared" si="62"/>
        <v>-1.7611965901383322E-15</v>
      </c>
      <c r="BD57">
        <f t="shared" si="48"/>
        <v>0.2994869354883089</v>
      </c>
      <c r="BE57">
        <f t="shared" si="49"/>
        <v>2.9340288326862038E-16</v>
      </c>
      <c r="BF57">
        <f t="shared" si="48"/>
        <v>0.2994869354883089</v>
      </c>
      <c r="BG57">
        <f t="shared" si="49"/>
        <v>2.3480023566755732E-15</v>
      </c>
      <c r="BH57">
        <f t="shared" si="48"/>
        <v>0.2994869354883089</v>
      </c>
      <c r="BI57">
        <f t="shared" si="49"/>
        <v>-4.10932882856834E-15</v>
      </c>
    </row>
    <row r="58" spans="1:61">
      <c r="A58" s="5"/>
      <c r="B58" s="6">
        <f>SUM(B3:B57)</f>
        <v>1407987</v>
      </c>
    </row>
    <row r="59" spans="1:61">
      <c r="A59" s="5"/>
    </row>
    <row r="60" spans="1:61">
      <c r="A60" s="5"/>
    </row>
    <row r="61" spans="1:61">
      <c r="A61" s="5"/>
      <c r="B61" s="6" t="s">
        <v>2</v>
      </c>
    </row>
    <row r="62" spans="1:61">
      <c r="A62" s="5"/>
      <c r="I62" s="8"/>
    </row>
  </sheetData>
  <mergeCells count="7">
    <mergeCell ref="F1:F2"/>
    <mergeCell ref="G1:G2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Defi Yusti</dc:creator>
  <cp:lastModifiedBy>User</cp:lastModifiedBy>
  <dcterms:created xsi:type="dcterms:W3CDTF">2025-08-27T23:40:18Z</dcterms:created>
  <dcterms:modified xsi:type="dcterms:W3CDTF">2025-09-09T13:48:12Z</dcterms:modified>
</cp:coreProperties>
</file>
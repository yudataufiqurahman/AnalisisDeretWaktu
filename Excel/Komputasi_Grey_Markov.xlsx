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ULIAH\ADW 1\Grey Markov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G3" i="1"/>
  <c r="B43" i="1" a="1"/>
  <c r="B43" i="1" s="1"/>
  <c r="A39" i="1" a="1"/>
  <c r="A39" i="1" s="1"/>
  <c r="D35" i="1" a="1"/>
  <c r="D36" i="1" s="1"/>
  <c r="B44" i="1" l="1"/>
  <c r="F40" i="1"/>
  <c r="H39" i="1"/>
  <c r="G39" i="1"/>
  <c r="F39" i="1"/>
  <c r="E39" i="1"/>
  <c r="B40" i="1"/>
  <c r="J39" i="1"/>
  <c r="B39" i="1"/>
  <c r="E40" i="1"/>
  <c r="D40" i="1"/>
  <c r="C40" i="1"/>
  <c r="J40" i="1"/>
  <c r="D39" i="1"/>
  <c r="I40" i="1"/>
  <c r="A40" i="1"/>
  <c r="C39" i="1"/>
  <c r="H40" i="1"/>
  <c r="G40" i="1"/>
  <c r="I39" i="1"/>
  <c r="E35" i="1"/>
  <c r="D35" i="1"/>
  <c r="E36" i="1"/>
  <c r="A28" i="1"/>
  <c r="G2" i="1"/>
  <c r="F11" i="1"/>
  <c r="F10" i="1"/>
  <c r="F3" i="1"/>
  <c r="E4" i="1"/>
  <c r="E3" i="1"/>
  <c r="E2" i="1"/>
  <c r="Q2" i="1" l="1"/>
  <c r="R2" i="1"/>
  <c r="E83" i="1"/>
  <c r="J60" i="1"/>
  <c r="I60" i="1"/>
  <c r="H60" i="1"/>
  <c r="G60" i="1"/>
  <c r="F60" i="1"/>
  <c r="E60" i="1"/>
  <c r="D60" i="1"/>
  <c r="O4" i="1"/>
  <c r="O3" i="1"/>
  <c r="P16" i="1"/>
  <c r="P15" i="1"/>
  <c r="N4" i="1"/>
  <c r="N3" i="1"/>
  <c r="A69" i="1" a="1"/>
  <c r="E64" i="1" a="1"/>
  <c r="B74" i="1" a="1"/>
  <c r="B74" i="1" l="1"/>
  <c r="E64" i="1"/>
  <c r="A69" i="1"/>
  <c r="N11" i="1"/>
  <c r="N12" i="1"/>
  <c r="N5" i="1"/>
  <c r="N6" i="1"/>
  <c r="N7" i="1"/>
  <c r="N8" i="1"/>
  <c r="N9" i="1"/>
  <c r="N10" i="1"/>
  <c r="E74" i="1" l="1"/>
  <c r="O6" i="1"/>
  <c r="E50" i="1" s="1"/>
  <c r="O38" i="1"/>
  <c r="O37" i="1"/>
  <c r="O27" i="1"/>
  <c r="O28" i="1"/>
  <c r="O29" i="1"/>
  <c r="O30" i="1"/>
  <c r="O31" i="1"/>
  <c r="O32" i="1"/>
  <c r="O33" i="1"/>
  <c r="O34" i="1"/>
  <c r="O35" i="1"/>
  <c r="O36" i="1"/>
  <c r="O26" i="1"/>
  <c r="M27" i="1"/>
  <c r="M28" i="1"/>
  <c r="M29" i="1"/>
  <c r="M30" i="1"/>
  <c r="M31" i="1"/>
  <c r="M32" i="1"/>
  <c r="M33" i="1"/>
  <c r="M34" i="1"/>
  <c r="M35" i="1"/>
  <c r="M36" i="1"/>
  <c r="M26" i="1"/>
  <c r="O8" i="1" l="1"/>
  <c r="E52" i="1" s="1"/>
  <c r="O9" i="1"/>
  <c r="E53" i="1" s="1"/>
  <c r="E48" i="1"/>
  <c r="O5" i="1"/>
  <c r="E49" i="1" s="1"/>
  <c r="O11" i="1"/>
  <c r="E55" i="1" s="1"/>
  <c r="O10" i="1"/>
  <c r="E54" i="1" s="1"/>
  <c r="O12" i="1"/>
  <c r="E56" i="1" s="1"/>
  <c r="O7" i="1"/>
  <c r="E51" i="1" s="1"/>
  <c r="E47" i="1"/>
  <c r="B14" i="1"/>
  <c r="B15" i="1"/>
  <c r="D2" i="1" l="1"/>
  <c r="D4" i="1"/>
  <c r="D11" i="1"/>
  <c r="D3" i="1"/>
  <c r="D6" i="1"/>
  <c r="D10" i="1"/>
  <c r="D9" i="1"/>
  <c r="D8" i="1"/>
  <c r="D7" i="1"/>
  <c r="D5" i="1"/>
  <c r="D12" i="1"/>
  <c r="A54" i="1" l="1"/>
  <c r="D26" i="1"/>
  <c r="A50" i="1"/>
  <c r="D22" i="1"/>
  <c r="A55" i="1"/>
  <c r="D27" i="1"/>
  <c r="A47" i="1"/>
  <c r="A59" i="1" s="1"/>
  <c r="D19" i="1"/>
  <c r="A56" i="1"/>
  <c r="D28" i="1"/>
  <c r="A49" i="1"/>
  <c r="D21" i="1"/>
  <c r="A51" i="1"/>
  <c r="D23" i="1"/>
  <c r="A52" i="1"/>
  <c r="D24" i="1"/>
  <c r="A48" i="1"/>
  <c r="D20" i="1"/>
  <c r="A53" i="1"/>
  <c r="D25" i="1"/>
  <c r="E7" i="1"/>
  <c r="E6" i="1"/>
  <c r="E11" i="1"/>
  <c r="F12" i="1" s="1"/>
  <c r="E10" i="1"/>
  <c r="E9" i="1"/>
  <c r="E5" i="1"/>
  <c r="E12" i="1"/>
  <c r="E8" i="1"/>
  <c r="B56" i="1" l="1"/>
  <c r="J31" i="1"/>
  <c r="F7" i="1"/>
  <c r="F59" i="1"/>
  <c r="E59" i="1"/>
  <c r="I59" i="1"/>
  <c r="F6" i="1"/>
  <c r="B54" i="1"/>
  <c r="A26" i="1"/>
  <c r="H31" i="1" s="1"/>
  <c r="G59" i="1"/>
  <c r="C59" i="1"/>
  <c r="D59" i="1"/>
  <c r="H2" i="1"/>
  <c r="B59" i="1"/>
  <c r="J59" i="1"/>
  <c r="H59" i="1"/>
  <c r="F4" i="1"/>
  <c r="F9" i="1"/>
  <c r="F5" i="1"/>
  <c r="F8" i="1"/>
  <c r="B52" i="1" l="1"/>
  <c r="A24" i="1"/>
  <c r="F31" i="1" s="1"/>
  <c r="B49" i="1"/>
  <c r="C60" i="1" s="1"/>
  <c r="A21" i="1"/>
  <c r="C31" i="1" s="1"/>
  <c r="B55" i="1"/>
  <c r="A27" i="1"/>
  <c r="I31" i="1" s="1"/>
  <c r="B50" i="1"/>
  <c r="A22" i="1"/>
  <c r="D31" i="1" s="1"/>
  <c r="B47" i="1"/>
  <c r="A60" i="1" s="1"/>
  <c r="A19" i="1"/>
  <c r="A31" i="1" s="1"/>
  <c r="B53" i="1"/>
  <c r="A25" i="1"/>
  <c r="G31" i="1" s="1"/>
  <c r="B48" i="1"/>
  <c r="B60" i="1" s="1"/>
  <c r="A20" i="1"/>
  <c r="B31" i="1" s="1"/>
  <c r="I2" i="1"/>
  <c r="J2" i="1"/>
  <c r="N26" i="1" s="1"/>
  <c r="B51" i="1"/>
  <c r="A23" i="1"/>
  <c r="E31" i="1" s="1"/>
  <c r="A64" i="1" l="1" a="1"/>
  <c r="A64" i="1" s="1"/>
  <c r="A35" i="1" a="1"/>
  <c r="A35" i="1" s="1"/>
  <c r="C43" i="1"/>
  <c r="B76" i="1" l="1"/>
  <c r="B75" i="1"/>
  <c r="J71" i="1"/>
  <c r="I71" i="1"/>
  <c r="H71" i="1"/>
  <c r="G71" i="1"/>
  <c r="F71" i="1"/>
  <c r="E71" i="1"/>
  <c r="D71" i="1"/>
  <c r="C71" i="1"/>
  <c r="B71" i="1"/>
  <c r="A71" i="1"/>
  <c r="J70" i="1"/>
  <c r="I70" i="1"/>
  <c r="H70" i="1"/>
  <c r="G70" i="1"/>
  <c r="F70" i="1"/>
  <c r="E70" i="1"/>
  <c r="D70" i="1"/>
  <c r="C70" i="1"/>
  <c r="B70" i="1"/>
  <c r="A70" i="1"/>
  <c r="J69" i="1"/>
  <c r="I69" i="1"/>
  <c r="H69" i="1"/>
  <c r="G69" i="1"/>
  <c r="F69" i="1"/>
  <c r="E69" i="1"/>
  <c r="D69" i="1"/>
  <c r="C69" i="1"/>
  <c r="B69" i="1"/>
  <c r="G66" i="1"/>
  <c r="F66" i="1"/>
  <c r="E66" i="1"/>
  <c r="G65" i="1"/>
  <c r="F65" i="1"/>
  <c r="E65" i="1"/>
  <c r="G64" i="1"/>
  <c r="F64" i="1"/>
  <c r="C66" i="1"/>
  <c r="B66" i="1"/>
  <c r="A66" i="1"/>
  <c r="C65" i="1"/>
  <c r="B65" i="1"/>
  <c r="A65" i="1"/>
  <c r="C64" i="1"/>
  <c r="B64" i="1"/>
  <c r="H3" i="1"/>
  <c r="B36" i="1"/>
  <c r="A36" i="1"/>
  <c r="B35" i="1"/>
  <c r="E75" i="1" l="1"/>
  <c r="E76" i="1" s="1"/>
  <c r="E77" i="1" s="1"/>
  <c r="B78" i="1"/>
  <c r="G6" i="1"/>
  <c r="H6" i="1" s="1"/>
  <c r="G10" i="1"/>
  <c r="H10" i="1" s="1"/>
  <c r="G13" i="1"/>
  <c r="H13" i="1" s="1"/>
  <c r="G5" i="1"/>
  <c r="H5" i="1" s="1"/>
  <c r="G9" i="1"/>
  <c r="H9" i="1" s="1"/>
  <c r="G11" i="1"/>
  <c r="H11" i="1" s="1"/>
  <c r="G8" i="1"/>
  <c r="H8" i="1" s="1"/>
  <c r="G12" i="1"/>
  <c r="H12" i="1" s="1"/>
  <c r="G4" i="1"/>
  <c r="H4" i="1" s="1"/>
  <c r="G7" i="1"/>
  <c r="H7" i="1" s="1"/>
  <c r="I9" i="1" l="1"/>
  <c r="J9" i="1"/>
  <c r="N33" i="1" s="1"/>
  <c r="I5" i="1"/>
  <c r="J5" i="1"/>
  <c r="N29" i="1" s="1"/>
  <c r="I13" i="1"/>
  <c r="J10" i="1"/>
  <c r="N34" i="1" s="1"/>
  <c r="I10" i="1"/>
  <c r="I6" i="1"/>
  <c r="J6" i="1"/>
  <c r="N30" i="1" s="1"/>
  <c r="J3" i="1"/>
  <c r="I3" i="1"/>
  <c r="J7" i="1"/>
  <c r="N31" i="1" s="1"/>
  <c r="I7" i="1"/>
  <c r="I4" i="1"/>
  <c r="J4" i="1"/>
  <c r="N28" i="1" s="1"/>
  <c r="I12" i="1"/>
  <c r="J12" i="1"/>
  <c r="N36" i="1" s="1"/>
  <c r="J8" i="1"/>
  <c r="N32" i="1" s="1"/>
  <c r="I8" i="1"/>
  <c r="J11" i="1"/>
  <c r="N35" i="1" s="1"/>
  <c r="I11" i="1"/>
  <c r="B79" i="1"/>
  <c r="B80" i="1"/>
  <c r="N27" i="1" l="1"/>
  <c r="M16" i="1"/>
  <c r="M15" i="1"/>
  <c r="E84" i="1"/>
  <c r="B81" i="1"/>
  <c r="E82" i="1"/>
  <c r="E81" i="1"/>
  <c r="B82" i="1"/>
  <c r="N22" i="1" l="1"/>
  <c r="G81" i="1"/>
  <c r="P3" i="1"/>
  <c r="Q3" i="1" s="1"/>
  <c r="R3" i="1" s="1"/>
  <c r="S3" i="1" s="1"/>
  <c r="P4" i="1"/>
  <c r="Q4" i="1" s="1"/>
  <c r="P5" i="1"/>
  <c r="Q5" i="1" s="1"/>
  <c r="P10" i="1"/>
  <c r="Q10" i="1" s="1"/>
  <c r="P7" i="1"/>
  <c r="Q7" i="1" s="1"/>
  <c r="P8" i="1"/>
  <c r="Q8" i="1" s="1"/>
  <c r="P9" i="1"/>
  <c r="Q9" i="1" s="1"/>
  <c r="P6" i="1"/>
  <c r="Q6" i="1" s="1"/>
  <c r="P12" i="1"/>
  <c r="Q12" i="1" s="1"/>
  <c r="P11" i="1"/>
  <c r="Q11" i="1" s="1"/>
  <c r="M23" i="1"/>
  <c r="O23" i="1" s="1"/>
  <c r="N23" i="1"/>
  <c r="M21" i="1"/>
  <c r="O21" i="1" s="1"/>
  <c r="N20" i="1"/>
  <c r="N21" i="1"/>
  <c r="M22" i="1"/>
  <c r="O20" i="1" l="1"/>
  <c r="O22" i="1"/>
  <c r="L2" i="1" s="1"/>
  <c r="L4" i="1"/>
  <c r="M4" i="1" s="1"/>
  <c r="L13" i="1"/>
  <c r="M13" i="1" s="1"/>
  <c r="R8" i="1"/>
  <c r="S8" i="1" s="1"/>
  <c r="R11" i="1"/>
  <c r="S11" i="1" s="1"/>
  <c r="R4" i="1"/>
  <c r="S4" i="1" s="1"/>
  <c r="R6" i="1"/>
  <c r="S6" i="1" s="1"/>
  <c r="R9" i="1"/>
  <c r="S9" i="1" s="1"/>
  <c r="L12" i="1"/>
  <c r="M12" i="1" s="1"/>
  <c r="L8" i="1"/>
  <c r="M8" i="1" s="1"/>
  <c r="R7" i="1"/>
  <c r="S7" i="1" s="1"/>
  <c r="L10" i="1"/>
  <c r="M10" i="1" s="1"/>
  <c r="L9" i="1"/>
  <c r="M9" i="1" s="1"/>
  <c r="L6" i="1"/>
  <c r="M6" i="1" s="1"/>
  <c r="L11" i="1"/>
  <c r="M11" i="1" s="1"/>
  <c r="R10" i="1"/>
  <c r="S10" i="1" s="1"/>
  <c r="L5" i="1"/>
  <c r="M5" i="1" s="1"/>
  <c r="L7" i="1"/>
  <c r="M7" i="1" s="1"/>
  <c r="R5" i="1"/>
  <c r="S5" i="1" s="1"/>
  <c r="M2" i="1"/>
  <c r="L3" i="1"/>
  <c r="M3" i="1" s="1"/>
  <c r="R12" i="1"/>
  <c r="S1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<sst xmlns="http://schemas.openxmlformats.org/spreadsheetml/2006/main" count="90" uniqueCount="65">
  <si>
    <t>Bulan Ke</t>
  </si>
  <si>
    <t>Y (Bulan)</t>
  </si>
  <si>
    <t>Z (X0)</t>
  </si>
  <si>
    <t>Z (X0) Normalisasi</t>
  </si>
  <si>
    <t>AGO (X1)</t>
  </si>
  <si>
    <t>MGO(Z1)</t>
  </si>
  <si>
    <t>X^(0) pred AGO</t>
  </si>
  <si>
    <t>X^(0) pred AGO Denormalisasi</t>
  </si>
  <si>
    <t>Nilai prediksi Grey dalam rupiah</t>
  </si>
  <si>
    <t>er(k)</t>
  </si>
  <si>
    <t>Keadaan</t>
  </si>
  <si>
    <t>Grey Markov(1,1)</t>
  </si>
  <si>
    <t>Nilai prediksi Grey Markov(1,1) dalam rupiah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</si>
  <si>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</si>
  <si>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</si>
  <si>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</si>
  <si>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</si>
  <si>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</si>
  <si>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</si>
  <si>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</si>
  <si>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</si>
  <si>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</si>
  <si>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</si>
  <si>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</si>
  <si>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Minimal</t>
  </si>
  <si>
    <t>Maximal</t>
  </si>
  <si>
    <t>Prediksi Grey(1,1)</t>
  </si>
  <si>
    <t>B</t>
  </si>
  <si>
    <t>Y</t>
  </si>
  <si>
    <t>t(B)</t>
  </si>
  <si>
    <t>Bt</t>
  </si>
  <si>
    <t>Bt invers</t>
  </si>
  <si>
    <t>Bt invers t(B)</t>
  </si>
  <si>
    <t>Parameter</t>
  </si>
  <si>
    <t>b</t>
  </si>
  <si>
    <t>H</t>
  </si>
  <si>
    <t>L</t>
  </si>
  <si>
    <t xml:space="preserve">Keadaan </t>
  </si>
  <si>
    <t>er-</t>
  </si>
  <si>
    <t>er+</t>
  </si>
  <si>
    <t>er- + er+</t>
  </si>
  <si>
    <t>Ɛ</t>
  </si>
  <si>
    <t>r</t>
  </si>
  <si>
    <t>Prediksi Grey-Markov(1,1)</t>
  </si>
  <si>
    <t>a(1)x0(1)</t>
  </si>
  <si>
    <t>a(1)x0(1) Normalisasi</t>
  </si>
  <si>
    <t>a1</t>
  </si>
  <si>
    <t>a2</t>
  </si>
  <si>
    <t>△</t>
  </si>
  <si>
    <t>lambda 1</t>
  </si>
  <si>
    <t>lambda 2</t>
  </si>
  <si>
    <t>c1</t>
  </si>
  <si>
    <t>c2</t>
  </si>
  <si>
    <t>xbar1(k+1)</t>
  </si>
  <si>
    <t>x^1(k+1)</t>
  </si>
  <si>
    <t>x^0(k+1)</t>
  </si>
  <si>
    <t>a</t>
  </si>
  <si>
    <t>a1^2</t>
  </si>
  <si>
    <t>4a2</t>
  </si>
  <si>
    <t>a1^2-4a2</t>
  </si>
  <si>
    <t>(a1^2-4a2)/2</t>
  </si>
  <si>
    <t>1/(lambda2-lambda1)</t>
  </si>
  <si>
    <t>lambda2 x01</t>
  </si>
  <si>
    <t>1/2(x03-x01)</t>
  </si>
  <si>
    <t>lambda 2 (b/a2)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</si>
</sst>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p-421]#,##0.00"/>
    <numFmt numFmtId="165" formatCode="0.000000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8B0C1"/>
        <bgColor rgb="FFE8B0C1"/>
      </patternFill>
    </fill>
    <fill>
      <patternFill patternType="solid">
        <fgColor rgb="FFE8B0C2"/>
        <bgColor indexed="64"/>
      </patternFill>
    </fill>
    <fill>
      <patternFill patternType="solid">
        <fgColor theme="4" tint="0.79998168889431442"/>
        <bgColor rgb="FFE8B0C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4" fillId="0" borderId="5" xfId="0" applyNumberFormat="1" applyFont="1" applyBorder="1" applyAlignment="1">
      <alignment horizontal="center" wrapText="1"/>
    </xf>
    <xf numFmtId="164" fontId="4" fillId="7" borderId="5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3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3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7" fillId="0" borderId="0" xfId="1" applyFont="1"/>
    <xf numFmtId="164" fontId="4" fillId="9" borderId="5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tabSelected="1" topLeftCell="F1" zoomScale="75" zoomScaleNormal="75" workbookViewId="0">
      <selection activeCell="L13" sqref="L13"/>
    </sheetView>
  </sheetViews>
  <sheetFormatPr defaultColWidth="11" defaultRowHeight="15.5" x14ac:dyDescent="0.35"/>
  <cols>
    <col min="1" max="1" width="17.08203125" customWidth="1"/>
    <col min="2" max="2" width="17.83203125" customWidth="1"/>
    <col min="3" max="3" width="19" customWidth="1"/>
    <col min="4" max="4" width="20.58203125" customWidth="1"/>
    <col min="5" max="5" width="19.33203125" customWidth="1"/>
    <col min="6" max="6" width="22.83203125" customWidth="1"/>
    <col min="7" max="7" width="17.33203125" customWidth="1"/>
    <col min="8" max="8" width="23.33203125" customWidth="1"/>
    <col min="9" max="9" width="23" customWidth="1"/>
    <col min="10" max="10" width="16.08203125" customWidth="1"/>
    <col min="11" max="11" width="25" style="29" customWidth="1"/>
    <col min="12" max="12" width="21.5" customWidth="1"/>
    <col min="13" max="13" width="27.08203125" customWidth="1"/>
    <col min="14" max="14" width="15" customWidth="1"/>
    <col min="15" max="15" width="20.08203125" customWidth="1"/>
    <col min="16" max="16" width="19.83203125" customWidth="1"/>
    <col min="17" max="17" width="19.08203125" customWidth="1"/>
    <col min="18" max="18" width="15.5" customWidth="1"/>
    <col min="19" max="19" width="23.83203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5" t="s">
        <v>9</v>
      </c>
      <c r="K1" s="3" t="s">
        <v>10</v>
      </c>
      <c r="L1" s="4" t="s">
        <v>11</v>
      </c>
      <c r="M1" s="3" t="s">
        <v>12</v>
      </c>
      <c r="N1" s="26" t="s">
        <v>44</v>
      </c>
      <c r="O1" s="26" t="s">
        <v>45</v>
      </c>
      <c r="P1" s="26" t="s">
        <v>53</v>
      </c>
      <c r="Q1" s="26" t="s">
        <v>54</v>
      </c>
      <c r="R1" s="26" t="s">
        <v>55</v>
      </c>
    </row>
    <row r="2" spans="1:19" x14ac:dyDescent="0.35">
      <c r="A2" s="18">
        <v>1</v>
      </c>
      <c r="B2" s="18" t="s">
        <v>13</v>
      </c>
      <c r="C2" s="19">
        <v>45490904000</v>
      </c>
      <c r="D2" s="19">
        <f>(C2-$B$14)/($B$15-$B$14)</f>
        <v>0.50817634805317979</v>
      </c>
      <c r="E2" s="19">
        <f>SUM($D$2:D2)</f>
        <v>0.50817634805317979</v>
      </c>
      <c r="F2" s="19"/>
      <c r="G2" s="19">
        <f>E2</f>
        <v>0.50817634805317979</v>
      </c>
      <c r="H2" s="19">
        <f>G2*($B$15-$B$14)+$B$14</f>
        <v>45490904000</v>
      </c>
      <c r="I2" s="7">
        <f>H2</f>
        <v>45490904000</v>
      </c>
      <c r="J2" s="19">
        <f>((C2-H2)/C2)*100</f>
        <v>0</v>
      </c>
      <c r="K2" s="18">
        <v>3</v>
      </c>
      <c r="L2" s="19">
        <f>H2*(1+(O22/200))</f>
        <v>43192159242.295784</v>
      </c>
      <c r="M2" s="7">
        <f>L2</f>
        <v>43192159242.295784</v>
      </c>
      <c r="Q2">
        <f>E2</f>
        <v>0.50817634805317979</v>
      </c>
      <c r="R2">
        <f>D2</f>
        <v>0.50817634805317979</v>
      </c>
    </row>
    <row r="3" spans="1:19" x14ac:dyDescent="0.35">
      <c r="A3" s="18">
        <v>2</v>
      </c>
      <c r="B3" s="18" t="s">
        <v>14</v>
      </c>
      <c r="C3" s="19">
        <v>32315795000</v>
      </c>
      <c r="D3" s="19">
        <f t="shared" ref="D3:D12" si="0">(C3-$B$14)/($B$15-$B$14)</f>
        <v>0.14406738394098773</v>
      </c>
      <c r="E3" s="19">
        <f>SUM($D$2:D3)</f>
        <v>0.65224373199416752</v>
      </c>
      <c r="F3" s="19">
        <f>(E2+E3)/2</f>
        <v>0.5802100400236736</v>
      </c>
      <c r="G3" s="19">
        <f>(1-EXP($B$43))*($D$2-($B$44/$B$43))*(EXP($C$43*1))</f>
        <v>0.19692880336428317</v>
      </c>
      <c r="H3" s="19">
        <f>G3*($B$15-$B$14)+$B$14</f>
        <v>34228560219.869835</v>
      </c>
      <c r="I3" s="7">
        <f t="shared" ref="I3:I13" si="1">H3</f>
        <v>34228560219.869835</v>
      </c>
      <c r="J3" s="19">
        <f t="shared" ref="J3:J12" si="2">((C3-H3)/C3)*100</f>
        <v>-5.9189793098694761</v>
      </c>
      <c r="K3" s="18">
        <v>3</v>
      </c>
      <c r="L3" s="19">
        <f>H3*(1+(O22/200))</f>
        <v>32498923821.147381</v>
      </c>
      <c r="M3" s="7">
        <f t="shared" ref="M3:M13" si="3">L3</f>
        <v>32498923821.147381</v>
      </c>
      <c r="N3">
        <f>C3-C2</f>
        <v>-13175109000</v>
      </c>
      <c r="O3">
        <f>(N3-$P$15)/($P$16-$P$15)</f>
        <v>2.0372379884234432E-2</v>
      </c>
      <c r="P3" t="e">
        <f ca="1">($B$81*(EXP($B$79*1))+($B$82*(EXP($B$80*1))))</f>
        <v>#NAME?</v>
      </c>
      <c r="Q3" t="e">
        <f ca="1">P3+($B$76/$B$75)</f>
        <v>#NAME?</v>
      </c>
      <c r="R3" t="e">
        <f t="shared" ref="R3:R12" ca="1" si="4">Q3-Q2</f>
        <v>#NAME?</v>
      </c>
      <c r="S3" t="e">
        <f ca="1">R3*($P$16-$P$15)+$P$15</f>
        <v>#NAME?</v>
      </c>
    </row>
    <row r="4" spans="1:19" x14ac:dyDescent="0.35">
      <c r="A4" s="18">
        <v>3</v>
      </c>
      <c r="B4" s="18" t="s">
        <v>15</v>
      </c>
      <c r="C4" s="19">
        <v>40911199846</v>
      </c>
      <c r="D4" s="19">
        <f t="shared" si="0"/>
        <v>0.38161106988711357</v>
      </c>
      <c r="E4" s="19">
        <f>SUM($D$2:D4)</f>
        <v>1.0338548018812812</v>
      </c>
      <c r="F4" s="19">
        <f t="shared" ref="F4:F12" si="5">(E3+E4)/2</f>
        <v>0.84304926693772431</v>
      </c>
      <c r="G4" s="19">
        <f>(1-EXP($B$43))*($D$2-($B$44/$B$43))*(EXP($C$43*2))</f>
        <v>0.2378725435266911</v>
      </c>
      <c r="H4" s="19">
        <f t="shared" ref="H4:H13" si="6">G4*($B$15-$B$14)+$B$14</f>
        <v>35710089906.519318</v>
      </c>
      <c r="I4" s="7">
        <f t="shared" si="1"/>
        <v>35710089906.519318</v>
      </c>
      <c r="J4" s="19">
        <f t="shared" si="2"/>
        <v>12.713168909880332</v>
      </c>
      <c r="K4" s="18">
        <v>4</v>
      </c>
      <c r="L4" s="19">
        <f>H4*(1+(O23/200))</f>
        <v>38663267206.752892</v>
      </c>
      <c r="M4" s="7">
        <f t="shared" si="3"/>
        <v>38663267206.752892</v>
      </c>
      <c r="N4">
        <f>C4-C3</f>
        <v>8595404846</v>
      </c>
      <c r="O4">
        <f>(N4-$P$15)/($P$16-$P$15)</f>
        <v>0.7206936156813265</v>
      </c>
      <c r="P4" t="e">
        <f ca="1">($B$81*(EXP($B$79*2))+($B$82*(EXP($B$80*2))))</f>
        <v>#NAME?</v>
      </c>
      <c r="Q4" t="e">
        <f t="shared" ref="Q4:Q12" ca="1" si="7">P4+($B$76/$B$75)</f>
        <v>#NAME?</v>
      </c>
      <c r="R4" t="e">
        <f t="shared" ca="1" si="4"/>
        <v>#NAME?</v>
      </c>
      <c r="S4" t="e">
        <f t="shared" ref="S4:S12" ca="1" si="8">R4*($P$16-$P$15)+$P$15</f>
        <v>#NAME?</v>
      </c>
    </row>
    <row r="5" spans="1:19" x14ac:dyDescent="0.35">
      <c r="A5" s="18">
        <v>4</v>
      </c>
      <c r="B5" s="18" t="s">
        <v>16</v>
      </c>
      <c r="C5" s="19">
        <v>27102785506</v>
      </c>
      <c r="D5" s="19">
        <f t="shared" si="0"/>
        <v>0</v>
      </c>
      <c r="E5" s="19">
        <f>SUM($D$2:D5)</f>
        <v>1.0338548018812812</v>
      </c>
      <c r="F5" s="19">
        <f t="shared" si="5"/>
        <v>1.0338548018812812</v>
      </c>
      <c r="G5" s="19">
        <f>(1-EXP($B$43))*($D$2-($B$44/$B$43))*(EXP($C$43*3))</f>
        <v>0.28732895339433129</v>
      </c>
      <c r="H5" s="19">
        <f t="shared" si="6"/>
        <v>37499646481.550682</v>
      </c>
      <c r="I5" s="7">
        <f t="shared" si="1"/>
        <v>37499646481.550682</v>
      </c>
      <c r="J5" s="19">
        <f t="shared" si="2"/>
        <v>-38.360857681027035</v>
      </c>
      <c r="K5" s="18">
        <v>1</v>
      </c>
      <c r="L5" s="19">
        <f>H5*(1+(O20/200))</f>
        <v>25612511504.52681</v>
      </c>
      <c r="M5" s="7">
        <f t="shared" si="3"/>
        <v>25612511504.52681</v>
      </c>
      <c r="N5">
        <f t="shared" ref="N5:N10" si="9">C5-C4</f>
        <v>-13808414340</v>
      </c>
      <c r="O5">
        <f t="shared" ref="O5:O12" si="10">(N5-$P$15)/($P$16-$P$15)</f>
        <v>0</v>
      </c>
      <c r="P5" t="e">
        <f ca="1">($B$81*(EXP($B$79*3))+($B$82*(EXP($B$80*3))))</f>
        <v>#NAME?</v>
      </c>
      <c r="Q5" t="e">
        <f t="shared" ca="1" si="7"/>
        <v>#NAME?</v>
      </c>
      <c r="R5" t="e">
        <f t="shared" ca="1" si="4"/>
        <v>#NAME?</v>
      </c>
      <c r="S5" t="e">
        <f t="shared" ca="1" si="8"/>
        <v>#NAME?</v>
      </c>
    </row>
    <row r="6" spans="1:19" x14ac:dyDescent="0.35">
      <c r="A6" s="18">
        <v>5</v>
      </c>
      <c r="B6" s="18" t="s">
        <v>17</v>
      </c>
      <c r="C6" s="19">
        <v>44380839394</v>
      </c>
      <c r="D6" s="19">
        <f t="shared" si="0"/>
        <v>0.4774984634308766</v>
      </c>
      <c r="E6" s="19">
        <f>SUM($D$2:D6)</f>
        <v>1.5113532653121577</v>
      </c>
      <c r="F6" s="19">
        <f t="shared" si="5"/>
        <v>1.2726040335967195</v>
      </c>
      <c r="G6" s="19">
        <f>(1-EXP($B$43))*($D$2-($B$44/$B$43))*(EXP($C$43*4))</f>
        <v>0.34706791391171299</v>
      </c>
      <c r="H6" s="19">
        <f t="shared" si="6"/>
        <v>39661272241.801628</v>
      </c>
      <c r="I6" s="7">
        <f t="shared" si="1"/>
        <v>39661272241.801628</v>
      </c>
      <c r="J6" s="19">
        <f t="shared" si="2"/>
        <v>10.634244905328281</v>
      </c>
      <c r="K6" s="18">
        <v>4</v>
      </c>
      <c r="L6" s="19">
        <f>H6*(1+(O23/200))</f>
        <v>42941207105.854988</v>
      </c>
      <c r="M6" s="7">
        <f t="shared" si="3"/>
        <v>42941207105.854988</v>
      </c>
      <c r="N6">
        <f t="shared" si="9"/>
        <v>17278053888</v>
      </c>
      <c r="O6">
        <f t="shared" si="10"/>
        <v>1</v>
      </c>
      <c r="P6" t="e">
        <f ca="1">($B$81*(EXP($B$79*4))+($B$82*(EXP($B$80*4))))</f>
        <v>#NAME?</v>
      </c>
      <c r="Q6" t="e">
        <f t="shared" ca="1" si="7"/>
        <v>#NAME?</v>
      </c>
      <c r="R6" t="e">
        <f t="shared" ca="1" si="4"/>
        <v>#NAME?</v>
      </c>
      <c r="S6" t="e">
        <f t="shared" ca="1" si="8"/>
        <v>#NAME?</v>
      </c>
    </row>
    <row r="7" spans="1:19" x14ac:dyDescent="0.35">
      <c r="A7" s="18">
        <v>6</v>
      </c>
      <c r="B7" s="18" t="s">
        <v>18</v>
      </c>
      <c r="C7" s="19">
        <v>32307694089</v>
      </c>
      <c r="D7" s="19">
        <f t="shared" si="0"/>
        <v>0.14384350614896527</v>
      </c>
      <c r="E7" s="19">
        <f>SUM($D$2:D7)</f>
        <v>1.6551967714611231</v>
      </c>
      <c r="F7" s="19">
        <f t="shared" si="5"/>
        <v>1.5832750183866404</v>
      </c>
      <c r="G7" s="19">
        <f>(1-EXP($B$43))*($D$2-($B$44/$B$43))*(EXP($C$43*5))</f>
        <v>0.41922728442098123</v>
      </c>
      <c r="H7" s="19">
        <f t="shared" si="6"/>
        <v>42272324606.714165</v>
      </c>
      <c r="I7" s="7">
        <f t="shared" si="1"/>
        <v>42272324606.714165</v>
      </c>
      <c r="J7" s="19">
        <f t="shared" si="2"/>
        <v>-30.84290228285554</v>
      </c>
      <c r="K7" s="18">
        <v>1</v>
      </c>
      <c r="L7" s="19">
        <f>H7*(1+(O20/200))</f>
        <v>28872282858.592606</v>
      </c>
      <c r="M7" s="7">
        <f t="shared" si="3"/>
        <v>28872282858.592606</v>
      </c>
      <c r="N7">
        <f t="shared" si="9"/>
        <v>-12073145305</v>
      </c>
      <c r="O7">
        <f t="shared" si="10"/>
        <v>5.5820719879559035E-2</v>
      </c>
      <c r="P7" t="e">
        <f ca="1">($B$81*(EXP($B$79*5))+($B$82*(EXP($B$80*5))))</f>
        <v>#NAME?</v>
      </c>
      <c r="Q7" t="e">
        <f t="shared" ca="1" si="7"/>
        <v>#NAME?</v>
      </c>
      <c r="R7" t="e">
        <f t="shared" ca="1" si="4"/>
        <v>#NAME?</v>
      </c>
      <c r="S7" t="e">
        <f t="shared" ca="1" si="8"/>
        <v>#NAME?</v>
      </c>
    </row>
    <row r="8" spans="1:19" x14ac:dyDescent="0.35">
      <c r="A8" s="18">
        <v>7</v>
      </c>
      <c r="B8" s="18" t="s">
        <v>19</v>
      </c>
      <c r="C8" s="19">
        <v>39883208311</v>
      </c>
      <c r="D8" s="19">
        <f t="shared" si="0"/>
        <v>0.35320136694462162</v>
      </c>
      <c r="E8" s="19">
        <f>SUM($D$2:D8)</f>
        <v>2.0083981384057448</v>
      </c>
      <c r="F8" s="19">
        <f t="shared" si="5"/>
        <v>1.8317974549334339</v>
      </c>
      <c r="G8" s="19">
        <f>(1-EXP($B$43))*($D$2-($B$44/$B$43))*(EXP($C$43*6))</f>
        <v>0.50638940956004908</v>
      </c>
      <c r="H8" s="19">
        <f t="shared" si="6"/>
        <v>45426244483.910637</v>
      </c>
      <c r="I8" s="7">
        <f t="shared" si="1"/>
        <v>45426244483.910637</v>
      </c>
      <c r="J8" s="19">
        <f t="shared" si="2"/>
        <v>-13.898170201572871</v>
      </c>
      <c r="K8" s="18">
        <v>2</v>
      </c>
      <c r="L8" s="19">
        <f>H8*(1+(O21/200))</f>
        <v>37078599254.197716</v>
      </c>
      <c r="M8" s="7">
        <f t="shared" si="3"/>
        <v>37078599254.197716</v>
      </c>
      <c r="N8">
        <f t="shared" si="9"/>
        <v>7575514222</v>
      </c>
      <c r="O8">
        <f t="shared" si="10"/>
        <v>0.68788542992925805</v>
      </c>
      <c r="P8" t="e">
        <f ca="1">($B$81*(EXP($B$79*6))+($B$82*(EXP($B$80*6))))</f>
        <v>#NAME?</v>
      </c>
      <c r="Q8" t="e">
        <f t="shared" ca="1" si="7"/>
        <v>#NAME?</v>
      </c>
      <c r="R8" t="e">
        <f t="shared" ca="1" si="4"/>
        <v>#NAME?</v>
      </c>
      <c r="S8" t="e">
        <f t="shared" ca="1" si="8"/>
        <v>#NAME?</v>
      </c>
    </row>
    <row r="9" spans="1:19" x14ac:dyDescent="0.35">
      <c r="A9" s="18">
        <v>8</v>
      </c>
      <c r="B9" s="18" t="s">
        <v>20</v>
      </c>
      <c r="C9" s="19">
        <v>55486833070</v>
      </c>
      <c r="D9" s="19">
        <f t="shared" si="0"/>
        <v>0.78442509704012542</v>
      </c>
      <c r="E9" s="19">
        <f>SUM($D$2:D9)</f>
        <v>2.7928232354458702</v>
      </c>
      <c r="F9" s="19">
        <f t="shared" si="5"/>
        <v>2.4006106869258073</v>
      </c>
      <c r="G9" s="19">
        <f>(1-EXP($B$43))*($D$2-($B$44/$B$43))*(EXP($C$43*7))</f>
        <v>0.61167353281584635</v>
      </c>
      <c r="H9" s="19">
        <f t="shared" si="6"/>
        <v>49235900209.489395</v>
      </c>
      <c r="I9" s="7">
        <f t="shared" si="1"/>
        <v>49235900209.489395</v>
      </c>
      <c r="J9" s="19">
        <f t="shared" si="2"/>
        <v>11.265614767785854</v>
      </c>
      <c r="K9" s="18">
        <v>4</v>
      </c>
      <c r="L9" s="19">
        <f>H9*(1+(O23/200))</f>
        <v>53307644168.573761</v>
      </c>
      <c r="M9" s="7">
        <f t="shared" si="3"/>
        <v>53307644168.573761</v>
      </c>
      <c r="N9">
        <f t="shared" si="9"/>
        <v>15603624759</v>
      </c>
      <c r="O9">
        <f t="shared" si="10"/>
        <v>0.94613639874690492</v>
      </c>
      <c r="P9" t="e">
        <f ca="1">($B$81*(EXP($B$79*7))+($B$82*(EXP($B$80*7))))</f>
        <v>#NAME?</v>
      </c>
      <c r="Q9" t="e">
        <f t="shared" ca="1" si="7"/>
        <v>#NAME?</v>
      </c>
      <c r="R9" t="e">
        <f t="shared" ca="1" si="4"/>
        <v>#NAME?</v>
      </c>
      <c r="S9" t="e">
        <f t="shared" ca="1" si="8"/>
        <v>#NAME?</v>
      </c>
    </row>
    <row r="10" spans="1:19" x14ac:dyDescent="0.35">
      <c r="A10" s="18">
        <v>9</v>
      </c>
      <c r="B10" s="18" t="s">
        <v>21</v>
      </c>
      <c r="C10" s="19">
        <v>63287307994</v>
      </c>
      <c r="D10" s="19">
        <f t="shared" si="0"/>
        <v>1</v>
      </c>
      <c r="E10" s="19">
        <f>SUM($D$2:D10)</f>
        <v>3.7928232354458702</v>
      </c>
      <c r="F10" s="19">
        <f>(E9+E10)/2</f>
        <v>3.2928232354458702</v>
      </c>
      <c r="G10" s="19">
        <f>(1-EXP($B$43))*($D$2-($B$44/$B$43))*(EXP($C$43*8))</f>
        <v>0.73884742390737346</v>
      </c>
      <c r="H10" s="19">
        <f t="shared" si="6"/>
        <v>53837626731.577225</v>
      </c>
      <c r="I10" s="7">
        <f t="shared" si="1"/>
        <v>53837626731.577225</v>
      </c>
      <c r="J10" s="19">
        <f t="shared" si="2"/>
        <v>14.931400247453499</v>
      </c>
      <c r="K10" s="18">
        <v>4</v>
      </c>
      <c r="L10" s="19">
        <f>H10*(1+(O23/200))</f>
        <v>58289927400.053452</v>
      </c>
      <c r="M10" s="7">
        <f t="shared" si="3"/>
        <v>58289927400.053452</v>
      </c>
      <c r="N10">
        <f t="shared" si="9"/>
        <v>7800474924</v>
      </c>
      <c r="O10">
        <f t="shared" si="10"/>
        <v>0.6951220417035533</v>
      </c>
      <c r="P10" t="e">
        <f ca="1">($B$81*(EXP($B$79*8))+($B$82*(EXP($B$80*8))))</f>
        <v>#NAME?</v>
      </c>
      <c r="Q10" t="e">
        <f t="shared" ca="1" si="7"/>
        <v>#NAME?</v>
      </c>
      <c r="R10" t="e">
        <f t="shared" ca="1" si="4"/>
        <v>#NAME?</v>
      </c>
      <c r="S10" t="e">
        <f t="shared" ca="1" si="8"/>
        <v>#NAME?</v>
      </c>
    </row>
    <row r="11" spans="1:19" x14ac:dyDescent="0.35">
      <c r="A11" s="18">
        <v>10</v>
      </c>
      <c r="B11" s="18" t="s">
        <v>22</v>
      </c>
      <c r="C11" s="19">
        <v>60979304569</v>
      </c>
      <c r="D11" s="19">
        <f t="shared" si="0"/>
        <v>0.93621572798797026</v>
      </c>
      <c r="E11" s="19">
        <f>SUM($D$2:D11)</f>
        <v>4.7290389634338403</v>
      </c>
      <c r="F11" s="19">
        <f>(E10+E11)/2</f>
        <v>4.2609310994398548</v>
      </c>
      <c r="G11" s="19">
        <f>(1-EXP($B$43))*($D$2-($B$44/$B$43))*(EXP($C$43*9))</f>
        <v>0.8924622147725203</v>
      </c>
      <c r="H11" s="19">
        <f t="shared" si="6"/>
        <v>59396104586.126541</v>
      </c>
      <c r="I11" s="7">
        <f t="shared" si="1"/>
        <v>59396104586.126541</v>
      </c>
      <c r="J11" s="19">
        <f t="shared" si="2"/>
        <v>2.5962906498581306</v>
      </c>
      <c r="K11" s="18">
        <v>4</v>
      </c>
      <c r="L11" s="19">
        <f>H11*(1+(O23/200))</f>
        <v>64308084036.338608</v>
      </c>
      <c r="M11" s="7">
        <f t="shared" si="3"/>
        <v>64308084036.338608</v>
      </c>
      <c r="N11">
        <f>C11-C10</f>
        <v>-2308003425</v>
      </c>
      <c r="O11">
        <f t="shared" si="10"/>
        <v>0.36994909909519491</v>
      </c>
      <c r="P11" t="e">
        <f ca="1">($B$81*(EXP($B$79*9))+($B$82*(EXP($B$80*9))))</f>
        <v>#NAME?</v>
      </c>
      <c r="Q11" t="e">
        <f t="shared" ca="1" si="7"/>
        <v>#NAME?</v>
      </c>
      <c r="R11" t="e">
        <f t="shared" ca="1" si="4"/>
        <v>#NAME?</v>
      </c>
      <c r="S11" t="e">
        <f t="shared" ca="1" si="8"/>
        <v>#NAME?</v>
      </c>
    </row>
    <row r="12" spans="1:19" x14ac:dyDescent="0.35">
      <c r="A12" s="18">
        <v>11</v>
      </c>
      <c r="B12" s="18" t="s">
        <v>23</v>
      </c>
      <c r="C12" s="19">
        <v>56334971985</v>
      </c>
      <c r="D12" s="19">
        <f t="shared" si="0"/>
        <v>0.80786437042783621</v>
      </c>
      <c r="E12" s="19">
        <f>SUM($D$2:D12)</f>
        <v>5.5369033338616767</v>
      </c>
      <c r="F12" s="19">
        <f t="shared" si="5"/>
        <v>5.1329711486477585</v>
      </c>
      <c r="G12" s="19">
        <f>(1-EXP($B$43))*($D$2-($B$44/$B$43))*(EXP($C$43*10))</f>
        <v>1.0780152694915872</v>
      </c>
      <c r="H12" s="19">
        <f t="shared" si="6"/>
        <v>66110253267.325714</v>
      </c>
      <c r="I12" s="7">
        <f t="shared" si="1"/>
        <v>66110253267.325714</v>
      </c>
      <c r="J12" s="19">
        <f t="shared" si="2"/>
        <v>-17.352065578249555</v>
      </c>
      <c r="K12" s="18">
        <v>2</v>
      </c>
      <c r="L12" s="19">
        <f>H12*(1+(O21/200))</f>
        <v>53961660607.028481</v>
      </c>
      <c r="M12" s="7">
        <f t="shared" si="3"/>
        <v>53961660607.028481</v>
      </c>
      <c r="N12">
        <f>C12-C11</f>
        <v>-4644332584</v>
      </c>
      <c r="O12">
        <f t="shared" si="10"/>
        <v>0.29479327432074731</v>
      </c>
      <c r="P12" t="e">
        <f ca="1">($B$81*(EXP($B$79*10))+($B$82*(EXP($B$80*10))))</f>
        <v>#NAME?</v>
      </c>
      <c r="Q12" t="e">
        <f t="shared" ca="1" si="7"/>
        <v>#NAME?</v>
      </c>
      <c r="R12" t="e">
        <f t="shared" ca="1" si="4"/>
        <v>#NAME?</v>
      </c>
      <c r="S12" t="e">
        <f t="shared" ca="1" si="8"/>
        <v>#NAME?</v>
      </c>
    </row>
    <row r="13" spans="1:19" x14ac:dyDescent="0.35">
      <c r="A13" s="20"/>
      <c r="B13" s="20"/>
      <c r="C13" s="20"/>
      <c r="D13" s="20"/>
      <c r="E13" s="20"/>
      <c r="F13" s="21" t="s">
        <v>26</v>
      </c>
      <c r="G13" s="22">
        <f>(1-EXP($B$43))*($D$2-($B$44/$B$43))*(EXP($C$43*11))</f>
        <v>1.302146916722106</v>
      </c>
      <c r="H13" s="22">
        <f t="shared" si="6"/>
        <v>74220349896.810913</v>
      </c>
      <c r="I13" s="8">
        <f t="shared" si="1"/>
        <v>74220349896.810913</v>
      </c>
      <c r="J13" s="20"/>
      <c r="K13" s="21" t="s">
        <v>43</v>
      </c>
      <c r="L13" s="19">
        <f>H13*(1+(O23/200))</f>
        <v>80358274867.160553</v>
      </c>
      <c r="M13" s="32">
        <f t="shared" si="3"/>
        <v>80358274867.160553</v>
      </c>
    </row>
    <row r="14" spans="1:19" x14ac:dyDescent="0.35">
      <c r="A14" s="23" t="s">
        <v>24</v>
      </c>
      <c r="B14" s="19">
        <f>MIN(C2:C12)</f>
        <v>27102785506</v>
      </c>
      <c r="C14" s="20"/>
      <c r="D14" s="20"/>
      <c r="E14" s="20"/>
      <c r="F14" s="20"/>
      <c r="G14" s="20"/>
      <c r="H14" s="20"/>
      <c r="I14" s="20"/>
      <c r="J14" s="20"/>
      <c r="K14" s="33"/>
      <c r="L14" s="20"/>
      <c r="M14" s="20"/>
    </row>
    <row r="15" spans="1:19" x14ac:dyDescent="0.35">
      <c r="A15" s="23" t="s">
        <v>25</v>
      </c>
      <c r="B15" s="19">
        <f>MAX(C2:C12)</f>
        <v>63287307994</v>
      </c>
      <c r="C15" s="20"/>
      <c r="D15" s="20"/>
      <c r="E15" s="20"/>
      <c r="F15" s="20"/>
      <c r="G15" s="20"/>
      <c r="H15" s="20"/>
      <c r="I15" s="20"/>
      <c r="J15" s="20"/>
      <c r="K15" s="33"/>
      <c r="L15" s="24" t="s">
        <v>35</v>
      </c>
      <c r="M15" s="19">
        <f>MAX(J2:J12)</f>
        <v>14.931400247453499</v>
      </c>
      <c r="O15" s="27" t="s">
        <v>24</v>
      </c>
      <c r="P15" s="6">
        <f>MIN(N3:N12)</f>
        <v>-13808414340</v>
      </c>
    </row>
    <row r="16" spans="1:19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33"/>
      <c r="L16" s="24" t="s">
        <v>36</v>
      </c>
      <c r="M16" s="19">
        <f>MIN(J2:J12)</f>
        <v>-38.360857681027035</v>
      </c>
      <c r="O16" s="27" t="s">
        <v>25</v>
      </c>
      <c r="P16" s="6">
        <f>MAX(N3:N12)</f>
        <v>17278053888</v>
      </c>
    </row>
    <row r="17" spans="1:15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33"/>
      <c r="L17" s="20"/>
      <c r="M17" s="20"/>
    </row>
    <row r="18" spans="1:15" x14ac:dyDescent="0.35">
      <c r="A18" s="34" t="s">
        <v>27</v>
      </c>
      <c r="B18" s="34"/>
      <c r="C18" s="20"/>
      <c r="D18" s="25" t="s">
        <v>28</v>
      </c>
      <c r="E18" s="20"/>
      <c r="F18" s="20"/>
      <c r="G18" s="20"/>
      <c r="H18" s="20"/>
      <c r="I18" s="20"/>
      <c r="J18" s="20"/>
      <c r="K18" s="33"/>
      <c r="L18" s="20"/>
      <c r="M18" s="20"/>
    </row>
    <row r="19" spans="1:15" x14ac:dyDescent="0.35">
      <c r="A19" s="19">
        <f>-F3</f>
        <v>-0.5802100400236736</v>
      </c>
      <c r="B19" s="19">
        <v>1</v>
      </c>
      <c r="C19" s="20"/>
      <c r="D19" s="19">
        <f>D3</f>
        <v>0.14406738394098773</v>
      </c>
      <c r="E19" s="20"/>
      <c r="F19" s="20"/>
      <c r="G19" s="20"/>
      <c r="H19" s="20"/>
      <c r="I19" s="20"/>
      <c r="J19" s="20"/>
      <c r="K19" s="33"/>
      <c r="L19" s="9" t="s">
        <v>37</v>
      </c>
      <c r="M19" s="9" t="s">
        <v>38</v>
      </c>
      <c r="N19" s="9" t="s">
        <v>39</v>
      </c>
      <c r="O19" s="9" t="s">
        <v>40</v>
      </c>
    </row>
    <row r="20" spans="1:15" x14ac:dyDescent="0.35">
      <c r="A20" s="19">
        <f t="shared" ref="A20:A27" si="11">-F4</f>
        <v>-0.84304926693772431</v>
      </c>
      <c r="B20" s="19">
        <v>1</v>
      </c>
      <c r="C20" s="20"/>
      <c r="D20" s="19">
        <f t="shared" ref="D20:D28" si="12">D4</f>
        <v>0.38161106988711357</v>
      </c>
      <c r="E20" s="20"/>
      <c r="F20" s="20"/>
      <c r="G20" s="20"/>
      <c r="H20" s="20"/>
      <c r="I20" s="20"/>
      <c r="J20" s="20"/>
      <c r="K20" s="33"/>
      <c r="L20" s="10">
        <v>1</v>
      </c>
      <c r="M20" s="12">
        <f>$M$16+(1-1)/4*($M$15-$M$16)</f>
        <v>-38.360857681027035</v>
      </c>
      <c r="N20" s="11">
        <f>$M$16+(1)/4*($M$15-$M$16)</f>
        <v>-25.0377931989069</v>
      </c>
      <c r="O20" s="11">
        <f>SUM(M20:N20)</f>
        <v>-63.398650879933939</v>
      </c>
    </row>
    <row r="21" spans="1:15" x14ac:dyDescent="0.35">
      <c r="A21" s="19">
        <f t="shared" si="11"/>
        <v>-1.0338548018812812</v>
      </c>
      <c r="B21" s="19">
        <v>1</v>
      </c>
      <c r="C21" s="20"/>
      <c r="D21" s="19">
        <f t="shared" si="12"/>
        <v>0</v>
      </c>
      <c r="E21" s="20"/>
      <c r="F21" s="20"/>
      <c r="G21" s="20"/>
      <c r="H21" s="20"/>
      <c r="I21" s="20"/>
      <c r="J21" s="20"/>
      <c r="K21" s="33"/>
      <c r="L21" s="10">
        <v>2</v>
      </c>
      <c r="M21" s="12">
        <f>$M$16+(2-1)/4*($M$15-$M$16)</f>
        <v>-25.0377931989069</v>
      </c>
      <c r="N21" s="11">
        <f>$M$16+(2)/4*($M$15-$M$16)</f>
        <v>-11.714728716786766</v>
      </c>
      <c r="O21" s="11">
        <f t="shared" ref="O21:O23" si="13">SUM(M21:N21)</f>
        <v>-36.752521915693663</v>
      </c>
    </row>
    <row r="22" spans="1:15" x14ac:dyDescent="0.35">
      <c r="A22" s="19">
        <f t="shared" si="11"/>
        <v>-1.2726040335967195</v>
      </c>
      <c r="B22" s="19">
        <v>1</v>
      </c>
      <c r="C22" s="20"/>
      <c r="D22" s="19">
        <f t="shared" si="12"/>
        <v>0.4774984634308766</v>
      </c>
      <c r="E22" s="20"/>
      <c r="F22" s="20"/>
      <c r="G22" s="20"/>
      <c r="H22" s="20"/>
      <c r="I22" s="20"/>
      <c r="J22" s="20"/>
      <c r="K22" s="33"/>
      <c r="L22" s="10">
        <v>3</v>
      </c>
      <c r="M22" s="12">
        <f>$M$16+(3-1)/4*($M$15-$M$16)</f>
        <v>-11.714728716786766</v>
      </c>
      <c r="N22" s="11">
        <f>$M$16+(3)/4*($M$15-$M$16)</f>
        <v>1.6083357653333721</v>
      </c>
      <c r="O22" s="11">
        <f t="shared" si="13"/>
        <v>-10.106392951453394</v>
      </c>
    </row>
    <row r="23" spans="1:15" x14ac:dyDescent="0.35">
      <c r="A23" s="19">
        <f t="shared" si="11"/>
        <v>-1.5832750183866404</v>
      </c>
      <c r="B23" s="19">
        <v>1</v>
      </c>
      <c r="C23" s="20"/>
      <c r="D23" s="19">
        <f t="shared" si="12"/>
        <v>0.14384350614896527</v>
      </c>
      <c r="E23" s="20"/>
      <c r="F23" s="20"/>
      <c r="G23" s="20"/>
      <c r="H23" s="20"/>
      <c r="I23" s="20"/>
      <c r="J23" s="20"/>
      <c r="K23" s="33"/>
      <c r="L23" s="10">
        <v>4</v>
      </c>
      <c r="M23" s="12">
        <f>$M$16+(4-1)/4*($M$15-$M$16)</f>
        <v>1.6083357653333721</v>
      </c>
      <c r="N23" s="11">
        <f>$M$16+(4)/4*($M$15-$M$16)</f>
        <v>14.931400247453503</v>
      </c>
      <c r="O23" s="11">
        <f t="shared" si="13"/>
        <v>16.539736012786875</v>
      </c>
    </row>
    <row r="24" spans="1:15" x14ac:dyDescent="0.35">
      <c r="A24" s="19">
        <f t="shared" si="11"/>
        <v>-1.8317974549334339</v>
      </c>
      <c r="B24" s="19">
        <v>1</v>
      </c>
      <c r="C24" s="20"/>
      <c r="D24" s="19">
        <f t="shared" si="12"/>
        <v>0.35320136694462162</v>
      </c>
      <c r="E24" s="20"/>
      <c r="F24" s="20"/>
      <c r="G24" s="20"/>
      <c r="H24" s="20"/>
      <c r="I24" s="20"/>
      <c r="J24" s="20"/>
      <c r="K24" s="33"/>
      <c r="L24" s="20"/>
      <c r="M24" s="20"/>
    </row>
    <row r="25" spans="1:15" x14ac:dyDescent="0.35">
      <c r="A25" s="19">
        <f t="shared" si="11"/>
        <v>-2.4006106869258073</v>
      </c>
      <c r="B25" s="19">
        <v>1</v>
      </c>
      <c r="C25" s="20"/>
      <c r="D25" s="19">
        <f t="shared" si="12"/>
        <v>0.78442509704012542</v>
      </c>
      <c r="E25" s="20"/>
      <c r="F25" s="20"/>
      <c r="G25" s="20"/>
      <c r="H25" s="20"/>
      <c r="I25" s="20"/>
      <c r="J25" s="20"/>
      <c r="K25" s="33"/>
      <c r="L25" s="13"/>
      <c r="M25" s="14" t="s">
        <v>2</v>
      </c>
      <c r="N25" s="17" t="s">
        <v>41</v>
      </c>
      <c r="O25" s="9" t="s">
        <v>10</v>
      </c>
    </row>
    <row r="26" spans="1:15" x14ac:dyDescent="0.35">
      <c r="A26" s="19">
        <f t="shared" si="11"/>
        <v>-3.2928232354458702</v>
      </c>
      <c r="B26" s="19">
        <v>1</v>
      </c>
      <c r="C26" s="20"/>
      <c r="D26" s="19">
        <f t="shared" si="12"/>
        <v>1</v>
      </c>
      <c r="E26" s="20"/>
      <c r="F26" s="20"/>
      <c r="G26" s="20"/>
      <c r="H26" s="20"/>
      <c r="I26" s="20"/>
      <c r="J26" s="20"/>
      <c r="K26" s="33"/>
      <c r="L26" s="18" t="s">
        <v>13</v>
      </c>
      <c r="M26" s="15">
        <f>C2</f>
        <v>45490904000</v>
      </c>
      <c r="N26" s="11">
        <f>J2</f>
        <v>0</v>
      </c>
      <c r="O26" s="10">
        <f>K2</f>
        <v>3</v>
      </c>
    </row>
    <row r="27" spans="1:15" x14ac:dyDescent="0.35">
      <c r="A27" s="19">
        <f t="shared" si="11"/>
        <v>-4.2609310994398548</v>
      </c>
      <c r="B27" s="19">
        <v>1</v>
      </c>
      <c r="C27" s="20"/>
      <c r="D27" s="19">
        <f t="shared" si="12"/>
        <v>0.93621572798797026</v>
      </c>
      <c r="E27" s="20"/>
      <c r="F27" s="20"/>
      <c r="G27" s="20"/>
      <c r="H27" s="20"/>
      <c r="I27" s="20"/>
      <c r="J27" s="20"/>
      <c r="K27" s="33"/>
      <c r="L27" s="18" t="s">
        <v>14</v>
      </c>
      <c r="M27" s="15">
        <f t="shared" ref="M27:M36" si="14">C3</f>
        <v>32315795000</v>
      </c>
      <c r="N27" s="11">
        <f t="shared" ref="N27:N36" si="15">J3</f>
        <v>-5.9189793098694761</v>
      </c>
      <c r="O27" s="10">
        <f t="shared" ref="O27:O36" si="16">K3</f>
        <v>3</v>
      </c>
    </row>
    <row r="28" spans="1:15" x14ac:dyDescent="0.35">
      <c r="A28" s="19">
        <f>-F12</f>
        <v>-5.1329711486477585</v>
      </c>
      <c r="B28" s="19">
        <v>1</v>
      </c>
      <c r="C28" s="20"/>
      <c r="D28" s="19">
        <f t="shared" si="12"/>
        <v>0.80786437042783621</v>
      </c>
      <c r="E28" s="20"/>
      <c r="F28" s="20"/>
      <c r="G28" s="20"/>
      <c r="H28" s="20"/>
      <c r="I28" s="20"/>
      <c r="J28" s="20"/>
      <c r="K28" s="33"/>
      <c r="L28" s="18" t="s">
        <v>15</v>
      </c>
      <c r="M28" s="15">
        <f t="shared" si="14"/>
        <v>40911199846</v>
      </c>
      <c r="N28" s="11">
        <f t="shared" si="15"/>
        <v>12.713168909880332</v>
      </c>
      <c r="O28" s="10">
        <f t="shared" si="16"/>
        <v>4</v>
      </c>
    </row>
    <row r="29" spans="1:15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33"/>
      <c r="L29" s="18" t="s">
        <v>16</v>
      </c>
      <c r="M29" s="15">
        <f t="shared" si="14"/>
        <v>27102785506</v>
      </c>
      <c r="N29" s="11">
        <f t="shared" si="15"/>
        <v>-38.360857681027035</v>
      </c>
      <c r="O29" s="10">
        <f t="shared" si="16"/>
        <v>1</v>
      </c>
    </row>
    <row r="30" spans="1:15" x14ac:dyDescent="0.35">
      <c r="A30" s="34" t="s">
        <v>29</v>
      </c>
      <c r="B30" s="34"/>
      <c r="C30" s="34"/>
      <c r="D30" s="34"/>
      <c r="E30" s="34"/>
      <c r="F30" s="34"/>
      <c r="G30" s="34"/>
      <c r="H30" s="34"/>
      <c r="I30" s="34"/>
      <c r="J30" s="34"/>
      <c r="K30" s="33"/>
      <c r="L30" s="18" t="s">
        <v>17</v>
      </c>
      <c r="M30" s="15">
        <f t="shared" si="14"/>
        <v>44380839394</v>
      </c>
      <c r="N30" s="11">
        <f t="shared" si="15"/>
        <v>10.634244905328281</v>
      </c>
      <c r="O30" s="10">
        <f t="shared" si="16"/>
        <v>4</v>
      </c>
    </row>
    <row r="31" spans="1:15" x14ac:dyDescent="0.35">
      <c r="A31" s="19">
        <f>A19</f>
        <v>-0.5802100400236736</v>
      </c>
      <c r="B31" s="19">
        <f>A20</f>
        <v>-0.84304926693772431</v>
      </c>
      <c r="C31" s="19">
        <f>A21</f>
        <v>-1.0338548018812812</v>
      </c>
      <c r="D31" s="19">
        <f>A22</f>
        <v>-1.2726040335967195</v>
      </c>
      <c r="E31" s="19">
        <f>A23</f>
        <v>-1.5832750183866404</v>
      </c>
      <c r="F31" s="19">
        <f>A24</f>
        <v>-1.8317974549334339</v>
      </c>
      <c r="G31" s="19">
        <f>A25</f>
        <v>-2.4006106869258073</v>
      </c>
      <c r="H31" s="19">
        <f>A26</f>
        <v>-3.2928232354458702</v>
      </c>
      <c r="I31" s="19">
        <f>A27</f>
        <v>-4.2609310994398548</v>
      </c>
      <c r="J31" s="19">
        <f>A28</f>
        <v>-5.1329711486477585</v>
      </c>
      <c r="K31" s="33"/>
      <c r="L31" s="18" t="s">
        <v>18</v>
      </c>
      <c r="M31" s="15">
        <f t="shared" si="14"/>
        <v>32307694089</v>
      </c>
      <c r="N31" s="11">
        <f t="shared" si="15"/>
        <v>-30.84290228285554</v>
      </c>
      <c r="O31" s="10">
        <f t="shared" si="16"/>
        <v>1</v>
      </c>
    </row>
    <row r="32" spans="1:15" x14ac:dyDescent="0.35">
      <c r="A32" s="19">
        <v>1</v>
      </c>
      <c r="B32" s="19">
        <v>1</v>
      </c>
      <c r="C32" s="19">
        <v>1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33"/>
      <c r="L32" s="18" t="s">
        <v>19</v>
      </c>
      <c r="M32" s="15">
        <f t="shared" si="14"/>
        <v>39883208311</v>
      </c>
      <c r="N32" s="11">
        <f t="shared" si="15"/>
        <v>-13.898170201572871</v>
      </c>
      <c r="O32" s="10">
        <f t="shared" si="16"/>
        <v>2</v>
      </c>
    </row>
    <row r="33" spans="1:15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33"/>
      <c r="L33" s="18" t="s">
        <v>20</v>
      </c>
      <c r="M33" s="15">
        <f t="shared" si="14"/>
        <v>55486833070</v>
      </c>
      <c r="N33" s="11">
        <f t="shared" si="15"/>
        <v>11.265614767785854</v>
      </c>
      <c r="O33" s="10">
        <f t="shared" si="16"/>
        <v>4</v>
      </c>
    </row>
    <row r="34" spans="1:15" x14ac:dyDescent="0.35">
      <c r="A34" s="34" t="s">
        <v>30</v>
      </c>
      <c r="B34" s="34"/>
      <c r="C34" s="20"/>
      <c r="D34" s="34" t="s">
        <v>31</v>
      </c>
      <c r="E34" s="34"/>
      <c r="F34" s="20"/>
      <c r="G34" s="20"/>
      <c r="H34" s="20"/>
      <c r="I34" s="20"/>
      <c r="J34" s="20"/>
      <c r="K34" s="33"/>
      <c r="L34" s="18" t="s">
        <v>21</v>
      </c>
      <c r="M34" s="15">
        <f t="shared" si="14"/>
        <v>63287307994</v>
      </c>
      <c r="N34" s="11">
        <f t="shared" si="15"/>
        <v>14.931400247453499</v>
      </c>
      <c r="O34" s="10">
        <f t="shared" si="16"/>
        <v>4</v>
      </c>
    </row>
    <row r="35" spans="1:15" x14ac:dyDescent="0.35">
      <c r="A35" s="19" cm="1">
        <f t="array" ref="A35:B36">MMULT(A31:J32,A19:B28)</f>
        <v>70.706537411574573</v>
      </c>
      <c r="B35" s="19">
        <v>-22.232126786218764</v>
      </c>
      <c r="C35" s="20"/>
      <c r="D35" s="19">
        <f t="array" ref="D35:E36">MINVERSE((A35:B36))</f>
        <v>4.6992942149613325E-2</v>
      </c>
      <c r="E35" s="19">
        <v>0.10447530479276472</v>
      </c>
      <c r="F35" s="20"/>
      <c r="G35" s="20"/>
      <c r="H35" s="20"/>
      <c r="I35" s="20"/>
      <c r="J35" s="20"/>
      <c r="K35" s="33"/>
      <c r="L35" s="18" t="s">
        <v>22</v>
      </c>
      <c r="M35" s="15">
        <f t="shared" si="14"/>
        <v>60979304569</v>
      </c>
      <c r="N35" s="11">
        <f t="shared" si="15"/>
        <v>2.5962906498581306</v>
      </c>
      <c r="O35" s="10">
        <f t="shared" si="16"/>
        <v>4</v>
      </c>
    </row>
    <row r="36" spans="1:15" x14ac:dyDescent="0.35">
      <c r="A36" s="19">
        <v>-22.232126786218764</v>
      </c>
      <c r="B36" s="19">
        <v>10</v>
      </c>
      <c r="C36" s="20"/>
      <c r="D36" s="19">
        <v>0.10447530479276472</v>
      </c>
      <c r="E36" s="19">
        <v>0.3322708222181594</v>
      </c>
      <c r="F36" s="20"/>
      <c r="G36" s="20"/>
      <c r="H36" s="20"/>
      <c r="I36" s="20"/>
      <c r="J36" s="20"/>
      <c r="K36" s="33"/>
      <c r="L36" s="18" t="s">
        <v>23</v>
      </c>
      <c r="M36" s="15">
        <f t="shared" si="14"/>
        <v>56334971985</v>
      </c>
      <c r="N36" s="11">
        <f t="shared" si="15"/>
        <v>-17.352065578249555</v>
      </c>
      <c r="O36" s="10">
        <f t="shared" si="16"/>
        <v>2</v>
      </c>
    </row>
    <row r="37" spans="1:15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33"/>
      <c r="L37" s="19"/>
      <c r="M37" s="19"/>
      <c r="N37" s="6" t="s">
        <v>42</v>
      </c>
      <c r="O37" s="6">
        <f>1+3.3*LOG(10)</f>
        <v>4.3</v>
      </c>
    </row>
    <row r="38" spans="1:15" x14ac:dyDescent="0.35">
      <c r="A38" s="34" t="s">
        <v>32</v>
      </c>
      <c r="B38" s="34"/>
      <c r="C38" s="34"/>
      <c r="D38" s="34"/>
      <c r="E38" s="34"/>
      <c r="F38" s="34"/>
      <c r="G38" s="34"/>
      <c r="H38" s="34"/>
      <c r="I38" s="34"/>
      <c r="J38" s="34"/>
      <c r="K38" s="33"/>
      <c r="L38" s="19"/>
      <c r="M38" s="19"/>
      <c r="N38" s="6" t="s">
        <v>42</v>
      </c>
      <c r="O38" s="6">
        <f>LN(11)/LN(2)</f>
        <v>3.4594316186372978</v>
      </c>
    </row>
    <row r="39" spans="1:15" x14ac:dyDescent="0.35">
      <c r="A39" s="19">
        <f t="array" ref="A39:J40">MMULT((D35:E36),A31:J32)</f>
        <v>7.7209527947307399E-2</v>
      </c>
      <c r="B39" s="19">
        <v>6.4857939362286315E-2</v>
      </c>
      <c r="C39" s="19">
        <v>5.5891425896857728E-2</v>
      </c>
      <c r="D39" s="19">
        <v>4.4671897062589512E-2</v>
      </c>
      <c r="E39" s="19">
        <v>3.0072553446793354E-2</v>
      </c>
      <c r="F39" s="19">
        <v>1.8393752963268936E-2</v>
      </c>
      <c r="G39" s="19">
        <v>-8.3364543416832443E-3</v>
      </c>
      <c r="H39" s="19">
        <v>-5.0264147019445635E-2</v>
      </c>
      <c r="I39" s="19">
        <v>-9.5758383866700672E-2</v>
      </c>
      <c r="J39" s="19">
        <v>-0.13673811145127363</v>
      </c>
      <c r="K39" s="33"/>
      <c r="L39" s="20"/>
      <c r="M39" s="20"/>
    </row>
    <row r="40" spans="1:15" x14ac:dyDescent="0.35">
      <c r="A40" s="19">
        <v>0.27165320144286387</v>
      </c>
      <c r="B40" s="19">
        <v>0.2441929930995238</v>
      </c>
      <c r="C40" s="19">
        <v>0.22425852668014917</v>
      </c>
      <c r="D40" s="19">
        <v>0.19931512792764033</v>
      </c>
      <c r="E40" s="19">
        <v>0.16685768210144497</v>
      </c>
      <c r="F40" s="19">
        <v>0.14089322479537819</v>
      </c>
      <c r="G40" s="19">
        <v>8.1466289012817383E-2</v>
      </c>
      <c r="H40" s="19">
        <v>-1.1747888933745565E-2</v>
      </c>
      <c r="I40" s="19">
        <v>-0.11289125309678949</v>
      </c>
      <c r="J40" s="19">
        <v>-0.20399790302928278</v>
      </c>
      <c r="K40" s="33"/>
      <c r="L40" s="20"/>
      <c r="M40" s="20"/>
    </row>
    <row r="41" spans="1:15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33"/>
      <c r="L41" s="20"/>
      <c r="M41" s="20"/>
    </row>
    <row r="42" spans="1:15" x14ac:dyDescent="0.35">
      <c r="A42" s="36" t="s">
        <v>33</v>
      </c>
      <c r="B42" s="37"/>
      <c r="C42" s="20"/>
      <c r="D42" s="20"/>
      <c r="E42" s="20"/>
      <c r="F42" s="20"/>
      <c r="G42" s="20"/>
      <c r="H42" s="20"/>
      <c r="I42" s="20"/>
      <c r="J42" s="20"/>
      <c r="K42" s="33"/>
      <c r="L42" s="20"/>
      <c r="M42" s="20"/>
    </row>
    <row r="43" spans="1:15" x14ac:dyDescent="0.35">
      <c r="A43" s="18" t="s">
        <v>56</v>
      </c>
      <c r="B43" s="18">
        <f t="array" ref="B43:B44">MMULT((A39:J40),D19:D28)</f>
        <v>-0.1888927396493415</v>
      </c>
      <c r="C43" s="20">
        <f>-B43</f>
        <v>0.1888927396493415</v>
      </c>
      <c r="D43" s="20"/>
      <c r="E43" s="20"/>
      <c r="F43" s="20"/>
      <c r="G43" s="20"/>
      <c r="H43" s="20"/>
      <c r="I43" s="20"/>
      <c r="J43" s="20"/>
      <c r="K43" s="33"/>
      <c r="L43" s="20"/>
      <c r="M43" s="20"/>
    </row>
    <row r="44" spans="1:15" x14ac:dyDescent="0.35">
      <c r="A44" s="18" t="s">
        <v>34</v>
      </c>
      <c r="B44" s="18">
        <v>8.2923964892812341E-2</v>
      </c>
      <c r="C44" s="20"/>
      <c r="D44" s="20"/>
      <c r="E44" s="20"/>
      <c r="F44" s="20"/>
      <c r="G44" s="20"/>
      <c r="H44" s="20"/>
      <c r="I44" s="20"/>
      <c r="J44" s="20"/>
      <c r="K44" s="33"/>
      <c r="L44" s="20"/>
      <c r="M44" s="20"/>
    </row>
    <row r="46" spans="1:15" x14ac:dyDescent="0.35">
      <c r="A46" s="38" t="s">
        <v>27</v>
      </c>
      <c r="B46" s="39"/>
      <c r="C46" s="40"/>
      <c r="E46" s="28" t="s">
        <v>28</v>
      </c>
    </row>
    <row r="47" spans="1:15" x14ac:dyDescent="0.35">
      <c r="A47" s="16">
        <f>-D3</f>
        <v>-0.14406738394098773</v>
      </c>
      <c r="B47" s="16">
        <f>-F3</f>
        <v>-0.5802100400236736</v>
      </c>
      <c r="C47" s="16">
        <v>1</v>
      </c>
      <c r="E47" s="16">
        <f>O3</f>
        <v>2.0372379884234432E-2</v>
      </c>
    </row>
    <row r="48" spans="1:15" x14ac:dyDescent="0.35">
      <c r="A48" s="16">
        <f t="shared" ref="A48:A56" si="17">-D4</f>
        <v>-0.38161106988711357</v>
      </c>
      <c r="B48" s="16">
        <f t="shared" ref="B48:B56" si="18">-F4</f>
        <v>-0.84304926693772431</v>
      </c>
      <c r="C48" s="16">
        <v>1</v>
      </c>
      <c r="E48" s="16">
        <f t="shared" ref="E48:E56" si="19">O4</f>
        <v>0.7206936156813265</v>
      </c>
    </row>
    <row r="49" spans="1:10" x14ac:dyDescent="0.35">
      <c r="A49" s="16">
        <f t="shared" si="17"/>
        <v>0</v>
      </c>
      <c r="B49" s="16">
        <f t="shared" si="18"/>
        <v>-1.0338548018812812</v>
      </c>
      <c r="C49" s="16">
        <v>1</v>
      </c>
      <c r="E49" s="16">
        <f t="shared" si="19"/>
        <v>0</v>
      </c>
    </row>
    <row r="50" spans="1:10" x14ac:dyDescent="0.35">
      <c r="A50" s="16">
        <f t="shared" si="17"/>
        <v>-0.4774984634308766</v>
      </c>
      <c r="B50" s="16">
        <f t="shared" si="18"/>
        <v>-1.2726040335967195</v>
      </c>
      <c r="C50" s="16">
        <v>1</v>
      </c>
      <c r="E50" s="16">
        <f t="shared" si="19"/>
        <v>1</v>
      </c>
    </row>
    <row r="51" spans="1:10" x14ac:dyDescent="0.35">
      <c r="A51" s="16">
        <f t="shared" si="17"/>
        <v>-0.14384350614896527</v>
      </c>
      <c r="B51" s="16">
        <f t="shared" si="18"/>
        <v>-1.5832750183866404</v>
      </c>
      <c r="C51" s="16">
        <v>1</v>
      </c>
      <c r="E51" s="16">
        <f t="shared" si="19"/>
        <v>5.5820719879559035E-2</v>
      </c>
    </row>
    <row r="52" spans="1:10" x14ac:dyDescent="0.35">
      <c r="A52" s="16">
        <f t="shared" si="17"/>
        <v>-0.35320136694462162</v>
      </c>
      <c r="B52" s="16">
        <f t="shared" si="18"/>
        <v>-1.8317974549334339</v>
      </c>
      <c r="C52" s="16">
        <v>1</v>
      </c>
      <c r="E52" s="16">
        <f t="shared" si="19"/>
        <v>0.68788542992925805</v>
      </c>
    </row>
    <row r="53" spans="1:10" x14ac:dyDescent="0.35">
      <c r="A53" s="16">
        <f t="shared" si="17"/>
        <v>-0.78442509704012542</v>
      </c>
      <c r="B53" s="16">
        <f t="shared" si="18"/>
        <v>-2.4006106869258073</v>
      </c>
      <c r="C53" s="16">
        <v>1</v>
      </c>
      <c r="E53" s="16">
        <f t="shared" si="19"/>
        <v>0.94613639874690492</v>
      </c>
    </row>
    <row r="54" spans="1:10" x14ac:dyDescent="0.35">
      <c r="A54" s="16">
        <f t="shared" si="17"/>
        <v>-1</v>
      </c>
      <c r="B54" s="16">
        <f t="shared" si="18"/>
        <v>-3.2928232354458702</v>
      </c>
      <c r="C54" s="16">
        <v>1</v>
      </c>
      <c r="E54" s="16">
        <f t="shared" si="19"/>
        <v>0.6951220417035533</v>
      </c>
    </row>
    <row r="55" spans="1:10" x14ac:dyDescent="0.35">
      <c r="A55" s="16">
        <f t="shared" si="17"/>
        <v>-0.93621572798797026</v>
      </c>
      <c r="B55" s="16">
        <f t="shared" si="18"/>
        <v>-4.2609310994398548</v>
      </c>
      <c r="C55" s="16">
        <v>1</v>
      </c>
      <c r="E55" s="16">
        <f t="shared" si="19"/>
        <v>0.36994909909519491</v>
      </c>
    </row>
    <row r="56" spans="1:10" x14ac:dyDescent="0.35">
      <c r="A56" s="16">
        <f t="shared" si="17"/>
        <v>-0.80786437042783621</v>
      </c>
      <c r="B56" s="16">
        <f t="shared" si="18"/>
        <v>-5.1329711486477585</v>
      </c>
      <c r="C56" s="16">
        <v>1</v>
      </c>
      <c r="E56" s="16">
        <f t="shared" si="19"/>
        <v>0.29479327432074731</v>
      </c>
    </row>
    <row r="57" spans="1:10" x14ac:dyDescent="0.35">
      <c r="A57" s="29"/>
    </row>
    <row r="58" spans="1:10" x14ac:dyDescent="0.35">
      <c r="A58" s="41" t="s">
        <v>29</v>
      </c>
      <c r="B58" s="41"/>
      <c r="C58" s="41"/>
      <c r="D58" s="41"/>
      <c r="E58" s="41"/>
      <c r="F58" s="41"/>
      <c r="G58" s="41"/>
      <c r="H58" s="41"/>
      <c r="I58" s="41"/>
      <c r="J58" s="41"/>
    </row>
    <row r="59" spans="1:10" x14ac:dyDescent="0.35">
      <c r="A59" s="6">
        <f>A47</f>
        <v>-0.14406738394098773</v>
      </c>
      <c r="B59" s="6">
        <f>A48</f>
        <v>-0.38161106988711357</v>
      </c>
      <c r="C59" s="6">
        <f>A49</f>
        <v>0</v>
      </c>
      <c r="D59" s="6">
        <f>A50</f>
        <v>-0.4774984634308766</v>
      </c>
      <c r="E59" s="6">
        <f>A51</f>
        <v>-0.14384350614896527</v>
      </c>
      <c r="F59" s="6">
        <f>A52</f>
        <v>-0.35320136694462162</v>
      </c>
      <c r="G59" s="6">
        <f>A53</f>
        <v>-0.78442509704012542</v>
      </c>
      <c r="H59" s="6">
        <f>A54</f>
        <v>-1</v>
      </c>
      <c r="I59" s="6">
        <f>A55</f>
        <v>-0.93621572798797026</v>
      </c>
      <c r="J59" s="6">
        <f>A56</f>
        <v>-0.80786437042783621</v>
      </c>
    </row>
    <row r="60" spans="1:10" x14ac:dyDescent="0.35">
      <c r="A60" s="19">
        <f>B47</f>
        <v>-0.5802100400236736</v>
      </c>
      <c r="B60" s="19">
        <f>B48</f>
        <v>-0.84304926693772431</v>
      </c>
      <c r="C60" s="19">
        <f>B49</f>
        <v>-1.0338548018812812</v>
      </c>
      <c r="D60" s="19">
        <f>B50</f>
        <v>-1.2726040335967195</v>
      </c>
      <c r="E60" s="19">
        <f>B51</f>
        <v>-1.5832750183866404</v>
      </c>
      <c r="F60" s="19">
        <f>B52</f>
        <v>-1.8317974549334339</v>
      </c>
      <c r="G60" s="19">
        <f>B53</f>
        <v>-2.4006106869258073</v>
      </c>
      <c r="H60" s="19">
        <f>B54</f>
        <v>-3.2928232354458702</v>
      </c>
      <c r="I60" s="19">
        <f>B55</f>
        <v>-4.2609310994398548</v>
      </c>
      <c r="J60" s="19">
        <f>B56</f>
        <v>-5.1329711486477585</v>
      </c>
    </row>
    <row r="61" spans="1:10" x14ac:dyDescent="0.35">
      <c r="A61" s="19">
        <v>1</v>
      </c>
      <c r="B61" s="19">
        <v>1</v>
      </c>
      <c r="C61" s="19">
        <v>1</v>
      </c>
      <c r="D61" s="19">
        <v>1</v>
      </c>
      <c r="E61" s="19">
        <v>1</v>
      </c>
      <c r="F61" s="19">
        <v>1</v>
      </c>
      <c r="G61" s="19">
        <v>1</v>
      </c>
      <c r="H61" s="19">
        <v>1</v>
      </c>
      <c r="I61" s="19">
        <v>1</v>
      </c>
      <c r="J61" s="19">
        <v>1</v>
      </c>
    </row>
    <row r="63" spans="1:10" x14ac:dyDescent="0.35">
      <c r="A63" s="38" t="s">
        <v>30</v>
      </c>
      <c r="B63" s="39"/>
      <c r="C63" s="40"/>
      <c r="E63" s="38" t="s">
        <v>31</v>
      </c>
      <c r="F63" s="39"/>
      <c r="G63" s="40"/>
    </row>
    <row r="64" spans="1:10" x14ac:dyDescent="0.35">
      <c r="A64" s="6" cm="1">
        <f t="array" ref="A64:C66">MMULT(A59:J61,A47:C56)</f>
        <v>3.6842968254328321</v>
      </c>
      <c r="B64" s="6">
        <v>15.19952766390394</v>
      </c>
      <c r="C64" s="6">
        <v>-5.0287269858084969</v>
      </c>
      <c r="E64" s="6" t="e" cm="1">
        <f t="array" aca="1" ref="E64:G66" ca="1">MINVERSE(_xlfn.ANCHORARRAY(A64))</f>
        <v>#NAME?</v>
      </c>
      <c r="F64" s="6" t="e">
        <f ca="1"/>
        <v>#NAME?</v>
      </c>
      <c r="G64" s="6" t="e">
        <f ca="1"/>
        <v>#NAME?</v>
      </c>
    </row>
    <row r="65" spans="1:10" x14ac:dyDescent="0.35">
      <c r="A65" s="6">
        <v>15.19952766390394</v>
      </c>
      <c r="B65" s="6">
        <v>70.706537411574573</v>
      </c>
      <c r="C65" s="6">
        <v>-22.232126786218764</v>
      </c>
      <c r="E65" s="6" t="e">
        <f ca="1"/>
        <v>#NAME?</v>
      </c>
      <c r="F65" s="6" t="e">
        <f ca="1"/>
        <v>#NAME?</v>
      </c>
      <c r="G65" s="6" t="e">
        <f ca="1"/>
        <v>#NAME?</v>
      </c>
    </row>
    <row r="66" spans="1:10" x14ac:dyDescent="0.35">
      <c r="A66" s="6">
        <v>-5.0287269858084969</v>
      </c>
      <c r="B66" s="6">
        <v>-22.232126786218764</v>
      </c>
      <c r="C66" s="6">
        <v>10</v>
      </c>
      <c r="E66" s="6" t="e">
        <f ca="1"/>
        <v>#NAME?</v>
      </c>
      <c r="F66" s="6" t="e">
        <f ca="1"/>
        <v>#NAME?</v>
      </c>
      <c r="G66" s="6" t="e">
        <f ca="1"/>
        <v>#NAME?</v>
      </c>
    </row>
    <row r="68" spans="1:10" x14ac:dyDescent="0.35">
      <c r="A68" s="41" t="s">
        <v>32</v>
      </c>
      <c r="B68" s="41"/>
      <c r="C68" s="41"/>
      <c r="D68" s="41"/>
      <c r="E68" s="41"/>
      <c r="F68" s="41"/>
      <c r="G68" s="41"/>
      <c r="H68" s="41"/>
      <c r="I68" s="41"/>
      <c r="J68" s="41"/>
    </row>
    <row r="69" spans="1:10" x14ac:dyDescent="0.35">
      <c r="A69" s="6" t="e" cm="1">
        <f t="array" aca="1" ref="A69:J71" ca="1">MMULT(_xlfn.ANCHORARRAY(E64),A59:J61)</f>
        <v>#NAME?</v>
      </c>
      <c r="B69" s="6" t="e">
        <f ca="1"/>
        <v>#NAME?</v>
      </c>
      <c r="C69" s="6" t="e">
        <f ca="1"/>
        <v>#NAME?</v>
      </c>
      <c r="D69" s="6" t="e">
        <f ca="1"/>
        <v>#NAME?</v>
      </c>
      <c r="E69" s="6" t="e">
        <f ca="1"/>
        <v>#NAME?</v>
      </c>
      <c r="F69" s="6" t="e">
        <f ca="1"/>
        <v>#NAME?</v>
      </c>
      <c r="G69" s="6" t="e">
        <f ca="1"/>
        <v>#NAME?</v>
      </c>
      <c r="H69" s="6" t="e">
        <f ca="1"/>
        <v>#NAME?</v>
      </c>
      <c r="I69" s="6" t="e">
        <f ca="1"/>
        <v>#NAME?</v>
      </c>
      <c r="J69" s="6" t="e">
        <f ca="1"/>
        <v>#NAME?</v>
      </c>
    </row>
    <row r="70" spans="1:10" x14ac:dyDescent="0.35">
      <c r="A70" s="6" t="e">
        <f ca="1"/>
        <v>#NAME?</v>
      </c>
      <c r="B70" s="6" t="e">
        <f ca="1"/>
        <v>#NAME?</v>
      </c>
      <c r="C70" s="6" t="e">
        <f ca="1"/>
        <v>#NAME?</v>
      </c>
      <c r="D70" s="6" t="e">
        <f ca="1"/>
        <v>#NAME?</v>
      </c>
      <c r="E70" s="6" t="e">
        <f ca="1"/>
        <v>#NAME?</v>
      </c>
      <c r="F70" s="6" t="e">
        <f ca="1"/>
        <v>#NAME?</v>
      </c>
      <c r="G70" s="6" t="e">
        <f ca="1"/>
        <v>#NAME?</v>
      </c>
      <c r="H70" s="6" t="e">
        <f ca="1"/>
        <v>#NAME?</v>
      </c>
      <c r="I70" s="6" t="e">
        <f ca="1"/>
        <v>#NAME?</v>
      </c>
      <c r="J70" s="6" t="e">
        <f ca="1"/>
        <v>#NAME?</v>
      </c>
    </row>
    <row r="71" spans="1:10" x14ac:dyDescent="0.35">
      <c r="A71" s="6" t="e">
        <f ca="1"/>
        <v>#NAME?</v>
      </c>
      <c r="B71" s="6" t="e">
        <f ca="1"/>
        <v>#NAME?</v>
      </c>
      <c r="C71" s="6" t="e">
        <f ca="1"/>
        <v>#NAME?</v>
      </c>
      <c r="D71" s="6" t="e">
        <f ca="1"/>
        <v>#NAME?</v>
      </c>
      <c r="E71" s="6" t="e">
        <f ca="1"/>
        <v>#NAME?</v>
      </c>
      <c r="F71" s="6" t="e">
        <f ca="1"/>
        <v>#NAME?</v>
      </c>
      <c r="G71" s="6" t="e">
        <f ca="1"/>
        <v>#NAME?</v>
      </c>
      <c r="H71" s="6" t="e">
        <f ca="1"/>
        <v>#NAME?</v>
      </c>
      <c r="I71" s="6" t="e">
        <f ca="1"/>
        <v>#NAME?</v>
      </c>
      <c r="J71" s="6" t="e">
        <f ca="1"/>
        <v>#NAME?</v>
      </c>
    </row>
    <row r="73" spans="1:10" x14ac:dyDescent="0.35">
      <c r="A73" s="35" t="s">
        <v>33</v>
      </c>
      <c r="B73" s="35"/>
    </row>
    <row r="74" spans="1:10" x14ac:dyDescent="0.35">
      <c r="A74" s="6" t="s">
        <v>46</v>
      </c>
      <c r="B74" s="6" t="e" cm="1">
        <f t="array" aca="1" ref="B74:B76" ca="1">MMULT(_xlfn.ANCHORARRAY(A69),E47:E56)</f>
        <v>#NAME?</v>
      </c>
      <c r="D74" s="31" t="s">
        <v>57</v>
      </c>
      <c r="E74" t="e">
        <f ca="1">B74^2</f>
        <v>#NAME?</v>
      </c>
    </row>
    <row r="75" spans="1:10" x14ac:dyDescent="0.35">
      <c r="A75" s="6" t="s">
        <v>47</v>
      </c>
      <c r="B75" s="6" t="e">
        <f ca="1"/>
        <v>#NAME?</v>
      </c>
      <c r="D75" t="s">
        <v>58</v>
      </c>
      <c r="E75" t="e">
        <f ca="1">4*B75</f>
        <v>#NAME?</v>
      </c>
    </row>
    <row r="76" spans="1:10" x14ac:dyDescent="0.35">
      <c r="A76" s="6" t="s">
        <v>34</v>
      </c>
      <c r="B76" s="6" t="e">
        <f ca="1"/>
        <v>#NAME?</v>
      </c>
      <c r="D76" t="s">
        <v>59</v>
      </c>
      <c r="E76" t="e">
        <f ca="1">E74-E75</f>
        <v>#NAME?</v>
      </c>
    </row>
    <row r="77" spans="1:10" x14ac:dyDescent="0.35">
      <c r="D77" t="s">
        <v>60</v>
      </c>
      <c r="E77" t="e">
        <f ca="1">E76/2</f>
        <v>#NAME?</v>
      </c>
    </row>
    <row r="78" spans="1:10" x14ac:dyDescent="0.35">
      <c r="A78" s="6" t="s">
        <v>48</v>
      </c>
      <c r="B78" s="6" t="e">
        <f ca="1">(B74^2)-(4*B75)</f>
        <v>#NAME?</v>
      </c>
    </row>
    <row r="79" spans="1:10" x14ac:dyDescent="0.35">
      <c r="A79" s="6" t="s">
        <v>49</v>
      </c>
      <c r="B79" s="6" t="e">
        <f ca="1">-B74+(SQRT(E77))</f>
        <v>#NAME?</v>
      </c>
    </row>
    <row r="80" spans="1:10" x14ac:dyDescent="0.35">
      <c r="A80" s="6" t="s">
        <v>50</v>
      </c>
      <c r="B80" s="6" t="e">
        <f ca="1">-B74-(SQRT(E77))</f>
        <v>#NAME?</v>
      </c>
    </row>
    <row r="81" spans="1:7" x14ac:dyDescent="0.35">
      <c r="A81" s="6" t="s">
        <v>51</v>
      </c>
      <c r="B81" s="6" t="e">
        <f ca="1">((1/(B80-B79))*((B80*D2)-(0.5*(D4-D2))))-(B80*(B76/B75))</f>
        <v>#NAME?</v>
      </c>
      <c r="D81" t="s">
        <v>61</v>
      </c>
      <c r="E81" t="e">
        <f ca="1">1/(B80-B79)</f>
        <v>#NAME?</v>
      </c>
      <c r="F81" t="s">
        <v>51</v>
      </c>
      <c r="G81" t="e">
        <f ca="1">(E81*(E82-E83))-E84</f>
        <v>#NAME?</v>
      </c>
    </row>
    <row r="82" spans="1:7" x14ac:dyDescent="0.35">
      <c r="A82" s="6" t="s">
        <v>52</v>
      </c>
      <c r="B82" s="6" t="e">
        <f ca="1">((1/(B79-B80))*((B79*D2)-(0.5*(D4-D2))))-(B79*(B76/B75))</f>
        <v>#NAME?</v>
      </c>
      <c r="D82" t="s">
        <v>62</v>
      </c>
      <c r="E82" t="e">
        <f ca="1">B80*D2</f>
        <v>#NAME?</v>
      </c>
    </row>
    <row r="83" spans="1:7" x14ac:dyDescent="0.35">
      <c r="A83" s="30"/>
      <c r="D83" t="s">
        <v>63</v>
      </c>
      <c r="E83">
        <f>(1/2)*(D4-D2)</f>
        <v>-6.328263908303311E-2</v>
      </c>
    </row>
    <row r="84" spans="1:7" x14ac:dyDescent="0.35">
      <c r="D84" t="s">
        <v>64</v>
      </c>
      <c r="E84" t="e">
        <f ca="1">B80*(B76/B75)</f>
        <v>#NAME?</v>
      </c>
    </row>
  </sheetData>
  <mergeCells count="12">
    <mergeCell ref="A73:B73"/>
    <mergeCell ref="A42:B42"/>
    <mergeCell ref="A46:C46"/>
    <mergeCell ref="A58:J58"/>
    <mergeCell ref="A63:C63"/>
    <mergeCell ref="E63:G63"/>
    <mergeCell ref="A68:J68"/>
    <mergeCell ref="A18:B18"/>
    <mergeCell ref="A30:J30"/>
    <mergeCell ref="A34:B34"/>
    <mergeCell ref="D34:E34"/>
    <mergeCell ref="A38:J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Callista Audrey</dc:creator>
  <cp:lastModifiedBy>User</cp:lastModifiedBy>
  <dcterms:created xsi:type="dcterms:W3CDTF">2024-01-04T12:43:13Z</dcterms:created>
  <dcterms:modified xsi:type="dcterms:W3CDTF">2025-04-25T00:11:47Z</dcterms:modified>
</cp:coreProperties>
</file>
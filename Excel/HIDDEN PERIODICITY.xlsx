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MESTER 5\ADW 2\"/>
    </mc:Choice>
  </mc:AlternateContent>
  <xr:revisionPtr revIDLastSave="0" documentId="13_ncr:1_{60A85981-A4BB-4C07-815D-CA91C1C9B283}" xr6:coauthVersionLast="47" xr6:coauthVersionMax="47" xr10:uidLastSave="{00000000-0000-0000-0000-000000000000}"/>
  <bookViews>
    <workbookView xWindow="-110" yWindow="-110" windowWidth="19420" windowHeight="11500" activeTab="1" xr2:uid="{C08C3EAE-DD6F-4925-981C-4DE885967A54}"/>
  </bookViews>
  <sheets>
    <sheet name="Sheet1" sheetId="1" r:id="rId1"/>
    <sheet name="Sheet1 (2)" sheetId="3" r:id="rId2"/>
  </sheets>
  <definedNames>
    <definedName name="_xlnm._FilterDatabase" localSheetId="1" hidden="1">'Sheet1 (2)'!$A$1:$CU$102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10" i="3" l="1"/>
  <c r="C70" i="1"/>
  <c r="C68" i="1"/>
  <c r="C108" i="3"/>
  <c r="C67" i="1"/>
  <c r="F32" i="1"/>
  <c r="H63" i="1"/>
  <c r="H62" i="1"/>
  <c r="H61" i="1"/>
  <c r="C61" i="1"/>
  <c r="H60" i="1"/>
  <c r="H59" i="1"/>
  <c r="H58" i="1"/>
  <c r="H3" i="1"/>
  <c r="D3" i="1"/>
  <c r="C107" i="3"/>
  <c r="H101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49" i="3" s="1"/>
  <c r="F6" i="3"/>
  <c r="F5" i="3"/>
  <c r="F4" i="3"/>
  <c r="F3" i="3"/>
  <c r="C69" i="1" l="1"/>
  <c r="C109" i="3"/>
  <c r="D94" i="3"/>
  <c r="E94" i="3" s="1"/>
  <c r="D95" i="3"/>
  <c r="E95" i="3"/>
  <c r="E4" i="3"/>
  <c r="E5" i="3"/>
  <c r="E6" i="3"/>
  <c r="E7" i="3"/>
  <c r="E11" i="3"/>
  <c r="E15" i="3"/>
  <c r="E23" i="3"/>
  <c r="E24" i="3"/>
  <c r="E25" i="3"/>
  <c r="E26" i="3"/>
  <c r="E27" i="3"/>
  <c r="E35" i="3"/>
  <c r="E36" i="3"/>
  <c r="E37" i="3"/>
  <c r="E38" i="3"/>
  <c r="E39" i="3"/>
  <c r="E40" i="3"/>
  <c r="E41" i="3"/>
  <c r="E47" i="3"/>
  <c r="E48" i="3"/>
  <c r="E50" i="3"/>
  <c r="E51" i="3"/>
  <c r="E52" i="3"/>
  <c r="E53" i="3"/>
  <c r="E54" i="3"/>
  <c r="E55" i="3"/>
  <c r="E59" i="3"/>
  <c r="E63" i="3"/>
  <c r="E71" i="3"/>
  <c r="E72" i="3"/>
  <c r="E73" i="3"/>
  <c r="E74" i="3"/>
  <c r="E75" i="3"/>
  <c r="E83" i="3"/>
  <c r="E84" i="3"/>
  <c r="E85" i="3"/>
  <c r="E86" i="3"/>
  <c r="E87" i="3"/>
  <c r="E88" i="3"/>
  <c r="E89" i="3"/>
  <c r="BM1" i="3"/>
  <c r="BO1" i="3" s="1"/>
  <c r="BL1" i="3"/>
  <c r="D4" i="3"/>
  <c r="D5" i="3"/>
  <c r="D6" i="3"/>
  <c r="D7" i="3"/>
  <c r="P7" i="3" s="1"/>
  <c r="D8" i="3"/>
  <c r="E8" i="3" s="1"/>
  <c r="D9" i="3"/>
  <c r="E9" i="3" s="1"/>
  <c r="D10" i="3"/>
  <c r="E10" i="3" s="1"/>
  <c r="D11" i="3"/>
  <c r="D12" i="3"/>
  <c r="E12" i="3" s="1"/>
  <c r="D13" i="3"/>
  <c r="E13" i="3" s="1"/>
  <c r="D14" i="3"/>
  <c r="E14" i="3" s="1"/>
  <c r="D15" i="3"/>
  <c r="D16" i="3"/>
  <c r="E16" i="3" s="1"/>
  <c r="D17" i="3"/>
  <c r="E17" i="3" s="1"/>
  <c r="D18" i="3"/>
  <c r="E18" i="3" s="1"/>
  <c r="D19" i="3"/>
  <c r="E19" i="3" s="1"/>
  <c r="D20" i="3"/>
  <c r="E20" i="3" s="1"/>
  <c r="D21" i="3"/>
  <c r="E21" i="3" s="1"/>
  <c r="D22" i="3"/>
  <c r="E22" i="3" s="1"/>
  <c r="D23" i="3"/>
  <c r="D24" i="3"/>
  <c r="D25" i="3"/>
  <c r="D26" i="3"/>
  <c r="D27" i="3"/>
  <c r="D28" i="3"/>
  <c r="E28" i="3" s="1"/>
  <c r="D29" i="3"/>
  <c r="E29" i="3" s="1"/>
  <c r="D30" i="3"/>
  <c r="E30" i="3" s="1"/>
  <c r="D31" i="3"/>
  <c r="E31" i="3" s="1"/>
  <c r="D32" i="3"/>
  <c r="E32" i="3" s="1"/>
  <c r="D33" i="3"/>
  <c r="E33" i="3" s="1"/>
  <c r="D34" i="3"/>
  <c r="E34" i="3" s="1"/>
  <c r="D35" i="3"/>
  <c r="D36" i="3"/>
  <c r="D37" i="3"/>
  <c r="D38" i="3"/>
  <c r="D39" i="3"/>
  <c r="D40" i="3"/>
  <c r="D41" i="3"/>
  <c r="D42" i="3"/>
  <c r="E42" i="3" s="1"/>
  <c r="D43" i="3"/>
  <c r="E43" i="3" s="1"/>
  <c r="D44" i="3"/>
  <c r="E44" i="3" s="1"/>
  <c r="D45" i="3"/>
  <c r="E45" i="3" s="1"/>
  <c r="D46" i="3"/>
  <c r="E46" i="3" s="1"/>
  <c r="D47" i="3"/>
  <c r="D48" i="3"/>
  <c r="D49" i="3"/>
  <c r="E49" i="3" s="1"/>
  <c r="D50" i="3"/>
  <c r="D51" i="3"/>
  <c r="D52" i="3"/>
  <c r="D53" i="3"/>
  <c r="D54" i="3"/>
  <c r="D55" i="3"/>
  <c r="D56" i="3"/>
  <c r="E56" i="3" s="1"/>
  <c r="D57" i="3"/>
  <c r="E57" i="3" s="1"/>
  <c r="D58" i="3"/>
  <c r="E58" i="3" s="1"/>
  <c r="D59" i="3"/>
  <c r="D60" i="3"/>
  <c r="E60" i="3" s="1"/>
  <c r="D61" i="3"/>
  <c r="E61" i="3" s="1"/>
  <c r="D62" i="3"/>
  <c r="E62" i="3" s="1"/>
  <c r="D63" i="3"/>
  <c r="D64" i="3"/>
  <c r="E64" i="3" s="1"/>
  <c r="D65" i="3"/>
  <c r="E65" i="3" s="1"/>
  <c r="D66" i="3"/>
  <c r="E66" i="3" s="1"/>
  <c r="D67" i="3"/>
  <c r="E67" i="3" s="1"/>
  <c r="D68" i="3"/>
  <c r="E68" i="3" s="1"/>
  <c r="D69" i="3"/>
  <c r="E69" i="3" s="1"/>
  <c r="D70" i="3"/>
  <c r="E70" i="3" s="1"/>
  <c r="D71" i="3"/>
  <c r="D72" i="3"/>
  <c r="D73" i="3"/>
  <c r="D74" i="3"/>
  <c r="D75" i="3"/>
  <c r="D76" i="3"/>
  <c r="E76" i="3" s="1"/>
  <c r="D77" i="3"/>
  <c r="E77" i="3" s="1"/>
  <c r="D78" i="3"/>
  <c r="E78" i="3" s="1"/>
  <c r="D79" i="3"/>
  <c r="E79" i="3" s="1"/>
  <c r="D80" i="3"/>
  <c r="E80" i="3" s="1"/>
  <c r="D81" i="3"/>
  <c r="E81" i="3" s="1"/>
  <c r="D82" i="3"/>
  <c r="E82" i="3" s="1"/>
  <c r="D83" i="3"/>
  <c r="D84" i="3"/>
  <c r="D85" i="3"/>
  <c r="D86" i="3"/>
  <c r="D87" i="3"/>
  <c r="D88" i="3"/>
  <c r="D89" i="3"/>
  <c r="D90" i="3"/>
  <c r="E90" i="3" s="1"/>
  <c r="D91" i="3"/>
  <c r="E91" i="3" s="1"/>
  <c r="D92" i="3"/>
  <c r="E92" i="3" s="1"/>
  <c r="D93" i="3"/>
  <c r="E93" i="3" s="1"/>
  <c r="D3" i="3"/>
  <c r="C58" i="3"/>
  <c r="C59" i="3"/>
  <c r="C60" i="3"/>
  <c r="C61" i="3"/>
  <c r="X61" i="3" s="1"/>
  <c r="C62" i="3"/>
  <c r="C63" i="3"/>
  <c r="C64" i="3"/>
  <c r="C65" i="3"/>
  <c r="C66" i="3"/>
  <c r="C67" i="3"/>
  <c r="C68" i="3"/>
  <c r="C69" i="3"/>
  <c r="AQ69" i="3" s="1"/>
  <c r="C70" i="3"/>
  <c r="C71" i="3"/>
  <c r="C72" i="3"/>
  <c r="C73" i="3"/>
  <c r="C74" i="3"/>
  <c r="C75" i="3"/>
  <c r="BF75" i="3" s="1"/>
  <c r="C76" i="3"/>
  <c r="C77" i="3"/>
  <c r="C78" i="3"/>
  <c r="C79" i="3"/>
  <c r="C80" i="3"/>
  <c r="C81" i="3"/>
  <c r="P81" i="3" s="1"/>
  <c r="C82" i="3"/>
  <c r="C83" i="3"/>
  <c r="C84" i="3"/>
  <c r="C85" i="3"/>
  <c r="C86" i="3"/>
  <c r="C87" i="3"/>
  <c r="AL87" i="3" s="1"/>
  <c r="C88" i="3"/>
  <c r="C89" i="3"/>
  <c r="C90" i="3"/>
  <c r="C91" i="3"/>
  <c r="C92" i="3"/>
  <c r="C93" i="3"/>
  <c r="X93" i="3" s="1"/>
  <c r="C94" i="3"/>
  <c r="C95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H41" i="3" s="1"/>
  <c r="C40" i="3"/>
  <c r="C39" i="3"/>
  <c r="C38" i="3"/>
  <c r="C37" i="3"/>
  <c r="C36" i="3"/>
  <c r="C35" i="3"/>
  <c r="C34" i="3"/>
  <c r="C33" i="3"/>
  <c r="C32" i="3"/>
  <c r="C31" i="3"/>
  <c r="C30" i="3"/>
  <c r="C29" i="3"/>
  <c r="T29" i="3" s="1"/>
  <c r="C28" i="3"/>
  <c r="C27" i="3"/>
  <c r="C26" i="3"/>
  <c r="C25" i="3"/>
  <c r="C24" i="3"/>
  <c r="C23" i="3"/>
  <c r="C22" i="3"/>
  <c r="C21" i="3"/>
  <c r="C20" i="3"/>
  <c r="C19" i="3"/>
  <c r="C18" i="3"/>
  <c r="C17" i="3"/>
  <c r="I17" i="3" s="1"/>
  <c r="C16" i="3"/>
  <c r="C15" i="3"/>
  <c r="C14" i="3"/>
  <c r="C13" i="3"/>
  <c r="C12" i="3"/>
  <c r="C11" i="3"/>
  <c r="C10" i="3"/>
  <c r="C9" i="3"/>
  <c r="C8" i="3"/>
  <c r="C7" i="3"/>
  <c r="C6" i="3"/>
  <c r="C5" i="3"/>
  <c r="AF5" i="3" s="1"/>
  <c r="C4" i="3"/>
  <c r="C3" i="3"/>
  <c r="B58" i="1"/>
  <c r="F31" i="1"/>
  <c r="F30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J11" i="1"/>
  <c r="J17" i="1"/>
  <c r="C4" i="1"/>
  <c r="I4" i="1" s="1"/>
  <c r="C5" i="1"/>
  <c r="K5" i="1" s="1"/>
  <c r="C6" i="1"/>
  <c r="J6" i="1" s="1"/>
  <c r="C7" i="1"/>
  <c r="C8" i="1"/>
  <c r="J8" i="1" s="1"/>
  <c r="C9" i="1"/>
  <c r="H9" i="1" s="1"/>
  <c r="C10" i="1"/>
  <c r="C11" i="1"/>
  <c r="C12" i="1"/>
  <c r="C13" i="1"/>
  <c r="AY13" i="1" s="1"/>
  <c r="C14" i="1"/>
  <c r="C15" i="1"/>
  <c r="C16" i="1"/>
  <c r="C17" i="1"/>
  <c r="H17" i="1" s="1"/>
  <c r="C18" i="1"/>
  <c r="K18" i="1" s="1"/>
  <c r="C19" i="1"/>
  <c r="H19" i="1" s="1"/>
  <c r="C20" i="1"/>
  <c r="J20" i="1" s="1"/>
  <c r="C21" i="1"/>
  <c r="C22" i="1"/>
  <c r="C23" i="1"/>
  <c r="C24" i="1"/>
  <c r="C25" i="1"/>
  <c r="C26" i="1"/>
  <c r="C27" i="1"/>
  <c r="C28" i="1"/>
  <c r="C29" i="1"/>
  <c r="K29" i="1" s="1"/>
  <c r="C30" i="1"/>
  <c r="I30" i="1" s="1"/>
  <c r="C31" i="1"/>
  <c r="H31" i="1" s="1"/>
  <c r="C32" i="1"/>
  <c r="H32" i="1" s="1"/>
  <c r="C33" i="1"/>
  <c r="J33" i="1" s="1"/>
  <c r="C34" i="1"/>
  <c r="C35" i="1"/>
  <c r="C36" i="1"/>
  <c r="C37" i="1"/>
  <c r="X37" i="1" s="1"/>
  <c r="C38" i="1"/>
  <c r="C39" i="1"/>
  <c r="C40" i="1"/>
  <c r="C41" i="1"/>
  <c r="K41" i="1" s="1"/>
  <c r="C42" i="1"/>
  <c r="C43" i="1"/>
  <c r="C44" i="1"/>
  <c r="C45" i="1"/>
  <c r="C46" i="1"/>
  <c r="C47" i="1"/>
  <c r="C48" i="1"/>
  <c r="C49" i="1"/>
  <c r="AU49" i="1" s="1"/>
  <c r="C50" i="1"/>
  <c r="C51" i="1"/>
  <c r="C52" i="1"/>
  <c r="C53" i="1"/>
  <c r="K53" i="1" s="1"/>
  <c r="C54" i="1"/>
  <c r="K54" i="1" s="1"/>
  <c r="C55" i="1"/>
  <c r="C56" i="1"/>
  <c r="C57" i="1"/>
  <c r="C3" i="1"/>
  <c r="AA3" i="1" s="1"/>
  <c r="BN1" i="3" l="1"/>
  <c r="BP1" i="3" s="1"/>
  <c r="AI34" i="3"/>
  <c r="AB3" i="3"/>
  <c r="R3" i="3"/>
  <c r="AV82" i="3"/>
  <c r="BA70" i="3"/>
  <c r="K58" i="3"/>
  <c r="Z4" i="3"/>
  <c r="L66" i="3"/>
  <c r="BI8" i="3"/>
  <c r="W6" i="3"/>
  <c r="O8" i="3"/>
  <c r="AH8" i="3"/>
  <c r="AE8" i="3"/>
  <c r="AY3" i="3"/>
  <c r="W94" i="3"/>
  <c r="AD3" i="3"/>
  <c r="P3" i="3"/>
  <c r="AF90" i="3"/>
  <c r="BJ8" i="3"/>
  <c r="K3" i="3"/>
  <c r="BJ6" i="3"/>
  <c r="AA3" i="3"/>
  <c r="E3" i="3"/>
  <c r="AZ3" i="3"/>
  <c r="H3" i="3"/>
  <c r="Q89" i="3"/>
  <c r="BG8" i="3"/>
  <c r="AI8" i="3"/>
  <c r="H32" i="3"/>
  <c r="O13" i="3"/>
  <c r="I25" i="3"/>
  <c r="AC37" i="3"/>
  <c r="I49" i="3"/>
  <c r="AC92" i="3"/>
  <c r="AZ80" i="3"/>
  <c r="BB68" i="3"/>
  <c r="S3" i="3"/>
  <c r="Z8" i="3"/>
  <c r="AX8" i="3"/>
  <c r="W8" i="3"/>
  <c r="V6" i="3"/>
  <c r="O3" i="3"/>
  <c r="AW8" i="3"/>
  <c r="V8" i="3"/>
  <c r="N6" i="3"/>
  <c r="K6" i="3"/>
  <c r="AT8" i="3"/>
  <c r="N8" i="3"/>
  <c r="BL5" i="3"/>
  <c r="AX6" i="3"/>
  <c r="BC8" i="3"/>
  <c r="AU8" i="3"/>
  <c r="AZ26" i="3"/>
  <c r="AD50" i="3"/>
  <c r="BC3" i="3"/>
  <c r="AA82" i="3"/>
  <c r="AQ8" i="3"/>
  <c r="M8" i="3"/>
  <c r="BD5" i="3"/>
  <c r="H6" i="3"/>
  <c r="BF6" i="3"/>
  <c r="BF8" i="3"/>
  <c r="Y8" i="3"/>
  <c r="BM62" i="3"/>
  <c r="BN3" i="3"/>
  <c r="AF51" i="3"/>
  <c r="BB3" i="3"/>
  <c r="AL8" i="3"/>
  <c r="K8" i="3"/>
  <c r="AB5" i="3"/>
  <c r="AW6" i="3"/>
  <c r="Z6" i="3"/>
  <c r="S8" i="3"/>
  <c r="H14" i="3"/>
  <c r="AY65" i="3"/>
  <c r="AK8" i="3"/>
  <c r="J8" i="3"/>
  <c r="P5" i="3"/>
  <c r="J91" i="3"/>
  <c r="AL67" i="3"/>
  <c r="AN65" i="3"/>
  <c r="BK51" i="3"/>
  <c r="V77" i="3"/>
  <c r="W65" i="3"/>
  <c r="U53" i="3"/>
  <c r="BK41" i="3"/>
  <c r="J33" i="3"/>
  <c r="BC75" i="3"/>
  <c r="AQ51" i="3"/>
  <c r="AJ41" i="3"/>
  <c r="N95" i="3"/>
  <c r="AM83" i="3"/>
  <c r="P71" i="3"/>
  <c r="BB59" i="3"/>
  <c r="H9" i="3"/>
  <c r="X88" i="3"/>
  <c r="BA88" i="3"/>
  <c r="N88" i="3"/>
  <c r="R88" i="3"/>
  <c r="AN88" i="3"/>
  <c r="AO76" i="3"/>
  <c r="AC76" i="3"/>
  <c r="BI76" i="3"/>
  <c r="BJ76" i="3"/>
  <c r="BE64" i="3"/>
  <c r="BC64" i="3"/>
  <c r="BD64" i="3"/>
  <c r="AR7" i="3"/>
  <c r="V4" i="3"/>
  <c r="L87" i="3"/>
  <c r="H87" i="3"/>
  <c r="I87" i="3"/>
  <c r="AK75" i="3"/>
  <c r="J54" i="3"/>
  <c r="I42" i="3"/>
  <c r="BL3" i="3"/>
  <c r="BH51" i="3"/>
  <c r="AQ7" i="3"/>
  <c r="BI6" i="3"/>
  <c r="Y6" i="3"/>
  <c r="T5" i="3"/>
  <c r="BJ4" i="3"/>
  <c r="N4" i="3"/>
  <c r="T3" i="3"/>
  <c r="AR45" i="3"/>
  <c r="BO8" i="3"/>
  <c r="BO4" i="3"/>
  <c r="BQ1" i="3"/>
  <c r="BQ55" i="3" s="1"/>
  <c r="BK3" i="3"/>
  <c r="AO7" i="3"/>
  <c r="BG6" i="3"/>
  <c r="BM5" i="3"/>
  <c r="Q5" i="3"/>
  <c r="BG4" i="3"/>
  <c r="K4" i="3"/>
  <c r="BO7" i="3"/>
  <c r="BM7" i="3"/>
  <c r="AZ5" i="3"/>
  <c r="O6" i="3"/>
  <c r="AA6" i="3"/>
  <c r="AM6" i="3"/>
  <c r="AY6" i="3"/>
  <c r="BK6" i="3"/>
  <c r="I6" i="3"/>
  <c r="S6" i="3"/>
  <c r="BO6" i="3"/>
  <c r="P6" i="3"/>
  <c r="AB6" i="3"/>
  <c r="AN6" i="3"/>
  <c r="AZ6" i="3"/>
  <c r="BL6" i="3"/>
  <c r="AQ6" i="3"/>
  <c r="Q6" i="3"/>
  <c r="AC6" i="3"/>
  <c r="AO6" i="3"/>
  <c r="BA6" i="3"/>
  <c r="BM6" i="3"/>
  <c r="BC6" i="3"/>
  <c r="R6" i="3"/>
  <c r="AD6" i="3"/>
  <c r="AP6" i="3"/>
  <c r="BB6" i="3"/>
  <c r="BN6" i="3"/>
  <c r="AE6" i="3"/>
  <c r="T6" i="3"/>
  <c r="AF6" i="3"/>
  <c r="AR6" i="3"/>
  <c r="BD6" i="3"/>
  <c r="U6" i="3"/>
  <c r="AG6" i="3"/>
  <c r="AS6" i="3"/>
  <c r="BE6" i="3"/>
  <c r="L6" i="3"/>
  <c r="X6" i="3"/>
  <c r="AJ6" i="3"/>
  <c r="AV6" i="3"/>
  <c r="BH6" i="3"/>
  <c r="M6" i="3"/>
  <c r="AV3" i="3"/>
  <c r="AJ3" i="3"/>
  <c r="L3" i="3"/>
  <c r="X3" i="3"/>
  <c r="BH3" i="3"/>
  <c r="AL3" i="3"/>
  <c r="N3" i="3"/>
  <c r="Z3" i="3"/>
  <c r="AX3" i="3"/>
  <c r="BJ3" i="3"/>
  <c r="AL84" i="3"/>
  <c r="I24" i="3"/>
  <c r="H5" i="3"/>
  <c r="AQ3" i="3"/>
  <c r="AS39" i="3"/>
  <c r="BL7" i="3"/>
  <c r="AB7" i="3"/>
  <c r="AT6" i="3"/>
  <c r="AR5" i="3"/>
  <c r="AL4" i="3"/>
  <c r="H88" i="3"/>
  <c r="AU4" i="3"/>
  <c r="AC7" i="3"/>
  <c r="AU6" i="3"/>
  <c r="J6" i="3"/>
  <c r="H4" i="3"/>
  <c r="AP3" i="3"/>
  <c r="BD7" i="3"/>
  <c r="T7" i="3"/>
  <c r="AL6" i="3"/>
  <c r="AO5" i="3"/>
  <c r="AI4" i="3"/>
  <c r="M51" i="3"/>
  <c r="AE51" i="3"/>
  <c r="AF7" i="3"/>
  <c r="AX4" i="3"/>
  <c r="P15" i="3"/>
  <c r="AE7" i="3"/>
  <c r="AN39" i="3"/>
  <c r="BC72" i="3"/>
  <c r="U7" i="3"/>
  <c r="Z51" i="3"/>
  <c r="I3" i="3"/>
  <c r="AN3" i="3"/>
  <c r="BC7" i="3"/>
  <c r="S7" i="3"/>
  <c r="AK6" i="3"/>
  <c r="AN5" i="3"/>
  <c r="AH4" i="3"/>
  <c r="AZ85" i="3"/>
  <c r="AN7" i="3"/>
  <c r="J4" i="3"/>
  <c r="AF19" i="3"/>
  <c r="R31" i="3"/>
  <c r="AG78" i="3"/>
  <c r="I5" i="3"/>
  <c r="AM3" i="3"/>
  <c r="S56" i="3"/>
  <c r="BA7" i="3"/>
  <c r="Q7" i="3"/>
  <c r="AI6" i="3"/>
  <c r="BC4" i="3"/>
  <c r="S4" i="3"/>
  <c r="AE4" i="3"/>
  <c r="AQ4" i="3"/>
  <c r="M4" i="3"/>
  <c r="Y4" i="3"/>
  <c r="AK4" i="3"/>
  <c r="AW4" i="3"/>
  <c r="BI4" i="3"/>
  <c r="BF4" i="3"/>
  <c r="O4" i="3"/>
  <c r="T46" i="3"/>
  <c r="U5" i="3"/>
  <c r="AG5" i="3"/>
  <c r="AS5" i="3"/>
  <c r="BE5" i="3"/>
  <c r="M5" i="3"/>
  <c r="BI5" i="3"/>
  <c r="J5" i="3"/>
  <c r="V5" i="3"/>
  <c r="AH5" i="3"/>
  <c r="AT5" i="3"/>
  <c r="BF5" i="3"/>
  <c r="AK5" i="3"/>
  <c r="K5" i="3"/>
  <c r="W5" i="3"/>
  <c r="AI5" i="3"/>
  <c r="AU5" i="3"/>
  <c r="BG5" i="3"/>
  <c r="AW5" i="3"/>
  <c r="L5" i="3"/>
  <c r="X5" i="3"/>
  <c r="AJ5" i="3"/>
  <c r="AV5" i="3"/>
  <c r="BH5" i="3"/>
  <c r="Y5" i="3"/>
  <c r="N5" i="3"/>
  <c r="Z5" i="3"/>
  <c r="AL5" i="3"/>
  <c r="AX5" i="3"/>
  <c r="BJ5" i="3"/>
  <c r="O5" i="3"/>
  <c r="AA5" i="3"/>
  <c r="AM5" i="3"/>
  <c r="AY5" i="3"/>
  <c r="BK5" i="3"/>
  <c r="R5" i="3"/>
  <c r="AD5" i="3"/>
  <c r="AP5" i="3"/>
  <c r="BB5" i="3"/>
  <c r="BN5" i="3"/>
  <c r="S5" i="3"/>
  <c r="AE5" i="3"/>
  <c r="AQ5" i="3"/>
  <c r="BC5" i="3"/>
  <c r="BO5" i="3"/>
  <c r="BA5" i="3"/>
  <c r="H27" i="3"/>
  <c r="AT4" i="3"/>
  <c r="BL89" i="3"/>
  <c r="I4" i="3"/>
  <c r="BO3" i="3"/>
  <c r="AE3" i="3"/>
  <c r="AM87" i="3"/>
  <c r="AZ7" i="3"/>
  <c r="AH6" i="3"/>
  <c r="AC5" i="3"/>
  <c r="W4" i="3"/>
  <c r="BA36" i="3"/>
  <c r="AL86" i="3"/>
  <c r="BN62" i="3"/>
  <c r="J3" i="3"/>
  <c r="BM3" i="3"/>
  <c r="BA3" i="3"/>
  <c r="AO3" i="3"/>
  <c r="AC3" i="3"/>
  <c r="Q3" i="3"/>
  <c r="AR51" i="3"/>
  <c r="BH8" i="3"/>
  <c r="AV8" i="3"/>
  <c r="AJ8" i="3"/>
  <c r="X8" i="3"/>
  <c r="L8" i="3"/>
  <c r="BN7" i="3"/>
  <c r="BB7" i="3"/>
  <c r="AP7" i="3"/>
  <c r="AD7" i="3"/>
  <c r="R7" i="3"/>
  <c r="BH4" i="3"/>
  <c r="AV4" i="3"/>
  <c r="AJ4" i="3"/>
  <c r="X4" i="3"/>
  <c r="L4" i="3"/>
  <c r="BE8" i="3"/>
  <c r="AS8" i="3"/>
  <c r="AG8" i="3"/>
  <c r="U8" i="3"/>
  <c r="BK7" i="3"/>
  <c r="AY7" i="3"/>
  <c r="AM7" i="3"/>
  <c r="AA7" i="3"/>
  <c r="O7" i="3"/>
  <c r="BE4" i="3"/>
  <c r="AS4" i="3"/>
  <c r="AG4" i="3"/>
  <c r="U4" i="3"/>
  <c r="H39" i="3"/>
  <c r="J38" i="3"/>
  <c r="BK28" i="3"/>
  <c r="BA40" i="3"/>
  <c r="T85" i="3"/>
  <c r="AW73" i="3"/>
  <c r="AR61" i="3"/>
  <c r="AU25" i="3"/>
  <c r="I51" i="3"/>
  <c r="BI3" i="3"/>
  <c r="AW3" i="3"/>
  <c r="AK3" i="3"/>
  <c r="Y3" i="3"/>
  <c r="M3" i="3"/>
  <c r="BD8" i="3"/>
  <c r="AR8" i="3"/>
  <c r="AF8" i="3"/>
  <c r="T8" i="3"/>
  <c r="BJ7" i="3"/>
  <c r="AX7" i="3"/>
  <c r="AL7" i="3"/>
  <c r="Z7" i="3"/>
  <c r="N7" i="3"/>
  <c r="BD4" i="3"/>
  <c r="AR4" i="3"/>
  <c r="AF4" i="3"/>
  <c r="T4" i="3"/>
  <c r="AK7" i="3"/>
  <c r="AC30" i="3"/>
  <c r="AD51" i="3"/>
  <c r="N47" i="3"/>
  <c r="AC35" i="3"/>
  <c r="I41" i="3"/>
  <c r="BG3" i="3"/>
  <c r="AU3" i="3"/>
  <c r="AI3" i="3"/>
  <c r="W3" i="3"/>
  <c r="K51" i="3"/>
  <c r="BN8" i="3"/>
  <c r="BB8" i="3"/>
  <c r="AP8" i="3"/>
  <c r="AD8" i="3"/>
  <c r="R8" i="3"/>
  <c r="BH7" i="3"/>
  <c r="AV7" i="3"/>
  <c r="AJ7" i="3"/>
  <c r="X7" i="3"/>
  <c r="L7" i="3"/>
  <c r="BN4" i="3"/>
  <c r="BB4" i="3"/>
  <c r="AP4" i="3"/>
  <c r="AD4" i="3"/>
  <c r="R4" i="3"/>
  <c r="BI7" i="3"/>
  <c r="M7" i="3"/>
  <c r="AE52" i="3"/>
  <c r="V91" i="3"/>
  <c r="K79" i="3"/>
  <c r="AX67" i="3"/>
  <c r="I8" i="3"/>
  <c r="BF3" i="3"/>
  <c r="AT3" i="3"/>
  <c r="AH3" i="3"/>
  <c r="V3" i="3"/>
  <c r="BM8" i="3"/>
  <c r="BA8" i="3"/>
  <c r="AO8" i="3"/>
  <c r="AC8" i="3"/>
  <c r="Q8" i="3"/>
  <c r="BG7" i="3"/>
  <c r="AU7" i="3"/>
  <c r="AI7" i="3"/>
  <c r="W7" i="3"/>
  <c r="K7" i="3"/>
  <c r="BM4" i="3"/>
  <c r="BA4" i="3"/>
  <c r="AO4" i="3"/>
  <c r="AC4" i="3"/>
  <c r="Q4" i="3"/>
  <c r="AW7" i="3"/>
  <c r="AI43" i="3"/>
  <c r="H8" i="3"/>
  <c r="I7" i="3"/>
  <c r="BE3" i="3"/>
  <c r="AS3" i="3"/>
  <c r="AG3" i="3"/>
  <c r="U3" i="3"/>
  <c r="BL8" i="3"/>
  <c r="AZ8" i="3"/>
  <c r="AN8" i="3"/>
  <c r="AB8" i="3"/>
  <c r="P8" i="3"/>
  <c r="BF7" i="3"/>
  <c r="AT7" i="3"/>
  <c r="AH7" i="3"/>
  <c r="V7" i="3"/>
  <c r="J7" i="3"/>
  <c r="BL4" i="3"/>
  <c r="AZ4" i="3"/>
  <c r="AN4" i="3"/>
  <c r="AB4" i="3"/>
  <c r="P4" i="3"/>
  <c r="Y7" i="3"/>
  <c r="AB77" i="3"/>
  <c r="X65" i="3"/>
  <c r="H7" i="3"/>
  <c r="BD3" i="3"/>
  <c r="AR3" i="3"/>
  <c r="AF3" i="3"/>
  <c r="O91" i="3"/>
  <c r="BM51" i="3"/>
  <c r="P43" i="3"/>
  <c r="BK8" i="3"/>
  <c r="AY8" i="3"/>
  <c r="AM8" i="3"/>
  <c r="AA8" i="3"/>
  <c r="BE7" i="3"/>
  <c r="AS7" i="3"/>
  <c r="AG7" i="3"/>
  <c r="BK4" i="3"/>
  <c r="AY4" i="3"/>
  <c r="AM4" i="3"/>
  <c r="AA4" i="3"/>
  <c r="H86" i="3"/>
  <c r="H13" i="3"/>
  <c r="I85" i="3"/>
  <c r="I40" i="3"/>
  <c r="AT94" i="3"/>
  <c r="BC89" i="3"/>
  <c r="AH87" i="3"/>
  <c r="Z86" i="3"/>
  <c r="AS85" i="3"/>
  <c r="AJ80" i="3"/>
  <c r="BD76" i="3"/>
  <c r="AX75" i="3"/>
  <c r="BK74" i="3"/>
  <c r="W62" i="3"/>
  <c r="AA55" i="3"/>
  <c r="BI51" i="3"/>
  <c r="AB51" i="3"/>
  <c r="BB50" i="3"/>
  <c r="Z50" i="3"/>
  <c r="BM45" i="3"/>
  <c r="Y41" i="3"/>
  <c r="AI39" i="3"/>
  <c r="BG30" i="3"/>
  <c r="BJ17" i="3"/>
  <c r="AW75" i="3"/>
  <c r="AC50" i="3"/>
  <c r="AV94" i="3"/>
  <c r="AH86" i="3"/>
  <c r="AV62" i="3"/>
  <c r="AA50" i="3"/>
  <c r="T71" i="3"/>
  <c r="I74" i="3"/>
  <c r="BB89" i="3"/>
  <c r="BN86" i="3"/>
  <c r="Q41" i="3"/>
  <c r="AM94" i="3"/>
  <c r="BN58" i="3"/>
  <c r="H51" i="3"/>
  <c r="I67" i="3"/>
  <c r="I29" i="3"/>
  <c r="T94" i="3"/>
  <c r="AZ89" i="3"/>
  <c r="AZ88" i="3"/>
  <c r="AC87" i="3"/>
  <c r="BK86" i="3"/>
  <c r="T86" i="3"/>
  <c r="R85" i="3"/>
  <c r="BO77" i="3"/>
  <c r="AB76" i="3"/>
  <c r="AN75" i="3"/>
  <c r="AW74" i="3"/>
  <c r="AO73" i="3"/>
  <c r="AJ67" i="3"/>
  <c r="AS63" i="3"/>
  <c r="L62" i="3"/>
  <c r="K55" i="3"/>
  <c r="AX51" i="3"/>
  <c r="X51" i="3"/>
  <c r="AX50" i="3"/>
  <c r="O50" i="3"/>
  <c r="O43" i="3"/>
  <c r="AT30" i="3"/>
  <c r="BA83" i="3"/>
  <c r="I30" i="3"/>
  <c r="Y86" i="3"/>
  <c r="Z55" i="3"/>
  <c r="AA53" i="3"/>
  <c r="M90" i="3"/>
  <c r="AO78" i="3"/>
  <c r="AE66" i="3"/>
  <c r="AN57" i="3"/>
  <c r="BJ33" i="3"/>
  <c r="H21" i="3"/>
  <c r="H50" i="3"/>
  <c r="I66" i="3"/>
  <c r="I26" i="3"/>
  <c r="BN90" i="3"/>
  <c r="AB89" i="3"/>
  <c r="AW88" i="3"/>
  <c r="Z87" i="3"/>
  <c r="BH86" i="3"/>
  <c r="O86" i="3"/>
  <c r="Q85" i="3"/>
  <c r="AP79" i="3"/>
  <c r="P76" i="3"/>
  <c r="S75" i="3"/>
  <c r="AS74" i="3"/>
  <c r="AI73" i="3"/>
  <c r="BL66" i="3"/>
  <c r="P63" i="3"/>
  <c r="AV51" i="3"/>
  <c r="T51" i="3"/>
  <c r="AV50" i="3"/>
  <c r="N50" i="3"/>
  <c r="M43" i="3"/>
  <c r="AY27" i="3"/>
  <c r="H26" i="3"/>
  <c r="AI86" i="3"/>
  <c r="I86" i="3"/>
  <c r="U42" i="3"/>
  <c r="AD87" i="3"/>
  <c r="AR85" i="3"/>
  <c r="BA74" i="3"/>
  <c r="BK63" i="3"/>
  <c r="BA50" i="3"/>
  <c r="AX30" i="3"/>
  <c r="AY77" i="3"/>
  <c r="BB65" i="3"/>
  <c r="L20" i="3"/>
  <c r="H43" i="3"/>
  <c r="I65" i="3"/>
  <c r="AU92" i="3"/>
  <c r="AO90" i="3"/>
  <c r="AA89" i="3"/>
  <c r="AS88" i="3"/>
  <c r="BG86" i="3"/>
  <c r="N86" i="3"/>
  <c r="AD79" i="3"/>
  <c r="AA77" i="3"/>
  <c r="J76" i="3"/>
  <c r="L75" i="3"/>
  <c r="AM74" i="3"/>
  <c r="AH73" i="3"/>
  <c r="BK66" i="3"/>
  <c r="BH64" i="3"/>
  <c r="O63" i="3"/>
  <c r="AU51" i="3"/>
  <c r="P51" i="3"/>
  <c r="AT50" i="3"/>
  <c r="K50" i="3"/>
  <c r="AT37" i="3"/>
  <c r="AU27" i="3"/>
  <c r="BI50" i="3"/>
  <c r="BF50" i="3"/>
  <c r="X95" i="3"/>
  <c r="H62" i="3"/>
  <c r="U94" i="3"/>
  <c r="AU73" i="3"/>
  <c r="U62" i="3"/>
  <c r="V50" i="3"/>
  <c r="M35" i="3"/>
  <c r="AU54" i="3"/>
  <c r="BG55" i="3"/>
  <c r="H42" i="3"/>
  <c r="I64" i="3"/>
  <c r="T92" i="3"/>
  <c r="AG90" i="3"/>
  <c r="R89" i="3"/>
  <c r="AR88" i="3"/>
  <c r="BO87" i="3"/>
  <c r="BB86" i="3"/>
  <c r="K86" i="3"/>
  <c r="Z77" i="3"/>
  <c r="AG74" i="3"/>
  <c r="BJ66" i="3"/>
  <c r="AN61" i="3"/>
  <c r="O54" i="3"/>
  <c r="AS51" i="3"/>
  <c r="O51" i="3"/>
  <c r="AS50" i="3"/>
  <c r="BL49" i="3"/>
  <c r="AQ27" i="3"/>
  <c r="BN95" i="3"/>
  <c r="BM87" i="3"/>
  <c r="BA86" i="3"/>
  <c r="AF74" i="3"/>
  <c r="O66" i="3"/>
  <c r="Z61" i="3"/>
  <c r="AH50" i="3"/>
  <c r="AW49" i="3"/>
  <c r="BG42" i="3"/>
  <c r="AJ27" i="3"/>
  <c r="X26" i="3"/>
  <c r="AM95" i="3"/>
  <c r="AE74" i="3"/>
  <c r="I63" i="3"/>
  <c r="Y61" i="3"/>
  <c r="AF50" i="3"/>
  <c r="AI42" i="3"/>
  <c r="Q27" i="3"/>
  <c r="AZ47" i="3"/>
  <c r="H29" i="3"/>
  <c r="I50" i="3"/>
  <c r="AT91" i="3"/>
  <c r="Q88" i="3"/>
  <c r="BH87" i="3"/>
  <c r="AT86" i="3"/>
  <c r="AR82" i="3"/>
  <c r="AJ78" i="3"/>
  <c r="BL75" i="3"/>
  <c r="U74" i="3"/>
  <c r="AT70" i="3"/>
  <c r="AP51" i="3"/>
  <c r="BN50" i="3"/>
  <c r="AE50" i="3"/>
  <c r="AC49" i="3"/>
  <c r="BA39" i="3"/>
  <c r="AV85" i="3"/>
  <c r="T18" i="3"/>
  <c r="BJ87" i="3"/>
  <c r="AU86" i="3"/>
  <c r="AJ49" i="3"/>
  <c r="H89" i="3"/>
  <c r="I88" i="3"/>
  <c r="AQ91" i="3"/>
  <c r="O88" i="3"/>
  <c r="AN87" i="3"/>
  <c r="AN82" i="3"/>
  <c r="AH78" i="3"/>
  <c r="BH75" i="3"/>
  <c r="AK70" i="3"/>
  <c r="BO51" i="3"/>
  <c r="AM51" i="3"/>
  <c r="BK50" i="3"/>
  <c r="M47" i="3"/>
  <c r="AT39" i="3"/>
  <c r="T72" i="3"/>
  <c r="U67" i="3"/>
  <c r="AW59" i="3"/>
  <c r="M89" i="3"/>
  <c r="Y89" i="3"/>
  <c r="AK89" i="3"/>
  <c r="AW89" i="3"/>
  <c r="BI89" i="3"/>
  <c r="U89" i="3"/>
  <c r="AH89" i="3"/>
  <c r="AU89" i="3"/>
  <c r="BH89" i="3"/>
  <c r="J89" i="3"/>
  <c r="AX89" i="3"/>
  <c r="V89" i="3"/>
  <c r="AI89" i="3"/>
  <c r="AV89" i="3"/>
  <c r="BJ89" i="3"/>
  <c r="AJ89" i="3"/>
  <c r="W89" i="3"/>
  <c r="BK89" i="3"/>
  <c r="T89" i="3"/>
  <c r="AN89" i="3"/>
  <c r="BD89" i="3"/>
  <c r="X89" i="3"/>
  <c r="AO89" i="3"/>
  <c r="BE89" i="3"/>
  <c r="S89" i="3"/>
  <c r="AQ89" i="3"/>
  <c r="BM89" i="3"/>
  <c r="Z89" i="3"/>
  <c r="AR89" i="3"/>
  <c r="BN89" i="3"/>
  <c r="L89" i="3"/>
  <c r="AE89" i="3"/>
  <c r="BA89" i="3"/>
  <c r="AD89" i="3"/>
  <c r="BF89" i="3"/>
  <c r="AF89" i="3"/>
  <c r="BG89" i="3"/>
  <c r="BA71" i="3"/>
  <c r="BN9" i="3"/>
  <c r="P64" i="3"/>
  <c r="AB64" i="3"/>
  <c r="AN64" i="3"/>
  <c r="AZ64" i="3"/>
  <c r="BL64" i="3"/>
  <c r="T64" i="3"/>
  <c r="AG64" i="3"/>
  <c r="AT64" i="3"/>
  <c r="BG64" i="3"/>
  <c r="U64" i="3"/>
  <c r="AI64" i="3"/>
  <c r="AW64" i="3"/>
  <c r="BK64" i="3"/>
  <c r="V64" i="3"/>
  <c r="AJ64" i="3"/>
  <c r="AX64" i="3"/>
  <c r="BM64" i="3"/>
  <c r="W64" i="3"/>
  <c r="AK64" i="3"/>
  <c r="AY64" i="3"/>
  <c r="BN64" i="3"/>
  <c r="Z64" i="3"/>
  <c r="AR64" i="3"/>
  <c r="BJ64" i="3"/>
  <c r="AC64" i="3"/>
  <c r="J64" i="3"/>
  <c r="AA64" i="3"/>
  <c r="AS64" i="3"/>
  <c r="BO64" i="3"/>
  <c r="AU64" i="3"/>
  <c r="K64" i="3"/>
  <c r="M64" i="3"/>
  <c r="AE64" i="3"/>
  <c r="BA64" i="3"/>
  <c r="Q64" i="3"/>
  <c r="AQ64" i="3"/>
  <c r="R64" i="3"/>
  <c r="AV64" i="3"/>
  <c r="S64" i="3"/>
  <c r="BB64" i="3"/>
  <c r="AF64" i="3"/>
  <c r="BF64" i="3"/>
  <c r="AO64" i="3"/>
  <c r="AP64" i="3"/>
  <c r="X64" i="3"/>
  <c r="BI64" i="3"/>
  <c r="O64" i="3"/>
  <c r="Y64" i="3"/>
  <c r="H64" i="3"/>
  <c r="AH64" i="3"/>
  <c r="AO43" i="3"/>
  <c r="R43" i="3"/>
  <c r="S43" i="3"/>
  <c r="X43" i="3"/>
  <c r="AU43" i="3"/>
  <c r="AM43" i="3"/>
  <c r="AQ43" i="3"/>
  <c r="BI43" i="3"/>
  <c r="BD43" i="3"/>
  <c r="I43" i="3"/>
  <c r="BG43" i="3"/>
  <c r="H81" i="3"/>
  <c r="I60" i="3"/>
  <c r="BC95" i="3"/>
  <c r="BK94" i="3"/>
  <c r="BM93" i="3"/>
  <c r="AK92" i="3"/>
  <c r="AH91" i="3"/>
  <c r="BH90" i="3"/>
  <c r="AT89" i="3"/>
  <c r="AZ84" i="3"/>
  <c r="AA83" i="3"/>
  <c r="R81" i="3"/>
  <c r="BF79" i="3"/>
  <c r="O78" i="3"/>
  <c r="Q73" i="3"/>
  <c r="AM71" i="3"/>
  <c r="AW69" i="3"/>
  <c r="J67" i="3"/>
  <c r="AG59" i="3"/>
  <c r="BM56" i="3"/>
  <c r="W45" i="3"/>
  <c r="BL32" i="3"/>
  <c r="AV22" i="3"/>
  <c r="M31" i="3"/>
  <c r="Y31" i="3"/>
  <c r="AK31" i="3"/>
  <c r="AW31" i="3"/>
  <c r="BI31" i="3"/>
  <c r="T31" i="3"/>
  <c r="AG31" i="3"/>
  <c r="AT31" i="3"/>
  <c r="BG31" i="3"/>
  <c r="K31" i="3"/>
  <c r="X31" i="3"/>
  <c r="AL31" i="3"/>
  <c r="AY31" i="3"/>
  <c r="BL31" i="3"/>
  <c r="Z31" i="3"/>
  <c r="AO31" i="3"/>
  <c r="BD31" i="3"/>
  <c r="L31" i="3"/>
  <c r="AB31" i="3"/>
  <c r="AQ31" i="3"/>
  <c r="BF31" i="3"/>
  <c r="O31" i="3"/>
  <c r="AD31" i="3"/>
  <c r="AS31" i="3"/>
  <c r="BJ31" i="3"/>
  <c r="J31" i="3"/>
  <c r="AF31" i="3"/>
  <c r="BA31" i="3"/>
  <c r="N31" i="3"/>
  <c r="AH31" i="3"/>
  <c r="BB31" i="3"/>
  <c r="V31" i="3"/>
  <c r="AV31" i="3"/>
  <c r="AA31" i="3"/>
  <c r="AZ31" i="3"/>
  <c r="AE31" i="3"/>
  <c r="BE31" i="3"/>
  <c r="AC31" i="3"/>
  <c r="BM31" i="3"/>
  <c r="AI31" i="3"/>
  <c r="BN31" i="3"/>
  <c r="AJ31" i="3"/>
  <c r="BO31" i="3"/>
  <c r="AN31" i="3"/>
  <c r="AM31" i="3"/>
  <c r="AP31" i="3"/>
  <c r="AR31" i="3"/>
  <c r="AX31" i="3"/>
  <c r="BC31" i="3"/>
  <c r="BH31" i="3"/>
  <c r="BK31" i="3"/>
  <c r="Q31" i="3"/>
  <c r="P31" i="3"/>
  <c r="W31" i="3"/>
  <c r="H31" i="3"/>
  <c r="J55" i="3"/>
  <c r="V55" i="3"/>
  <c r="AH55" i="3"/>
  <c r="AT55" i="3"/>
  <c r="BF55" i="3"/>
  <c r="R55" i="3"/>
  <c r="AE55" i="3"/>
  <c r="AR55" i="3"/>
  <c r="BE55" i="3"/>
  <c r="P55" i="3"/>
  <c r="AD55" i="3"/>
  <c r="AS55" i="3"/>
  <c r="BH55" i="3"/>
  <c r="Q55" i="3"/>
  <c r="AF55" i="3"/>
  <c r="AU55" i="3"/>
  <c r="BI55" i="3"/>
  <c r="S55" i="3"/>
  <c r="AG55" i="3"/>
  <c r="AV55" i="3"/>
  <c r="BJ55" i="3"/>
  <c r="U55" i="3"/>
  <c r="AJ55" i="3"/>
  <c r="AX55" i="3"/>
  <c r="BL55" i="3"/>
  <c r="L55" i="3"/>
  <c r="AI55" i="3"/>
  <c r="BB55" i="3"/>
  <c r="M55" i="3"/>
  <c r="AK55" i="3"/>
  <c r="BC55" i="3"/>
  <c r="N55" i="3"/>
  <c r="AL55" i="3"/>
  <c r="BD55" i="3"/>
  <c r="T55" i="3"/>
  <c r="AN55" i="3"/>
  <c r="BK55" i="3"/>
  <c r="AC55" i="3"/>
  <c r="BO55" i="3"/>
  <c r="AM55" i="3"/>
  <c r="AO55" i="3"/>
  <c r="W55" i="3"/>
  <c r="AY55" i="3"/>
  <c r="O55" i="3"/>
  <c r="BM55" i="3"/>
  <c r="X55" i="3"/>
  <c r="BN55" i="3"/>
  <c r="AP55" i="3"/>
  <c r="Y55" i="3"/>
  <c r="J63" i="3"/>
  <c r="V63" i="3"/>
  <c r="AH63" i="3"/>
  <c r="AT63" i="3"/>
  <c r="BF63" i="3"/>
  <c r="R63" i="3"/>
  <c r="AE63" i="3"/>
  <c r="AR63" i="3"/>
  <c r="BE63" i="3"/>
  <c r="K63" i="3"/>
  <c r="Y63" i="3"/>
  <c r="AM63" i="3"/>
  <c r="BA63" i="3"/>
  <c r="BO63" i="3"/>
  <c r="L63" i="3"/>
  <c r="Z63" i="3"/>
  <c r="AN63" i="3"/>
  <c r="BB63" i="3"/>
  <c r="M63" i="3"/>
  <c r="AA63" i="3"/>
  <c r="AO63" i="3"/>
  <c r="BC63" i="3"/>
  <c r="T63" i="3"/>
  <c r="AL63" i="3"/>
  <c r="BH63" i="3"/>
  <c r="BJ63" i="3"/>
  <c r="U63" i="3"/>
  <c r="AP63" i="3"/>
  <c r="BI63" i="3"/>
  <c r="W63" i="3"/>
  <c r="AQ63" i="3"/>
  <c r="AB63" i="3"/>
  <c r="AU63" i="3"/>
  <c r="BL63" i="3"/>
  <c r="S63" i="3"/>
  <c r="AX63" i="3"/>
  <c r="X63" i="3"/>
  <c r="AY63" i="3"/>
  <c r="AC63" i="3"/>
  <c r="AZ63" i="3"/>
  <c r="AI63" i="3"/>
  <c r="BM63" i="3"/>
  <c r="AV63" i="3"/>
  <c r="AW63" i="3"/>
  <c r="AD63" i="3"/>
  <c r="BD63" i="3"/>
  <c r="H63" i="3"/>
  <c r="BG63" i="3"/>
  <c r="N63" i="3"/>
  <c r="BN63" i="3"/>
  <c r="AN30" i="3"/>
  <c r="BM30" i="3"/>
  <c r="H30" i="3"/>
  <c r="AG30" i="3"/>
  <c r="AV30" i="3"/>
  <c r="BL93" i="3"/>
  <c r="BK92" i="3"/>
  <c r="BH91" i="3"/>
  <c r="BE90" i="3"/>
  <c r="N89" i="3"/>
  <c r="BN83" i="3"/>
  <c r="BI82" i="3"/>
  <c r="BL81" i="3"/>
  <c r="Q81" i="3"/>
  <c r="N80" i="3"/>
  <c r="BE79" i="3"/>
  <c r="N79" i="3"/>
  <c r="BI78" i="3"/>
  <c r="N78" i="3"/>
  <c r="AZ77" i="3"/>
  <c r="L77" i="3"/>
  <c r="AP76" i="3"/>
  <c r="AM75" i="3"/>
  <c r="P73" i="3"/>
  <c r="J72" i="3"/>
  <c r="AL71" i="3"/>
  <c r="T70" i="3"/>
  <c r="AV69" i="3"/>
  <c r="AM68" i="3"/>
  <c r="BL67" i="3"/>
  <c r="AT66" i="3"/>
  <c r="P65" i="3"/>
  <c r="AL64" i="3"/>
  <c r="AK63" i="3"/>
  <c r="O60" i="3"/>
  <c r="AF59" i="3"/>
  <c r="AL58" i="3"/>
  <c r="BE57" i="3"/>
  <c r="BK56" i="3"/>
  <c r="BA55" i="3"/>
  <c r="AU52" i="3"/>
  <c r="AS46" i="3"/>
  <c r="T45" i="3"/>
  <c r="AH42" i="3"/>
  <c r="J39" i="3"/>
  <c r="Z29" i="3"/>
  <c r="AD22" i="3"/>
  <c r="R20" i="3"/>
  <c r="AD20" i="3"/>
  <c r="AP20" i="3"/>
  <c r="P20" i="3"/>
  <c r="AC20" i="3"/>
  <c r="AQ20" i="3"/>
  <c r="BC20" i="3"/>
  <c r="BO20" i="3"/>
  <c r="S20" i="3"/>
  <c r="AF20" i="3"/>
  <c r="AS20" i="3"/>
  <c r="BE20" i="3"/>
  <c r="W20" i="3"/>
  <c r="AL20" i="3"/>
  <c r="BA20" i="3"/>
  <c r="X20" i="3"/>
  <c r="AN20" i="3"/>
  <c r="BF20" i="3"/>
  <c r="M20" i="3"/>
  <c r="AE20" i="3"/>
  <c r="AV20" i="3"/>
  <c r="BK20" i="3"/>
  <c r="Z20" i="3"/>
  <c r="AU20" i="3"/>
  <c r="BM20" i="3"/>
  <c r="K20" i="3"/>
  <c r="AG20" i="3"/>
  <c r="AY20" i="3"/>
  <c r="O20" i="3"/>
  <c r="AM20" i="3"/>
  <c r="BJ20" i="3"/>
  <c r="V20" i="3"/>
  <c r="AW20" i="3"/>
  <c r="Y20" i="3"/>
  <c r="BB20" i="3"/>
  <c r="AB20" i="3"/>
  <c r="BG20" i="3"/>
  <c r="AI20" i="3"/>
  <c r="BI20" i="3"/>
  <c r="AJ20" i="3"/>
  <c r="BL20" i="3"/>
  <c r="AO20" i="3"/>
  <c r="AR20" i="3"/>
  <c r="N20" i="3"/>
  <c r="BN20" i="3"/>
  <c r="T20" i="3"/>
  <c r="AA20" i="3"/>
  <c r="AT20" i="3"/>
  <c r="AX20" i="3"/>
  <c r="AZ20" i="3"/>
  <c r="BH20" i="3"/>
  <c r="I20" i="3"/>
  <c r="J20" i="3"/>
  <c r="Q20" i="3"/>
  <c r="AK20" i="3"/>
  <c r="AH20" i="3"/>
  <c r="U20" i="3"/>
  <c r="BD20" i="3"/>
  <c r="S26" i="3"/>
  <c r="AE26" i="3"/>
  <c r="AQ26" i="3"/>
  <c r="BC26" i="3"/>
  <c r="BO26" i="3"/>
  <c r="Q26" i="3"/>
  <c r="AD26" i="3"/>
  <c r="AR26" i="3"/>
  <c r="BE26" i="3"/>
  <c r="U26" i="3"/>
  <c r="AI26" i="3"/>
  <c r="AW26" i="3"/>
  <c r="BK26" i="3"/>
  <c r="K26" i="3"/>
  <c r="Y26" i="3"/>
  <c r="AM26" i="3"/>
  <c r="BA26" i="3"/>
  <c r="N26" i="3"/>
  <c r="AF26" i="3"/>
  <c r="AV26" i="3"/>
  <c r="BM26" i="3"/>
  <c r="P26" i="3"/>
  <c r="AH26" i="3"/>
  <c r="AY26" i="3"/>
  <c r="T26" i="3"/>
  <c r="AK26" i="3"/>
  <c r="BB26" i="3"/>
  <c r="V26" i="3"/>
  <c r="AL26" i="3"/>
  <c r="BD26" i="3"/>
  <c r="M26" i="3"/>
  <c r="AO26" i="3"/>
  <c r="BL26" i="3"/>
  <c r="O26" i="3"/>
  <c r="AP26" i="3"/>
  <c r="BN26" i="3"/>
  <c r="Z26" i="3"/>
  <c r="BF26" i="3"/>
  <c r="AB26" i="3"/>
  <c r="BH26" i="3"/>
  <c r="AG26" i="3"/>
  <c r="BJ26" i="3"/>
  <c r="AC26" i="3"/>
  <c r="AJ26" i="3"/>
  <c r="AN26" i="3"/>
  <c r="AT26" i="3"/>
  <c r="AS26" i="3"/>
  <c r="AU26" i="3"/>
  <c r="AX26" i="3"/>
  <c r="BG26" i="3"/>
  <c r="J26" i="3"/>
  <c r="L26" i="3"/>
  <c r="AA26" i="3"/>
  <c r="BI26" i="3"/>
  <c r="R26" i="3"/>
  <c r="W26" i="3"/>
  <c r="N40" i="3"/>
  <c r="Z40" i="3"/>
  <c r="O40" i="3"/>
  <c r="AB40" i="3"/>
  <c r="AN40" i="3"/>
  <c r="AZ40" i="3"/>
  <c r="BL40" i="3"/>
  <c r="Q40" i="3"/>
  <c r="AD40" i="3"/>
  <c r="AP40" i="3"/>
  <c r="BB40" i="3"/>
  <c r="S40" i="3"/>
  <c r="AF40" i="3"/>
  <c r="AR40" i="3"/>
  <c r="BD40" i="3"/>
  <c r="K40" i="3"/>
  <c r="AC40" i="3"/>
  <c r="AT40" i="3"/>
  <c r="BI40" i="3"/>
  <c r="L40" i="3"/>
  <c r="AE40" i="3"/>
  <c r="AU40" i="3"/>
  <c r="BJ40" i="3"/>
  <c r="AA40" i="3"/>
  <c r="AW40" i="3"/>
  <c r="BO40" i="3"/>
  <c r="J40" i="3"/>
  <c r="AH40" i="3"/>
  <c r="AY40" i="3"/>
  <c r="P40" i="3"/>
  <c r="AJ40" i="3"/>
  <c r="BC40" i="3"/>
  <c r="M40" i="3"/>
  <c r="AM40" i="3"/>
  <c r="BM40" i="3"/>
  <c r="R40" i="3"/>
  <c r="AO40" i="3"/>
  <c r="BN40" i="3"/>
  <c r="T40" i="3"/>
  <c r="AQ40" i="3"/>
  <c r="V40" i="3"/>
  <c r="AV40" i="3"/>
  <c r="U40" i="3"/>
  <c r="BF40" i="3"/>
  <c r="W40" i="3"/>
  <c r="BG40" i="3"/>
  <c r="X40" i="3"/>
  <c r="BH40" i="3"/>
  <c r="AG40" i="3"/>
  <c r="AI40" i="3"/>
  <c r="AK40" i="3"/>
  <c r="AL40" i="3"/>
  <c r="BE40" i="3"/>
  <c r="AS40" i="3"/>
  <c r="S86" i="3"/>
  <c r="AE86" i="3"/>
  <c r="AQ86" i="3"/>
  <c r="BC86" i="3"/>
  <c r="BO86" i="3"/>
  <c r="P86" i="3"/>
  <c r="AC86" i="3"/>
  <c r="AP86" i="3"/>
  <c r="BD86" i="3"/>
  <c r="AS86" i="3"/>
  <c r="Q86" i="3"/>
  <c r="AD86" i="3"/>
  <c r="AR86" i="3"/>
  <c r="BE86" i="3"/>
  <c r="R86" i="3"/>
  <c r="BF86" i="3"/>
  <c r="AF86" i="3"/>
  <c r="L86" i="3"/>
  <c r="AB86" i="3"/>
  <c r="AV86" i="3"/>
  <c r="BL86" i="3"/>
  <c r="M86" i="3"/>
  <c r="AG86" i="3"/>
  <c r="AW86" i="3"/>
  <c r="BM86" i="3"/>
  <c r="U86" i="3"/>
  <c r="AM86" i="3"/>
  <c r="BI86" i="3"/>
  <c r="V86" i="3"/>
  <c r="AN86" i="3"/>
  <c r="BJ86" i="3"/>
  <c r="AA86" i="3"/>
  <c r="AY86" i="3"/>
  <c r="W86" i="3"/>
  <c r="AX86" i="3"/>
  <c r="X86" i="3"/>
  <c r="AZ86" i="3"/>
  <c r="L74" i="3"/>
  <c r="X74" i="3"/>
  <c r="AJ74" i="3"/>
  <c r="AV74" i="3"/>
  <c r="BH74" i="3"/>
  <c r="O74" i="3"/>
  <c r="AB74" i="3"/>
  <c r="AO74" i="3"/>
  <c r="BB74" i="3"/>
  <c r="BO74" i="3"/>
  <c r="P74" i="3"/>
  <c r="AC74" i="3"/>
  <c r="AP74" i="3"/>
  <c r="BC74" i="3"/>
  <c r="Y74" i="3"/>
  <c r="AN74" i="3"/>
  <c r="BE74" i="3"/>
  <c r="K74" i="3"/>
  <c r="BG74" i="3"/>
  <c r="J74" i="3"/>
  <c r="Z74" i="3"/>
  <c r="AQ74" i="3"/>
  <c r="BF74" i="3"/>
  <c r="AA74" i="3"/>
  <c r="AR74" i="3"/>
  <c r="Q74" i="3"/>
  <c r="AI74" i="3"/>
  <c r="BD74" i="3"/>
  <c r="R74" i="3"/>
  <c r="AK74" i="3"/>
  <c r="BI74" i="3"/>
  <c r="S74" i="3"/>
  <c r="AL74" i="3"/>
  <c r="BJ74" i="3"/>
  <c r="V74" i="3"/>
  <c r="AX74" i="3"/>
  <c r="W74" i="3"/>
  <c r="AY74" i="3"/>
  <c r="AH74" i="3"/>
  <c r="BM74" i="3"/>
  <c r="AT74" i="3"/>
  <c r="AU74" i="3"/>
  <c r="N74" i="3"/>
  <c r="AZ74" i="3"/>
  <c r="P62" i="3"/>
  <c r="AB62" i="3"/>
  <c r="AN62" i="3"/>
  <c r="AZ62" i="3"/>
  <c r="BL62" i="3"/>
  <c r="Q62" i="3"/>
  <c r="AD62" i="3"/>
  <c r="AQ62" i="3"/>
  <c r="BD62" i="3"/>
  <c r="N62" i="3"/>
  <c r="AC62" i="3"/>
  <c r="AR62" i="3"/>
  <c r="BF62" i="3"/>
  <c r="O62" i="3"/>
  <c r="AE62" i="3"/>
  <c r="AS62" i="3"/>
  <c r="BG62" i="3"/>
  <c r="R62" i="3"/>
  <c r="AF62" i="3"/>
  <c r="AT62" i="3"/>
  <c r="BH62" i="3"/>
  <c r="M62" i="3"/>
  <c r="AI62" i="3"/>
  <c r="BA62" i="3"/>
  <c r="BC62" i="3"/>
  <c r="S62" i="3"/>
  <c r="AJ62" i="3"/>
  <c r="BB62" i="3"/>
  <c r="T62" i="3"/>
  <c r="AK62" i="3"/>
  <c r="V62" i="3"/>
  <c r="AM62" i="3"/>
  <c r="BI62" i="3"/>
  <c r="Y62" i="3"/>
  <c r="AY62" i="3"/>
  <c r="Z62" i="3"/>
  <c r="BE62" i="3"/>
  <c r="AA62" i="3"/>
  <c r="BJ62" i="3"/>
  <c r="J62" i="3"/>
  <c r="AO62" i="3"/>
  <c r="BO62" i="3"/>
  <c r="AW62" i="3"/>
  <c r="K62" i="3"/>
  <c r="AX62" i="3"/>
  <c r="AG62" i="3"/>
  <c r="X62" i="3"/>
  <c r="AH62" i="3"/>
  <c r="I62" i="3"/>
  <c r="AP62" i="3"/>
  <c r="L17" i="3"/>
  <c r="H77" i="3"/>
  <c r="H57" i="3"/>
  <c r="H40" i="3"/>
  <c r="H20" i="3"/>
  <c r="I75" i="3"/>
  <c r="I55" i="3"/>
  <c r="I38" i="3"/>
  <c r="I15" i="3"/>
  <c r="AX95" i="3"/>
  <c r="BH94" i="3"/>
  <c r="AH94" i="3"/>
  <c r="BJ93" i="3"/>
  <c r="AG93" i="3"/>
  <c r="BI92" i="3"/>
  <c r="BG91" i="3"/>
  <c r="AC91" i="3"/>
  <c r="AV90" i="3"/>
  <c r="Q90" i="3"/>
  <c r="AP89" i="3"/>
  <c r="K89" i="3"/>
  <c r="BL88" i="3"/>
  <c r="AD88" i="3"/>
  <c r="BA87" i="3"/>
  <c r="V87" i="3"/>
  <c r="AO86" i="3"/>
  <c r="J86" i="3"/>
  <c r="BL85" i="3"/>
  <c r="AH85" i="3"/>
  <c r="AX84" i="3"/>
  <c r="K84" i="3"/>
  <c r="BC83" i="3"/>
  <c r="O83" i="3"/>
  <c r="BG82" i="3"/>
  <c r="M82" i="3"/>
  <c r="BF81" i="3"/>
  <c r="BD80" i="3"/>
  <c r="L80" i="3"/>
  <c r="BA79" i="3"/>
  <c r="BF78" i="3"/>
  <c r="AD74" i="3"/>
  <c r="L73" i="3"/>
  <c r="BE72" i="3"/>
  <c r="AI71" i="3"/>
  <c r="BQ70" i="3"/>
  <c r="O70" i="3"/>
  <c r="AS69" i="3"/>
  <c r="Z68" i="3"/>
  <c r="BF67" i="3"/>
  <c r="AI66" i="3"/>
  <c r="AD64" i="3"/>
  <c r="AJ63" i="3"/>
  <c r="BK62" i="3"/>
  <c r="R59" i="3"/>
  <c r="AD58" i="3"/>
  <c r="AQ57" i="3"/>
  <c r="BB56" i="3"/>
  <c r="AZ55" i="3"/>
  <c r="BG53" i="3"/>
  <c r="AO52" i="3"/>
  <c r="S45" i="3"/>
  <c r="BO43" i="3"/>
  <c r="BK40" i="3"/>
  <c r="BL34" i="3"/>
  <c r="BE25" i="3"/>
  <c r="X22" i="3"/>
  <c r="P44" i="3"/>
  <c r="AB44" i="3"/>
  <c r="AN44" i="3"/>
  <c r="AZ44" i="3"/>
  <c r="BL44" i="3"/>
  <c r="L44" i="3"/>
  <c r="Y44" i="3"/>
  <c r="AL44" i="3"/>
  <c r="AY44" i="3"/>
  <c r="M44" i="3"/>
  <c r="Z44" i="3"/>
  <c r="AM44" i="3"/>
  <c r="BA44" i="3"/>
  <c r="BN44" i="3"/>
  <c r="K44" i="3"/>
  <c r="AC44" i="3"/>
  <c r="AR44" i="3"/>
  <c r="BG44" i="3"/>
  <c r="O44" i="3"/>
  <c r="AE44" i="3"/>
  <c r="AT44" i="3"/>
  <c r="BI44" i="3"/>
  <c r="R44" i="3"/>
  <c r="AG44" i="3"/>
  <c r="AV44" i="3"/>
  <c r="BK44" i="3"/>
  <c r="U44" i="3"/>
  <c r="AP44" i="3"/>
  <c r="BJ44" i="3"/>
  <c r="V44" i="3"/>
  <c r="AQ44" i="3"/>
  <c r="BM44" i="3"/>
  <c r="W44" i="3"/>
  <c r="AS44" i="3"/>
  <c r="BO44" i="3"/>
  <c r="AA44" i="3"/>
  <c r="AW44" i="3"/>
  <c r="AI44" i="3"/>
  <c r="I44" i="3"/>
  <c r="AJ44" i="3"/>
  <c r="AK44" i="3"/>
  <c r="N44" i="3"/>
  <c r="AU44" i="3"/>
  <c r="AD44" i="3"/>
  <c r="AF44" i="3"/>
  <c r="AH44" i="3"/>
  <c r="BC44" i="3"/>
  <c r="Q44" i="3"/>
  <c r="S44" i="3"/>
  <c r="BB44" i="3"/>
  <c r="BE44" i="3"/>
  <c r="BF44" i="3"/>
  <c r="L81" i="3"/>
  <c r="X81" i="3"/>
  <c r="AJ81" i="3"/>
  <c r="AV81" i="3"/>
  <c r="BH81" i="3"/>
  <c r="M81" i="3"/>
  <c r="Y81" i="3"/>
  <c r="AK81" i="3"/>
  <c r="AW81" i="3"/>
  <c r="BI81" i="3"/>
  <c r="K81" i="3"/>
  <c r="AA81" i="3"/>
  <c r="AO81" i="3"/>
  <c r="BC81" i="3"/>
  <c r="O81" i="3"/>
  <c r="BE81" i="3"/>
  <c r="N81" i="3"/>
  <c r="AB81" i="3"/>
  <c r="AP81" i="3"/>
  <c r="BD81" i="3"/>
  <c r="I81" i="3"/>
  <c r="AQ81" i="3"/>
  <c r="AC81" i="3"/>
  <c r="Z81" i="3"/>
  <c r="AT81" i="3"/>
  <c r="BM81" i="3"/>
  <c r="AD81" i="3"/>
  <c r="AU81" i="3"/>
  <c r="BN81" i="3"/>
  <c r="AE81" i="3"/>
  <c r="AX81" i="3"/>
  <c r="BO81" i="3"/>
  <c r="AH81" i="3"/>
  <c r="BG81" i="3"/>
  <c r="J81" i="3"/>
  <c r="AI81" i="3"/>
  <c r="BJ81" i="3"/>
  <c r="T81" i="3"/>
  <c r="AS81" i="3"/>
  <c r="S81" i="3"/>
  <c r="BA81" i="3"/>
  <c r="U81" i="3"/>
  <c r="BB81" i="3"/>
  <c r="W81" i="3"/>
  <c r="BK81" i="3"/>
  <c r="H60" i="3"/>
  <c r="AC60" i="3"/>
  <c r="AT60" i="3"/>
  <c r="BK60" i="3"/>
  <c r="L60" i="3"/>
  <c r="AE60" i="3"/>
  <c r="AV60" i="3"/>
  <c r="AH60" i="3"/>
  <c r="BH60" i="3"/>
  <c r="AI60" i="3"/>
  <c r="BM60" i="3"/>
  <c r="N60" i="3"/>
  <c r="AJ60" i="3"/>
  <c r="S60" i="3"/>
  <c r="AW60" i="3"/>
  <c r="R60" i="3"/>
  <c r="BF60" i="3"/>
  <c r="T60" i="3"/>
  <c r="BG60" i="3"/>
  <c r="AP60" i="3"/>
  <c r="AG60" i="3"/>
  <c r="AQ60" i="3"/>
  <c r="AX60" i="3"/>
  <c r="AJ84" i="3"/>
  <c r="S92" i="3"/>
  <c r="AE92" i="3"/>
  <c r="AQ92" i="3"/>
  <c r="BC92" i="3"/>
  <c r="BO92" i="3"/>
  <c r="M92" i="3"/>
  <c r="Z92" i="3"/>
  <c r="AM92" i="3"/>
  <c r="AZ92" i="3"/>
  <c r="BM92" i="3"/>
  <c r="I92" i="3"/>
  <c r="AB92" i="3"/>
  <c r="N92" i="3"/>
  <c r="AA92" i="3"/>
  <c r="AN92" i="3"/>
  <c r="BA92" i="3"/>
  <c r="BN92" i="3"/>
  <c r="O92" i="3"/>
  <c r="BB92" i="3"/>
  <c r="AO92" i="3"/>
  <c r="L92" i="3"/>
  <c r="AF92" i="3"/>
  <c r="AV92" i="3"/>
  <c r="BL92" i="3"/>
  <c r="Q92" i="3"/>
  <c r="AI92" i="3"/>
  <c r="BD92" i="3"/>
  <c r="R92" i="3"/>
  <c r="AJ92" i="3"/>
  <c r="BE92" i="3"/>
  <c r="X92" i="3"/>
  <c r="AS92" i="3"/>
  <c r="BJ92" i="3"/>
  <c r="AD92" i="3"/>
  <c r="BF92" i="3"/>
  <c r="AG92" i="3"/>
  <c r="BG92" i="3"/>
  <c r="AG95" i="3"/>
  <c r="T95" i="3"/>
  <c r="BG95" i="3"/>
  <c r="AT95" i="3"/>
  <c r="W95" i="3"/>
  <c r="AN95" i="3"/>
  <c r="BD95" i="3"/>
  <c r="L95" i="3"/>
  <c r="AD95" i="3"/>
  <c r="AY95" i="3"/>
  <c r="V95" i="3"/>
  <c r="AO95" i="3"/>
  <c r="BJ95" i="3"/>
  <c r="AB95" i="3"/>
  <c r="AZ95" i="3"/>
  <c r="AC95" i="3"/>
  <c r="BA95" i="3"/>
  <c r="I95" i="3"/>
  <c r="AT92" i="3"/>
  <c r="AH80" i="3"/>
  <c r="BA68" i="3"/>
  <c r="K13" i="3"/>
  <c r="W13" i="3"/>
  <c r="AI13" i="3"/>
  <c r="AU13" i="3"/>
  <c r="BG13" i="3"/>
  <c r="M13" i="3"/>
  <c r="Y13" i="3"/>
  <c r="AK13" i="3"/>
  <c r="AW13" i="3"/>
  <c r="BI13" i="3"/>
  <c r="L13" i="3"/>
  <c r="AA13" i="3"/>
  <c r="AO13" i="3"/>
  <c r="BC13" i="3"/>
  <c r="Z13" i="3"/>
  <c r="AP13" i="3"/>
  <c r="BE13" i="3"/>
  <c r="N13" i="3"/>
  <c r="AC13" i="3"/>
  <c r="AR13" i="3"/>
  <c r="BH13" i="3"/>
  <c r="J13" i="3"/>
  <c r="AE13" i="3"/>
  <c r="AX13" i="3"/>
  <c r="BO13" i="3"/>
  <c r="P13" i="3"/>
  <c r="AG13" i="3"/>
  <c r="AZ13" i="3"/>
  <c r="U13" i="3"/>
  <c r="AS13" i="3"/>
  <c r="BN13" i="3"/>
  <c r="AF13" i="3"/>
  <c r="BB13" i="3"/>
  <c r="R13" i="3"/>
  <c r="AQ13" i="3"/>
  <c r="V13" i="3"/>
  <c r="AY13" i="3"/>
  <c r="S13" i="3"/>
  <c r="BA13" i="3"/>
  <c r="AD13" i="3"/>
  <c r="BK13" i="3"/>
  <c r="AN13" i="3"/>
  <c r="AV13" i="3"/>
  <c r="Q13" i="3"/>
  <c r="BF13" i="3"/>
  <c r="T13" i="3"/>
  <c r="BJ13" i="3"/>
  <c r="BM13" i="3"/>
  <c r="AH13" i="3"/>
  <c r="AL13" i="3"/>
  <c r="AT13" i="3"/>
  <c r="X13" i="3"/>
  <c r="AB13" i="3"/>
  <c r="AJ13" i="3"/>
  <c r="BD13" i="3"/>
  <c r="AM13" i="3"/>
  <c r="BL13" i="3"/>
  <c r="N36" i="3"/>
  <c r="Z36" i="3"/>
  <c r="AL36" i="3"/>
  <c r="AX36" i="3"/>
  <c r="BJ36" i="3"/>
  <c r="U36" i="3"/>
  <c r="AH36" i="3"/>
  <c r="AU36" i="3"/>
  <c r="BH36" i="3"/>
  <c r="J36" i="3"/>
  <c r="W36" i="3"/>
  <c r="AJ36" i="3"/>
  <c r="AW36" i="3"/>
  <c r="BK36" i="3"/>
  <c r="L36" i="3"/>
  <c r="Y36" i="3"/>
  <c r="AM36" i="3"/>
  <c r="AZ36" i="3"/>
  <c r="BM36" i="3"/>
  <c r="V36" i="3"/>
  <c r="AO36" i="3"/>
  <c r="BE36" i="3"/>
  <c r="X36" i="3"/>
  <c r="AP36" i="3"/>
  <c r="BF36" i="3"/>
  <c r="M36" i="3"/>
  <c r="AF36" i="3"/>
  <c r="BB36" i="3"/>
  <c r="P36" i="3"/>
  <c r="AI36" i="3"/>
  <c r="BD36" i="3"/>
  <c r="R36" i="3"/>
  <c r="AN36" i="3"/>
  <c r="BI36" i="3"/>
  <c r="AK36" i="3"/>
  <c r="BO36" i="3"/>
  <c r="K36" i="3"/>
  <c r="AQ36" i="3"/>
  <c r="O36" i="3"/>
  <c r="AR36" i="3"/>
  <c r="S36" i="3"/>
  <c r="AT36" i="3"/>
  <c r="AS36" i="3"/>
  <c r="H36" i="3"/>
  <c r="AV36" i="3"/>
  <c r="AY36" i="3"/>
  <c r="Q36" i="3"/>
  <c r="BC36" i="3"/>
  <c r="T36" i="3"/>
  <c r="AA36" i="3"/>
  <c r="AB36" i="3"/>
  <c r="AG36" i="3"/>
  <c r="BG36" i="3"/>
  <c r="BL36" i="3"/>
  <c r="BN36" i="3"/>
  <c r="L79" i="3"/>
  <c r="X79" i="3"/>
  <c r="AJ79" i="3"/>
  <c r="AV79" i="3"/>
  <c r="BH79" i="3"/>
  <c r="M79" i="3"/>
  <c r="Y79" i="3"/>
  <c r="AK79" i="3"/>
  <c r="AW79" i="3"/>
  <c r="BI79" i="3"/>
  <c r="S79" i="3"/>
  <c r="AG79" i="3"/>
  <c r="AU79" i="3"/>
  <c r="BK79" i="3"/>
  <c r="AY79" i="3"/>
  <c r="T79" i="3"/>
  <c r="AH79" i="3"/>
  <c r="AX79" i="3"/>
  <c r="BL79" i="3"/>
  <c r="AI79" i="3"/>
  <c r="U79" i="3"/>
  <c r="BM79" i="3"/>
  <c r="O79" i="3"/>
  <c r="AF79" i="3"/>
  <c r="BB79" i="3"/>
  <c r="P79" i="3"/>
  <c r="AL79" i="3"/>
  <c r="BC79" i="3"/>
  <c r="Q79" i="3"/>
  <c r="AM79" i="3"/>
  <c r="BD79" i="3"/>
  <c r="AE79" i="3"/>
  <c r="BG79" i="3"/>
  <c r="J79" i="3"/>
  <c r="AN79" i="3"/>
  <c r="BJ79" i="3"/>
  <c r="W79" i="3"/>
  <c r="AS79" i="3"/>
  <c r="AB79" i="3"/>
  <c r="BN79" i="3"/>
  <c r="AC79" i="3"/>
  <c r="BO79" i="3"/>
  <c r="H79" i="3"/>
  <c r="AO79" i="3"/>
  <c r="AJ95" i="3"/>
  <c r="N94" i="3"/>
  <c r="L93" i="3"/>
  <c r="K92" i="3"/>
  <c r="BK84" i="3"/>
  <c r="O24" i="3"/>
  <c r="L19" i="3"/>
  <c r="X19" i="3"/>
  <c r="AJ19" i="3"/>
  <c r="AV19" i="3"/>
  <c r="BH19" i="3"/>
  <c r="O19" i="3"/>
  <c r="AB19" i="3"/>
  <c r="AO19" i="3"/>
  <c r="BB19" i="3"/>
  <c r="BO19" i="3"/>
  <c r="Q19" i="3"/>
  <c r="AD19" i="3"/>
  <c r="AQ19" i="3"/>
  <c r="BD19" i="3"/>
  <c r="S19" i="3"/>
  <c r="AH19" i="3"/>
  <c r="AX19" i="3"/>
  <c r="BM19" i="3"/>
  <c r="J19" i="3"/>
  <c r="AA19" i="3"/>
  <c r="AS19" i="3"/>
  <c r="BJ19" i="3"/>
  <c r="R19" i="3"/>
  <c r="AI19" i="3"/>
  <c r="AZ19" i="3"/>
  <c r="M19" i="3"/>
  <c r="AG19" i="3"/>
  <c r="BC19" i="3"/>
  <c r="T19" i="3"/>
  <c r="AM19" i="3"/>
  <c r="BG19" i="3"/>
  <c r="AE19" i="3"/>
  <c r="BE19" i="3"/>
  <c r="N19" i="3"/>
  <c r="AN19" i="3"/>
  <c r="BL19" i="3"/>
  <c r="Y19" i="3"/>
  <c r="BA19" i="3"/>
  <c r="AC19" i="3"/>
  <c r="BI19" i="3"/>
  <c r="AK19" i="3"/>
  <c r="BN19" i="3"/>
  <c r="AL19" i="3"/>
  <c r="AR19" i="3"/>
  <c r="AT19" i="3"/>
  <c r="AW19" i="3"/>
  <c r="BF19" i="3"/>
  <c r="P19" i="3"/>
  <c r="BK19" i="3"/>
  <c r="I19" i="3"/>
  <c r="U19" i="3"/>
  <c r="K19" i="3"/>
  <c r="AP19" i="3"/>
  <c r="AU19" i="3"/>
  <c r="AY19" i="3"/>
  <c r="V19" i="3"/>
  <c r="W19" i="3"/>
  <c r="Z19" i="3"/>
  <c r="P46" i="3"/>
  <c r="AB46" i="3"/>
  <c r="AN46" i="3"/>
  <c r="AZ46" i="3"/>
  <c r="BL46" i="3"/>
  <c r="Q46" i="3"/>
  <c r="AD46" i="3"/>
  <c r="AQ46" i="3"/>
  <c r="BD46" i="3"/>
  <c r="V46" i="3"/>
  <c r="AJ46" i="3"/>
  <c r="AX46" i="3"/>
  <c r="BM46" i="3"/>
  <c r="J46" i="3"/>
  <c r="X46" i="3"/>
  <c r="AL46" i="3"/>
  <c r="BA46" i="3"/>
  <c r="BO46" i="3"/>
  <c r="L46" i="3"/>
  <c r="Z46" i="3"/>
  <c r="AO46" i="3"/>
  <c r="BC46" i="3"/>
  <c r="O46" i="3"/>
  <c r="AH46" i="3"/>
  <c r="BB46" i="3"/>
  <c r="R46" i="3"/>
  <c r="AI46" i="3"/>
  <c r="BE46" i="3"/>
  <c r="S46" i="3"/>
  <c r="AK46" i="3"/>
  <c r="BF46" i="3"/>
  <c r="U46" i="3"/>
  <c r="AP46" i="3"/>
  <c r="BH46" i="3"/>
  <c r="AC46" i="3"/>
  <c r="BG46" i="3"/>
  <c r="H46" i="3"/>
  <c r="I46" i="3"/>
  <c r="AE46" i="3"/>
  <c r="BI46" i="3"/>
  <c r="AF46" i="3"/>
  <c r="BJ46" i="3"/>
  <c r="AM46" i="3"/>
  <c r="BN46" i="3"/>
  <c r="W46" i="3"/>
  <c r="Y46" i="3"/>
  <c r="AA46" i="3"/>
  <c r="AT46" i="3"/>
  <c r="AG46" i="3"/>
  <c r="AR46" i="3"/>
  <c r="AY46" i="3"/>
  <c r="AV46" i="3"/>
  <c r="AW46" i="3"/>
  <c r="R77" i="3"/>
  <c r="AD77" i="3"/>
  <c r="AP77" i="3"/>
  <c r="BB77" i="3"/>
  <c r="BN77" i="3"/>
  <c r="T77" i="3"/>
  <c r="AG77" i="3"/>
  <c r="AT77" i="3"/>
  <c r="BG77" i="3"/>
  <c r="U77" i="3"/>
  <c r="AH77" i="3"/>
  <c r="AU77" i="3"/>
  <c r="BH77" i="3"/>
  <c r="W77" i="3"/>
  <c r="AL77" i="3"/>
  <c r="BA77" i="3"/>
  <c r="AN77" i="3"/>
  <c r="X77" i="3"/>
  <c r="AM77" i="3"/>
  <c r="BC77" i="3"/>
  <c r="J77" i="3"/>
  <c r="BD77" i="3"/>
  <c r="Y77" i="3"/>
  <c r="P77" i="3"/>
  <c r="AK77" i="3"/>
  <c r="BI77" i="3"/>
  <c r="Q77" i="3"/>
  <c r="AO77" i="3"/>
  <c r="BJ77" i="3"/>
  <c r="S77" i="3"/>
  <c r="AQ77" i="3"/>
  <c r="BK77" i="3"/>
  <c r="AE77" i="3"/>
  <c r="BF77" i="3"/>
  <c r="AF77" i="3"/>
  <c r="BL77" i="3"/>
  <c r="O77" i="3"/>
  <c r="AV77" i="3"/>
  <c r="AI77" i="3"/>
  <c r="AJ77" i="3"/>
  <c r="I77" i="3"/>
  <c r="K77" i="3"/>
  <c r="AS77" i="3"/>
  <c r="I83" i="3"/>
  <c r="BH95" i="3"/>
  <c r="L94" i="3"/>
  <c r="AJ93" i="3"/>
  <c r="BK91" i="3"/>
  <c r="BI90" i="3"/>
  <c r="AY89" i="3"/>
  <c r="AN85" i="3"/>
  <c r="N84" i="3"/>
  <c r="Z82" i="3"/>
  <c r="V79" i="3"/>
  <c r="BM77" i="3"/>
  <c r="AE70" i="3"/>
  <c r="AO68" i="3"/>
  <c r="AZ66" i="3"/>
  <c r="AI59" i="3"/>
  <c r="AM45" i="3"/>
  <c r="N35" i="3"/>
  <c r="N38" i="3"/>
  <c r="Z38" i="3"/>
  <c r="AL38" i="3"/>
  <c r="AX38" i="3"/>
  <c r="BJ38" i="3"/>
  <c r="K38" i="3"/>
  <c r="X38" i="3"/>
  <c r="AK38" i="3"/>
  <c r="AY38" i="3"/>
  <c r="BL38" i="3"/>
  <c r="M38" i="3"/>
  <c r="AA38" i="3"/>
  <c r="AN38" i="3"/>
  <c r="BA38" i="3"/>
  <c r="BN38" i="3"/>
  <c r="P38" i="3"/>
  <c r="AC38" i="3"/>
  <c r="AP38" i="3"/>
  <c r="BC38" i="3"/>
  <c r="R38" i="3"/>
  <c r="AH38" i="3"/>
  <c r="AZ38" i="3"/>
  <c r="S38" i="3"/>
  <c r="AI38" i="3"/>
  <c r="BB38" i="3"/>
  <c r="U38" i="3"/>
  <c r="AQ38" i="3"/>
  <c r="BI38" i="3"/>
  <c r="W38" i="3"/>
  <c r="AS38" i="3"/>
  <c r="BM38" i="3"/>
  <c r="AB38" i="3"/>
  <c r="AU38" i="3"/>
  <c r="Y38" i="3"/>
  <c r="BD38" i="3"/>
  <c r="AD38" i="3"/>
  <c r="BE38" i="3"/>
  <c r="AE38" i="3"/>
  <c r="BF38" i="3"/>
  <c r="AG38" i="3"/>
  <c r="BH38" i="3"/>
  <c r="AF38" i="3"/>
  <c r="AJ38" i="3"/>
  <c r="AM38" i="3"/>
  <c r="AR38" i="3"/>
  <c r="Q38" i="3"/>
  <c r="T38" i="3"/>
  <c r="V38" i="3"/>
  <c r="AW38" i="3"/>
  <c r="BK38" i="3"/>
  <c r="BO38" i="3"/>
  <c r="L38" i="3"/>
  <c r="AV38" i="3"/>
  <c r="BG38" i="3"/>
  <c r="L76" i="3"/>
  <c r="X76" i="3"/>
  <c r="AJ76" i="3"/>
  <c r="AV76" i="3"/>
  <c r="BH76" i="3"/>
  <c r="R76" i="3"/>
  <c r="AE76" i="3"/>
  <c r="AR76" i="3"/>
  <c r="BE76" i="3"/>
  <c r="S76" i="3"/>
  <c r="AF76" i="3"/>
  <c r="AS76" i="3"/>
  <c r="BF76" i="3"/>
  <c r="Q76" i="3"/>
  <c r="AH76" i="3"/>
  <c r="AX76" i="3"/>
  <c r="BM76" i="3"/>
  <c r="AK76" i="3"/>
  <c r="T76" i="3"/>
  <c r="AI76" i="3"/>
  <c r="AY76" i="3"/>
  <c r="BN76" i="3"/>
  <c r="AZ76" i="3"/>
  <c r="U76" i="3"/>
  <c r="BO76" i="3"/>
  <c r="Y76" i="3"/>
  <c r="AQ76" i="3"/>
  <c r="BL76" i="3"/>
  <c r="Z76" i="3"/>
  <c r="AT76" i="3"/>
  <c r="AA76" i="3"/>
  <c r="AU76" i="3"/>
  <c r="K76" i="3"/>
  <c r="AM76" i="3"/>
  <c r="BK76" i="3"/>
  <c r="M76" i="3"/>
  <c r="AN76" i="3"/>
  <c r="W76" i="3"/>
  <c r="BB76" i="3"/>
  <c r="N76" i="3"/>
  <c r="BA76" i="3"/>
  <c r="I76" i="3"/>
  <c r="O76" i="3"/>
  <c r="BC76" i="3"/>
  <c r="V76" i="3"/>
  <c r="BG76" i="3"/>
  <c r="I79" i="3"/>
  <c r="I18" i="3"/>
  <c r="AA95" i="3"/>
  <c r="AK94" i="3"/>
  <c r="BJ91" i="3"/>
  <c r="V90" i="3"/>
  <c r="O89" i="3"/>
  <c r="M84" i="3"/>
  <c r="T82" i="3"/>
  <c r="T80" i="3"/>
  <c r="BE77" i="3"/>
  <c r="BG72" i="3"/>
  <c r="AN68" i="3"/>
  <c r="AY66" i="3"/>
  <c r="AM64" i="3"/>
  <c r="BG57" i="3"/>
  <c r="BE52" i="3"/>
  <c r="Q25" i="3"/>
  <c r="J47" i="3"/>
  <c r="V47" i="3"/>
  <c r="AH47" i="3"/>
  <c r="AT47" i="3"/>
  <c r="BF47" i="3"/>
  <c r="R47" i="3"/>
  <c r="AE47" i="3"/>
  <c r="AR47" i="3"/>
  <c r="BE47" i="3"/>
  <c r="Q47" i="3"/>
  <c r="AF47" i="3"/>
  <c r="AU47" i="3"/>
  <c r="BI47" i="3"/>
  <c r="T47" i="3"/>
  <c r="AI47" i="3"/>
  <c r="AW47" i="3"/>
  <c r="BK47" i="3"/>
  <c r="W47" i="3"/>
  <c r="AK47" i="3"/>
  <c r="AY47" i="3"/>
  <c r="BM47" i="3"/>
  <c r="U47" i="3"/>
  <c r="AN47" i="3"/>
  <c r="BG47" i="3"/>
  <c r="X47" i="3"/>
  <c r="AO47" i="3"/>
  <c r="BH47" i="3"/>
  <c r="Y47" i="3"/>
  <c r="AP47" i="3"/>
  <c r="BJ47" i="3"/>
  <c r="AA47" i="3"/>
  <c r="AS47" i="3"/>
  <c r="BN47" i="3"/>
  <c r="Z47" i="3"/>
  <c r="BA47" i="3"/>
  <c r="AB47" i="3"/>
  <c r="BB47" i="3"/>
  <c r="H47" i="3"/>
  <c r="AC47" i="3"/>
  <c r="BC47" i="3"/>
  <c r="AG47" i="3"/>
  <c r="BL47" i="3"/>
  <c r="O47" i="3"/>
  <c r="BO47" i="3"/>
  <c r="P47" i="3"/>
  <c r="S47" i="3"/>
  <c r="AM47" i="3"/>
  <c r="K47" i="3"/>
  <c r="L47" i="3"/>
  <c r="AL47" i="3"/>
  <c r="AV47" i="3"/>
  <c r="AX47" i="3"/>
  <c r="I47" i="3"/>
  <c r="BD47" i="3"/>
  <c r="R75" i="3"/>
  <c r="AD75" i="3"/>
  <c r="AP75" i="3"/>
  <c r="BB75" i="3"/>
  <c r="BN75" i="3"/>
  <c r="P75" i="3"/>
  <c r="AC75" i="3"/>
  <c r="AQ75" i="3"/>
  <c r="BD75" i="3"/>
  <c r="Q75" i="3"/>
  <c r="AE75" i="3"/>
  <c r="AR75" i="3"/>
  <c r="BE75" i="3"/>
  <c r="M75" i="3"/>
  <c r="AB75" i="3"/>
  <c r="AT75" i="3"/>
  <c r="BI75" i="3"/>
  <c r="O75" i="3"/>
  <c r="N75" i="3"/>
  <c r="AF75" i="3"/>
  <c r="AU75" i="3"/>
  <c r="BJ75" i="3"/>
  <c r="AG75" i="3"/>
  <c r="BK75" i="3"/>
  <c r="AV75" i="3"/>
  <c r="AA75" i="3"/>
  <c r="AY75" i="3"/>
  <c r="J75" i="3"/>
  <c r="AH75" i="3"/>
  <c r="AZ75" i="3"/>
  <c r="K75" i="3"/>
  <c r="AI75" i="3"/>
  <c r="BA75" i="3"/>
  <c r="T75" i="3"/>
  <c r="AO75" i="3"/>
  <c r="U75" i="3"/>
  <c r="AS75" i="3"/>
  <c r="Z75" i="3"/>
  <c r="BG75" i="3"/>
  <c r="Y75" i="3"/>
  <c r="BM75" i="3"/>
  <c r="AJ75" i="3"/>
  <c r="BO75" i="3"/>
  <c r="AL75" i="3"/>
  <c r="H80" i="3"/>
  <c r="I59" i="3"/>
  <c r="Z95" i="3"/>
  <c r="AI94" i="3"/>
  <c r="AH93" i="3"/>
  <c r="AH92" i="3"/>
  <c r="AF91" i="3"/>
  <c r="L84" i="3"/>
  <c r="BF72" i="3"/>
  <c r="O10" i="3"/>
  <c r="AA10" i="3"/>
  <c r="AM10" i="3"/>
  <c r="AY10" i="3"/>
  <c r="BK10" i="3"/>
  <c r="Q10" i="3"/>
  <c r="AC10" i="3"/>
  <c r="AO10" i="3"/>
  <c r="BA10" i="3"/>
  <c r="BM10" i="3"/>
  <c r="S10" i="3"/>
  <c r="AE10" i="3"/>
  <c r="AQ10" i="3"/>
  <c r="BC10" i="3"/>
  <c r="BO10" i="3"/>
  <c r="L10" i="3"/>
  <c r="AB10" i="3"/>
  <c r="AS10" i="3"/>
  <c r="BH10" i="3"/>
  <c r="T10" i="3"/>
  <c r="AJ10" i="3"/>
  <c r="BB10" i="3"/>
  <c r="V10" i="3"/>
  <c r="AL10" i="3"/>
  <c r="BE10" i="3"/>
  <c r="Z10" i="3"/>
  <c r="AV10" i="3"/>
  <c r="J10" i="3"/>
  <c r="AF10" i="3"/>
  <c r="AX10" i="3"/>
  <c r="K10" i="3"/>
  <c r="AI10" i="3"/>
  <c r="BI10" i="3"/>
  <c r="U10" i="3"/>
  <c r="AT10" i="3"/>
  <c r="AH10" i="3"/>
  <c r="BL10" i="3"/>
  <c r="M10" i="3"/>
  <c r="AP10" i="3"/>
  <c r="R10" i="3"/>
  <c r="BD10" i="3"/>
  <c r="AD10" i="3"/>
  <c r="BN10" i="3"/>
  <c r="AG10" i="3"/>
  <c r="AN10" i="3"/>
  <c r="AU10" i="3"/>
  <c r="AW10" i="3"/>
  <c r="Y10" i="3"/>
  <c r="AK10" i="3"/>
  <c r="P10" i="3"/>
  <c r="X10" i="3"/>
  <c r="N10" i="3"/>
  <c r="AR10" i="3"/>
  <c r="H10" i="3"/>
  <c r="W10" i="3"/>
  <c r="BG10" i="3"/>
  <c r="I10" i="3"/>
  <c r="BF10" i="3"/>
  <c r="BJ10" i="3"/>
  <c r="BJ56" i="3"/>
  <c r="H76" i="3"/>
  <c r="I54" i="3"/>
  <c r="AV95" i="3"/>
  <c r="BG94" i="3"/>
  <c r="AE93" i="3"/>
  <c r="Y92" i="3"/>
  <c r="BE91" i="3"/>
  <c r="N90" i="3"/>
  <c r="BK85" i="3"/>
  <c r="BF82" i="3"/>
  <c r="AS78" i="3"/>
  <c r="K73" i="3"/>
  <c r="BC65" i="3"/>
  <c r="AG63" i="3"/>
  <c r="BA61" i="3"/>
  <c r="Y58" i="3"/>
  <c r="S16" i="3"/>
  <c r="AE16" i="3"/>
  <c r="AQ16" i="3"/>
  <c r="BC16" i="3"/>
  <c r="BO16" i="3"/>
  <c r="O16" i="3"/>
  <c r="AB16" i="3"/>
  <c r="AO16" i="3"/>
  <c r="BB16" i="3"/>
  <c r="V16" i="3"/>
  <c r="AJ16" i="3"/>
  <c r="AX16" i="3"/>
  <c r="BL16" i="3"/>
  <c r="J16" i="3"/>
  <c r="X16" i="3"/>
  <c r="AL16" i="3"/>
  <c r="AZ16" i="3"/>
  <c r="BN16" i="3"/>
  <c r="W16" i="3"/>
  <c r="AN16" i="3"/>
  <c r="BF16" i="3"/>
  <c r="Z16" i="3"/>
  <c r="AR16" i="3"/>
  <c r="BH16" i="3"/>
  <c r="U16" i="3"/>
  <c r="AS16" i="3"/>
  <c r="BK16" i="3"/>
  <c r="L16" i="3"/>
  <c r="AF16" i="3"/>
  <c r="AY16" i="3"/>
  <c r="Q16" i="3"/>
  <c r="AP16" i="3"/>
  <c r="Y16" i="3"/>
  <c r="AV16" i="3"/>
  <c r="K16" i="3"/>
  <c r="AK16" i="3"/>
  <c r="R16" i="3"/>
  <c r="AW16" i="3"/>
  <c r="AT16" i="3"/>
  <c r="N16" i="3"/>
  <c r="BA16" i="3"/>
  <c r="T16" i="3"/>
  <c r="BE16" i="3"/>
  <c r="AA16" i="3"/>
  <c r="BG16" i="3"/>
  <c r="AD16" i="3"/>
  <c r="AG16" i="3"/>
  <c r="AI16" i="3"/>
  <c r="AU16" i="3"/>
  <c r="BI16" i="3"/>
  <c r="AC16" i="3"/>
  <c r="AH16" i="3"/>
  <c r="AM16" i="3"/>
  <c r="BJ16" i="3"/>
  <c r="M16" i="3"/>
  <c r="BD16" i="3"/>
  <c r="P16" i="3"/>
  <c r="I16" i="3"/>
  <c r="BM16" i="3"/>
  <c r="H16" i="3"/>
  <c r="H92" i="3"/>
  <c r="H75" i="3"/>
  <c r="H38" i="3"/>
  <c r="H18" i="3"/>
  <c r="I90" i="3"/>
  <c r="I73" i="3"/>
  <c r="I53" i="3"/>
  <c r="I36" i="3"/>
  <c r="I13" i="3"/>
  <c r="AU95" i="3"/>
  <c r="Q95" i="3"/>
  <c r="BB94" i="3"/>
  <c r="X94" i="3"/>
  <c r="BE93" i="3"/>
  <c r="Z93" i="3"/>
  <c r="AY92" i="3"/>
  <c r="W92" i="3"/>
  <c r="BD91" i="3"/>
  <c r="W91" i="3"/>
  <c r="AS90" i="3"/>
  <c r="AL89" i="3"/>
  <c r="BD88" i="3"/>
  <c r="AY87" i="3"/>
  <c r="AK86" i="3"/>
  <c r="BJ85" i="3"/>
  <c r="U85" i="3"/>
  <c r="AM84" i="3"/>
  <c r="AW82" i="3"/>
  <c r="AY81" i="3"/>
  <c r="AT79" i="3"/>
  <c r="AR78" i="3"/>
  <c r="AW77" i="3"/>
  <c r="AG76" i="3"/>
  <c r="W75" i="3"/>
  <c r="BN74" i="3"/>
  <c r="T74" i="3"/>
  <c r="AX73" i="3"/>
  <c r="J73" i="3"/>
  <c r="Z71" i="3"/>
  <c r="BL70" i="3"/>
  <c r="M68" i="3"/>
  <c r="L64" i="3"/>
  <c r="AF63" i="3"/>
  <c r="AU62" i="3"/>
  <c r="AS61" i="3"/>
  <c r="X58" i="3"/>
  <c r="AI56" i="3"/>
  <c r="AQ55" i="3"/>
  <c r="AJ47" i="3"/>
  <c r="M46" i="3"/>
  <c r="AS43" i="3"/>
  <c r="AX40" i="3"/>
  <c r="AO38" i="3"/>
  <c r="AD36" i="3"/>
  <c r="AG34" i="3"/>
  <c r="U31" i="3"/>
  <c r="P52" i="3"/>
  <c r="AB52" i="3"/>
  <c r="AN52" i="3"/>
  <c r="AZ52" i="3"/>
  <c r="BL52" i="3"/>
  <c r="K52" i="3"/>
  <c r="X52" i="3"/>
  <c r="AK52" i="3"/>
  <c r="AX52" i="3"/>
  <c r="BK52" i="3"/>
  <c r="M52" i="3"/>
  <c r="Z52" i="3"/>
  <c r="AM52" i="3"/>
  <c r="BA52" i="3"/>
  <c r="BN52" i="3"/>
  <c r="O52" i="3"/>
  <c r="AC52" i="3"/>
  <c r="AP52" i="3"/>
  <c r="BC52" i="3"/>
  <c r="N52" i="3"/>
  <c r="AF52" i="3"/>
  <c r="AV52" i="3"/>
  <c r="BO52" i="3"/>
  <c r="Q52" i="3"/>
  <c r="AG52" i="3"/>
  <c r="AW52" i="3"/>
  <c r="R52" i="3"/>
  <c r="AH52" i="3"/>
  <c r="AY52" i="3"/>
  <c r="T52" i="3"/>
  <c r="AJ52" i="3"/>
  <c r="BD52" i="3"/>
  <c r="S52" i="3"/>
  <c r="AR52" i="3"/>
  <c r="U52" i="3"/>
  <c r="AS52" i="3"/>
  <c r="V52" i="3"/>
  <c r="AT52" i="3"/>
  <c r="Y52" i="3"/>
  <c r="BB52" i="3"/>
  <c r="L52" i="3"/>
  <c r="BG52" i="3"/>
  <c r="W52" i="3"/>
  <c r="BH52" i="3"/>
  <c r="AA52" i="3"/>
  <c r="BI52" i="3"/>
  <c r="AL52" i="3"/>
  <c r="J52" i="3"/>
  <c r="AQ52" i="3"/>
  <c r="BF52" i="3"/>
  <c r="BJ52" i="3"/>
  <c r="R69" i="3"/>
  <c r="AD69" i="3"/>
  <c r="AP69" i="3"/>
  <c r="BB69" i="3"/>
  <c r="BN69" i="3"/>
  <c r="T69" i="3"/>
  <c r="AG69" i="3"/>
  <c r="AT69" i="3"/>
  <c r="BG69" i="3"/>
  <c r="U69" i="3"/>
  <c r="AH69" i="3"/>
  <c r="AU69" i="3"/>
  <c r="BH69" i="3"/>
  <c r="S69" i="3"/>
  <c r="AJ69" i="3"/>
  <c r="AY69" i="3"/>
  <c r="BO69" i="3"/>
  <c r="BA69" i="3"/>
  <c r="V69" i="3"/>
  <c r="AK69" i="3"/>
  <c r="AZ69" i="3"/>
  <c r="I69" i="3"/>
  <c r="AL69" i="3"/>
  <c r="W69" i="3"/>
  <c r="J69" i="3"/>
  <c r="Y69" i="3"/>
  <c r="AN69" i="3"/>
  <c r="BD69" i="3"/>
  <c r="M69" i="3"/>
  <c r="AI69" i="3"/>
  <c r="BI69" i="3"/>
  <c r="N69" i="3"/>
  <c r="AM69" i="3"/>
  <c r="BJ69" i="3"/>
  <c r="O69" i="3"/>
  <c r="AO69" i="3"/>
  <c r="BK69" i="3"/>
  <c r="X69" i="3"/>
  <c r="AX69" i="3"/>
  <c r="Z69" i="3"/>
  <c r="BC69" i="3"/>
  <c r="AF69" i="3"/>
  <c r="L69" i="3"/>
  <c r="BE69" i="3"/>
  <c r="P69" i="3"/>
  <c r="BF69" i="3"/>
  <c r="AA69" i="3"/>
  <c r="BM69" i="3"/>
  <c r="S72" i="3"/>
  <c r="BO72" i="3"/>
  <c r="AH72" i="3"/>
  <c r="AX72" i="3"/>
  <c r="H72" i="3"/>
  <c r="U72" i="3"/>
  <c r="AK72" i="3"/>
  <c r="AA72" i="3"/>
  <c r="AT72" i="3"/>
  <c r="AB72" i="3"/>
  <c r="BA72" i="3"/>
  <c r="AC72" i="3"/>
  <c r="BB72" i="3"/>
  <c r="AI72" i="3"/>
  <c r="BI72" i="3"/>
  <c r="AN72" i="3"/>
  <c r="BJ72" i="3"/>
  <c r="P72" i="3"/>
  <c r="AS72" i="3"/>
  <c r="AO72" i="3"/>
  <c r="AP72" i="3"/>
  <c r="AR72" i="3"/>
  <c r="L12" i="3"/>
  <c r="AX12" i="3"/>
  <c r="BL12" i="3"/>
  <c r="H69" i="3"/>
  <c r="AY93" i="3"/>
  <c r="AB69" i="3"/>
  <c r="AI48" i="3"/>
  <c r="AX44" i="3"/>
  <c r="BK24" i="3"/>
  <c r="M23" i="3"/>
  <c r="Y23" i="3"/>
  <c r="AK23" i="3"/>
  <c r="AW23" i="3"/>
  <c r="BI23" i="3"/>
  <c r="P23" i="3"/>
  <c r="AC23" i="3"/>
  <c r="AP23" i="3"/>
  <c r="Q23" i="3"/>
  <c r="AE23" i="3"/>
  <c r="AS23" i="3"/>
  <c r="BF23" i="3"/>
  <c r="W23" i="3"/>
  <c r="AM23" i="3"/>
  <c r="BB23" i="3"/>
  <c r="R23" i="3"/>
  <c r="AH23" i="3"/>
  <c r="AY23" i="3"/>
  <c r="BN23" i="3"/>
  <c r="V23" i="3"/>
  <c r="AN23" i="3"/>
  <c r="BD23" i="3"/>
  <c r="J23" i="3"/>
  <c r="AD23" i="3"/>
  <c r="AX23" i="3"/>
  <c r="L23" i="3"/>
  <c r="AG23" i="3"/>
  <c r="BA23" i="3"/>
  <c r="O23" i="3"/>
  <c r="AJ23" i="3"/>
  <c r="BE23" i="3"/>
  <c r="S23" i="3"/>
  <c r="AL23" i="3"/>
  <c r="BG23" i="3"/>
  <c r="AQ23" i="3"/>
  <c r="BO23" i="3"/>
  <c r="K23" i="3"/>
  <c r="AR23" i="3"/>
  <c r="AF23" i="3"/>
  <c r="BM23" i="3"/>
  <c r="AO23" i="3"/>
  <c r="AU23" i="3"/>
  <c r="AT23" i="3"/>
  <c r="AV23" i="3"/>
  <c r="AZ23" i="3"/>
  <c r="N23" i="3"/>
  <c r="BH23" i="3"/>
  <c r="BC23" i="3"/>
  <c r="BJ23" i="3"/>
  <c r="H23" i="3"/>
  <c r="BK23" i="3"/>
  <c r="X23" i="3"/>
  <c r="AA23" i="3"/>
  <c r="AB23" i="3"/>
  <c r="AI23" i="3"/>
  <c r="U23" i="3"/>
  <c r="Z23" i="3"/>
  <c r="BL23" i="3"/>
  <c r="R80" i="3"/>
  <c r="AD80" i="3"/>
  <c r="AP80" i="3"/>
  <c r="BB80" i="3"/>
  <c r="BN80" i="3"/>
  <c r="S80" i="3"/>
  <c r="AE80" i="3"/>
  <c r="AQ80" i="3"/>
  <c r="BC80" i="3"/>
  <c r="BO80" i="3"/>
  <c r="O80" i="3"/>
  <c r="AC80" i="3"/>
  <c r="AS80" i="3"/>
  <c r="BG80" i="3"/>
  <c r="I80" i="3"/>
  <c r="Q80" i="3"/>
  <c r="BI80" i="3"/>
  <c r="P80" i="3"/>
  <c r="AF80" i="3"/>
  <c r="AT80" i="3"/>
  <c r="BH80" i="3"/>
  <c r="AU80" i="3"/>
  <c r="AG80" i="3"/>
  <c r="V80" i="3"/>
  <c r="AM80" i="3"/>
  <c r="BF80" i="3"/>
  <c r="W80" i="3"/>
  <c r="AN80" i="3"/>
  <c r="BJ80" i="3"/>
  <c r="X80" i="3"/>
  <c r="AO80" i="3"/>
  <c r="BK80" i="3"/>
  <c r="U80" i="3"/>
  <c r="AW80" i="3"/>
  <c r="Y80" i="3"/>
  <c r="AX80" i="3"/>
  <c r="J80" i="3"/>
  <c r="AI80" i="3"/>
  <c r="BE80" i="3"/>
  <c r="AL80" i="3"/>
  <c r="K80" i="3"/>
  <c r="AR80" i="3"/>
  <c r="M80" i="3"/>
  <c r="AY80" i="3"/>
  <c r="U83" i="3"/>
  <c r="BM83" i="3"/>
  <c r="AI83" i="3"/>
  <c r="AY83" i="3"/>
  <c r="R83" i="3"/>
  <c r="AN83" i="3"/>
  <c r="BE83" i="3"/>
  <c r="V83" i="3"/>
  <c r="AO83" i="3"/>
  <c r="BF83" i="3"/>
  <c r="W83" i="3"/>
  <c r="AP83" i="3"/>
  <c r="BG83" i="3"/>
  <c r="AE83" i="3"/>
  <c r="BD83" i="3"/>
  <c r="J83" i="3"/>
  <c r="AF83" i="3"/>
  <c r="BJ83" i="3"/>
  <c r="Q83" i="3"/>
  <c r="AS83" i="3"/>
  <c r="K83" i="3"/>
  <c r="AR83" i="3"/>
  <c r="N83" i="3"/>
  <c r="AT83" i="3"/>
  <c r="P83" i="3"/>
  <c r="U59" i="3"/>
  <c r="AN59" i="3"/>
  <c r="BI59" i="3"/>
  <c r="X59" i="3"/>
  <c r="AS59" i="3"/>
  <c r="BK59" i="3"/>
  <c r="AJ59" i="3"/>
  <c r="BO59" i="3"/>
  <c r="K59" i="3"/>
  <c r="AO59" i="3"/>
  <c r="M59" i="3"/>
  <c r="AU59" i="3"/>
  <c r="Z59" i="3"/>
  <c r="AZ59" i="3"/>
  <c r="W59" i="3"/>
  <c r="BM59" i="3"/>
  <c r="AA59" i="3"/>
  <c r="BN59" i="3"/>
  <c r="AV59" i="3"/>
  <c r="Q59" i="3"/>
  <c r="AE59" i="3"/>
  <c r="H68" i="3"/>
  <c r="AL95" i="3"/>
  <c r="AV93" i="3"/>
  <c r="P92" i="3"/>
  <c r="AH84" i="3"/>
  <c r="AL83" i="3"/>
  <c r="AU60" i="3"/>
  <c r="X48" i="3"/>
  <c r="AJ12" i="3"/>
  <c r="J53" i="3"/>
  <c r="V53" i="3"/>
  <c r="AH53" i="3"/>
  <c r="AT53" i="3"/>
  <c r="BF53" i="3"/>
  <c r="M53" i="3"/>
  <c r="Z53" i="3"/>
  <c r="AM53" i="3"/>
  <c r="AZ53" i="3"/>
  <c r="BM53" i="3"/>
  <c r="O53" i="3"/>
  <c r="AB53" i="3"/>
  <c r="AO53" i="3"/>
  <c r="BB53" i="3"/>
  <c r="BO53" i="3"/>
  <c r="Q53" i="3"/>
  <c r="K53" i="3"/>
  <c r="AC53" i="3"/>
  <c r="AR53" i="3"/>
  <c r="BH53" i="3"/>
  <c r="L53" i="3"/>
  <c r="AD53" i="3"/>
  <c r="AS53" i="3"/>
  <c r="BI53" i="3"/>
  <c r="N53" i="3"/>
  <c r="AE53" i="3"/>
  <c r="AU53" i="3"/>
  <c r="BJ53" i="3"/>
  <c r="R53" i="3"/>
  <c r="AG53" i="3"/>
  <c r="AW53" i="3"/>
  <c r="BL53" i="3"/>
  <c r="AF53" i="3"/>
  <c r="BC53" i="3"/>
  <c r="AI53" i="3"/>
  <c r="BD53" i="3"/>
  <c r="AJ53" i="3"/>
  <c r="BE53" i="3"/>
  <c r="P53" i="3"/>
  <c r="AL53" i="3"/>
  <c r="BK53" i="3"/>
  <c r="AQ53" i="3"/>
  <c r="AV53" i="3"/>
  <c r="S53" i="3"/>
  <c r="AX53" i="3"/>
  <c r="X53" i="3"/>
  <c r="BN53" i="3"/>
  <c r="AN53" i="3"/>
  <c r="AP53" i="3"/>
  <c r="T53" i="3"/>
  <c r="AY53" i="3"/>
  <c r="BA53" i="3"/>
  <c r="R67" i="3"/>
  <c r="AD67" i="3"/>
  <c r="AP67" i="3"/>
  <c r="BB67" i="3"/>
  <c r="BN67" i="3"/>
  <c r="P67" i="3"/>
  <c r="AC67" i="3"/>
  <c r="AQ67" i="3"/>
  <c r="BD67" i="3"/>
  <c r="BQ67" i="3"/>
  <c r="Q67" i="3"/>
  <c r="AE67" i="3"/>
  <c r="AR67" i="3"/>
  <c r="BE67" i="3"/>
  <c r="K67" i="3"/>
  <c r="Z67" i="3"/>
  <c r="AO67" i="3"/>
  <c r="BG67" i="3"/>
  <c r="M67" i="3"/>
  <c r="AT67" i="3"/>
  <c r="L67" i="3"/>
  <c r="AA67" i="3"/>
  <c r="AS67" i="3"/>
  <c r="BH67" i="3"/>
  <c r="AB67" i="3"/>
  <c r="BI67" i="3"/>
  <c r="O67" i="3"/>
  <c r="AG67" i="3"/>
  <c r="AV67" i="3"/>
  <c r="BK67" i="3"/>
  <c r="Y67" i="3"/>
  <c r="AY67" i="3"/>
  <c r="AF67" i="3"/>
  <c r="AZ67" i="3"/>
  <c r="AH67" i="3"/>
  <c r="BA67" i="3"/>
  <c r="N67" i="3"/>
  <c r="AN67" i="3"/>
  <c r="S67" i="3"/>
  <c r="AU67" i="3"/>
  <c r="X67" i="3"/>
  <c r="BJ67" i="3"/>
  <c r="W67" i="3"/>
  <c r="BO67" i="3"/>
  <c r="AI67" i="3"/>
  <c r="AK67" i="3"/>
  <c r="H67" i="3"/>
  <c r="H28" i="3"/>
  <c r="I48" i="3"/>
  <c r="BL95" i="3"/>
  <c r="AN94" i="3"/>
  <c r="AU93" i="3"/>
  <c r="AR92" i="3"/>
  <c r="AG81" i="3"/>
  <c r="AB80" i="3"/>
  <c r="AA79" i="3"/>
  <c r="V72" i="3"/>
  <c r="AQ68" i="3"/>
  <c r="V67" i="3"/>
  <c r="AX59" i="3"/>
  <c r="X44" i="3"/>
  <c r="AD35" i="3"/>
  <c r="AX18" i="3"/>
  <c r="M29" i="3"/>
  <c r="Y29" i="3"/>
  <c r="AK29" i="3"/>
  <c r="AW29" i="3"/>
  <c r="BI29" i="3"/>
  <c r="Q29" i="3"/>
  <c r="AD29" i="3"/>
  <c r="AQ29" i="3"/>
  <c r="BD29" i="3"/>
  <c r="U29" i="3"/>
  <c r="AH29" i="3"/>
  <c r="AU29" i="3"/>
  <c r="BH29" i="3"/>
  <c r="P29" i="3"/>
  <c r="AF29" i="3"/>
  <c r="AV29" i="3"/>
  <c r="BL29" i="3"/>
  <c r="S29" i="3"/>
  <c r="AI29" i="3"/>
  <c r="AY29" i="3"/>
  <c r="BN29" i="3"/>
  <c r="V29" i="3"/>
  <c r="AL29" i="3"/>
  <c r="BA29" i="3"/>
  <c r="W29" i="3"/>
  <c r="AM29" i="3"/>
  <c r="BB29" i="3"/>
  <c r="J29" i="3"/>
  <c r="AE29" i="3"/>
  <c r="BE29" i="3"/>
  <c r="K29" i="3"/>
  <c r="AG29" i="3"/>
  <c r="BF29" i="3"/>
  <c r="N29" i="3"/>
  <c r="AP29" i="3"/>
  <c r="R29" i="3"/>
  <c r="AS29" i="3"/>
  <c r="X29" i="3"/>
  <c r="AX29" i="3"/>
  <c r="AB29" i="3"/>
  <c r="BM29" i="3"/>
  <c r="AC29" i="3"/>
  <c r="BO29" i="3"/>
  <c r="AJ29" i="3"/>
  <c r="AO29" i="3"/>
  <c r="BC29" i="3"/>
  <c r="BG29" i="3"/>
  <c r="BJ29" i="3"/>
  <c r="O29" i="3"/>
  <c r="AA29" i="3"/>
  <c r="AR29" i="3"/>
  <c r="AT29" i="3"/>
  <c r="AZ29" i="3"/>
  <c r="S90" i="3"/>
  <c r="AE90" i="3"/>
  <c r="AQ90" i="3"/>
  <c r="BC90" i="3"/>
  <c r="BO90" i="3"/>
  <c r="J90" i="3"/>
  <c r="W90" i="3"/>
  <c r="AJ90" i="3"/>
  <c r="AW90" i="3"/>
  <c r="BJ90" i="3"/>
  <c r="AL90" i="3"/>
  <c r="K90" i="3"/>
  <c r="X90" i="3"/>
  <c r="AK90" i="3"/>
  <c r="AX90" i="3"/>
  <c r="BK90" i="3"/>
  <c r="Y90" i="3"/>
  <c r="AY90" i="3"/>
  <c r="L90" i="3"/>
  <c r="BL90" i="3"/>
  <c r="R90" i="3"/>
  <c r="AI90" i="3"/>
  <c r="BB90" i="3"/>
  <c r="T90" i="3"/>
  <c r="AM90" i="3"/>
  <c r="BD90" i="3"/>
  <c r="O90" i="3"/>
  <c r="AH90" i="3"/>
  <c r="BF90" i="3"/>
  <c r="P90" i="3"/>
  <c r="AN90" i="3"/>
  <c r="BG90" i="3"/>
  <c r="AA90" i="3"/>
  <c r="AT90" i="3"/>
  <c r="Z90" i="3"/>
  <c r="AZ90" i="3"/>
  <c r="AB90" i="3"/>
  <c r="BA90" i="3"/>
  <c r="P66" i="3"/>
  <c r="AB66" i="3"/>
  <c r="J66" i="3"/>
  <c r="W66" i="3"/>
  <c r="AJ66" i="3"/>
  <c r="AV66" i="3"/>
  <c r="BH66" i="3"/>
  <c r="M66" i="3"/>
  <c r="AA66" i="3"/>
  <c r="AO66" i="3"/>
  <c r="BB66" i="3"/>
  <c r="BO66" i="3"/>
  <c r="N66" i="3"/>
  <c r="AC66" i="3"/>
  <c r="AP66" i="3"/>
  <c r="BC66" i="3"/>
  <c r="U66" i="3"/>
  <c r="AL66" i="3"/>
  <c r="BA66" i="3"/>
  <c r="X66" i="3"/>
  <c r="BE66" i="3"/>
  <c r="V66" i="3"/>
  <c r="AM66" i="3"/>
  <c r="BD66" i="3"/>
  <c r="AN66" i="3"/>
  <c r="Z66" i="3"/>
  <c r="AR66" i="3"/>
  <c r="BG66" i="3"/>
  <c r="T66" i="3"/>
  <c r="AU66" i="3"/>
  <c r="Y66" i="3"/>
  <c r="AW66" i="3"/>
  <c r="AD66" i="3"/>
  <c r="AX66" i="3"/>
  <c r="AK66" i="3"/>
  <c r="BN66" i="3"/>
  <c r="K66" i="3"/>
  <c r="AQ66" i="3"/>
  <c r="S66" i="3"/>
  <c r="BF66" i="3"/>
  <c r="AG66" i="3"/>
  <c r="AH66" i="3"/>
  <c r="AS66" i="3"/>
  <c r="P57" i="3"/>
  <c r="AR57" i="3"/>
  <c r="Q57" i="3"/>
  <c r="AX57" i="3"/>
  <c r="R57" i="3"/>
  <c r="BC57" i="3"/>
  <c r="AF57" i="3"/>
  <c r="BH57" i="3"/>
  <c r="AD57" i="3"/>
  <c r="AG57" i="3"/>
  <c r="BD57" i="3"/>
  <c r="O57" i="3"/>
  <c r="S57" i="3"/>
  <c r="AJ57" i="3"/>
  <c r="I9" i="3"/>
  <c r="AT9" i="3"/>
  <c r="Q9" i="3"/>
  <c r="X9" i="3"/>
  <c r="AC9" i="3"/>
  <c r="H66" i="3"/>
  <c r="AI95" i="3"/>
  <c r="BN94" i="3"/>
  <c r="M94" i="3"/>
  <c r="AL93" i="3"/>
  <c r="AP92" i="3"/>
  <c r="BO91" i="3"/>
  <c r="AD90" i="3"/>
  <c r="T84" i="3"/>
  <c r="AC83" i="3"/>
  <c r="Z79" i="3"/>
  <c r="AA78" i="3"/>
  <c r="BD71" i="3"/>
  <c r="AF70" i="3"/>
  <c r="AD60" i="3"/>
  <c r="BM58" i="3"/>
  <c r="T44" i="3"/>
  <c r="T23" i="3"/>
  <c r="AI18" i="3"/>
  <c r="AZ10" i="3"/>
  <c r="Q14" i="3"/>
  <c r="AC14" i="3"/>
  <c r="AO14" i="3"/>
  <c r="BA14" i="3"/>
  <c r="BM14" i="3"/>
  <c r="S14" i="3"/>
  <c r="AE14" i="3"/>
  <c r="AQ14" i="3"/>
  <c r="BC14" i="3"/>
  <c r="BO14" i="3"/>
  <c r="W14" i="3"/>
  <c r="AK14" i="3"/>
  <c r="AY14" i="3"/>
  <c r="BN14" i="3"/>
  <c r="N14" i="3"/>
  <c r="AD14" i="3"/>
  <c r="AT14" i="3"/>
  <c r="BI14" i="3"/>
  <c r="P14" i="3"/>
  <c r="AG14" i="3"/>
  <c r="AV14" i="3"/>
  <c r="BK14" i="3"/>
  <c r="O14" i="3"/>
  <c r="AI14" i="3"/>
  <c r="BB14" i="3"/>
  <c r="T14" i="3"/>
  <c r="AL14" i="3"/>
  <c r="BE14" i="3"/>
  <c r="X14" i="3"/>
  <c r="AS14" i="3"/>
  <c r="J14" i="3"/>
  <c r="AF14" i="3"/>
  <c r="BD14" i="3"/>
  <c r="AJ14" i="3"/>
  <c r="BJ14" i="3"/>
  <c r="M14" i="3"/>
  <c r="AP14" i="3"/>
  <c r="Z14" i="3"/>
  <c r="BG14" i="3"/>
  <c r="AM14" i="3"/>
  <c r="AB14" i="3"/>
  <c r="AN14" i="3"/>
  <c r="AU14" i="3"/>
  <c r="K14" i="3"/>
  <c r="AW14" i="3"/>
  <c r="AA14" i="3"/>
  <c r="AH14" i="3"/>
  <c r="L14" i="3"/>
  <c r="U14" i="3"/>
  <c r="Y14" i="3"/>
  <c r="V14" i="3"/>
  <c r="AR14" i="3"/>
  <c r="AX14" i="3"/>
  <c r="BF14" i="3"/>
  <c r="AZ14" i="3"/>
  <c r="BH14" i="3"/>
  <c r="BL14" i="3"/>
  <c r="R14" i="3"/>
  <c r="S24" i="3"/>
  <c r="AE24" i="3"/>
  <c r="AQ24" i="3"/>
  <c r="BC24" i="3"/>
  <c r="BO24" i="3"/>
  <c r="U24" i="3"/>
  <c r="AH24" i="3"/>
  <c r="AU24" i="3"/>
  <c r="BH24" i="3"/>
  <c r="V24" i="3"/>
  <c r="AJ24" i="3"/>
  <c r="AX24" i="3"/>
  <c r="BL24" i="3"/>
  <c r="X24" i="3"/>
  <c r="AM24" i="3"/>
  <c r="BB24" i="3"/>
  <c r="M24" i="3"/>
  <c r="AB24" i="3"/>
  <c r="AR24" i="3"/>
  <c r="BG24" i="3"/>
  <c r="P24" i="3"/>
  <c r="AI24" i="3"/>
  <c r="BA24" i="3"/>
  <c r="R24" i="3"/>
  <c r="AL24" i="3"/>
  <c r="BE24" i="3"/>
  <c r="W24" i="3"/>
  <c r="AO24" i="3"/>
  <c r="BI24" i="3"/>
  <c r="Y24" i="3"/>
  <c r="AP24" i="3"/>
  <c r="BJ24" i="3"/>
  <c r="J24" i="3"/>
  <c r="AG24" i="3"/>
  <c r="BM24" i="3"/>
  <c r="K24" i="3"/>
  <c r="AK24" i="3"/>
  <c r="BN24" i="3"/>
  <c r="N24" i="3"/>
  <c r="AV24" i="3"/>
  <c r="Q24" i="3"/>
  <c r="AY24" i="3"/>
  <c r="Z24" i="3"/>
  <c r="BD24" i="3"/>
  <c r="AS24" i="3"/>
  <c r="AT24" i="3"/>
  <c r="AW24" i="3"/>
  <c r="L24" i="3"/>
  <c r="BF24" i="3"/>
  <c r="AC24" i="3"/>
  <c r="AD24" i="3"/>
  <c r="H24" i="3"/>
  <c r="AF24" i="3"/>
  <c r="AZ24" i="3"/>
  <c r="AA24" i="3"/>
  <c r="T24" i="3"/>
  <c r="T37" i="3"/>
  <c r="AF37" i="3"/>
  <c r="AR37" i="3"/>
  <c r="BD37" i="3"/>
  <c r="J37" i="3"/>
  <c r="W37" i="3"/>
  <c r="AJ37" i="3"/>
  <c r="AW37" i="3"/>
  <c r="BJ37" i="3"/>
  <c r="L37" i="3"/>
  <c r="Y37" i="3"/>
  <c r="AL37" i="3"/>
  <c r="AY37" i="3"/>
  <c r="BL37" i="3"/>
  <c r="N37" i="3"/>
  <c r="AA37" i="3"/>
  <c r="AN37" i="3"/>
  <c r="BA37" i="3"/>
  <c r="BN37" i="3"/>
  <c r="S37" i="3"/>
  <c r="AK37" i="3"/>
  <c r="BC37" i="3"/>
  <c r="U37" i="3"/>
  <c r="AM37" i="3"/>
  <c r="BE37" i="3"/>
  <c r="AB37" i="3"/>
  <c r="AU37" i="3"/>
  <c r="AD37" i="3"/>
  <c r="AX37" i="3"/>
  <c r="M37" i="3"/>
  <c r="AG37" i="3"/>
  <c r="BB37" i="3"/>
  <c r="AE37" i="3"/>
  <c r="BH37" i="3"/>
  <c r="AH37" i="3"/>
  <c r="BI37" i="3"/>
  <c r="AI37" i="3"/>
  <c r="BK37" i="3"/>
  <c r="O37" i="3"/>
  <c r="AP37" i="3"/>
  <c r="BO37" i="3"/>
  <c r="AO37" i="3"/>
  <c r="AQ37" i="3"/>
  <c r="AS37" i="3"/>
  <c r="K37" i="3"/>
  <c r="AV37" i="3"/>
  <c r="AZ37" i="3"/>
  <c r="BF37" i="3"/>
  <c r="BG37" i="3"/>
  <c r="R37" i="3"/>
  <c r="BM37" i="3"/>
  <c r="Q37" i="3"/>
  <c r="P37" i="3"/>
  <c r="V37" i="3"/>
  <c r="Z37" i="3"/>
  <c r="P54" i="3"/>
  <c r="AB54" i="3"/>
  <c r="AN54" i="3"/>
  <c r="AZ54" i="3"/>
  <c r="BL54" i="3"/>
  <c r="N54" i="3"/>
  <c r="AA54" i="3"/>
  <c r="AO54" i="3"/>
  <c r="BB54" i="3"/>
  <c r="Q54" i="3"/>
  <c r="AD54" i="3"/>
  <c r="AQ54" i="3"/>
  <c r="BD54" i="3"/>
  <c r="R54" i="3"/>
  <c r="AG54" i="3"/>
  <c r="AV54" i="3"/>
  <c r="BK54" i="3"/>
  <c r="S54" i="3"/>
  <c r="AH54" i="3"/>
  <c r="AW54" i="3"/>
  <c r="BM54" i="3"/>
  <c r="T54" i="3"/>
  <c r="AI54" i="3"/>
  <c r="AX54" i="3"/>
  <c r="BN54" i="3"/>
  <c r="V54" i="3"/>
  <c r="AK54" i="3"/>
  <c r="BA54" i="3"/>
  <c r="K54" i="3"/>
  <c r="AJ54" i="3"/>
  <c r="BG54" i="3"/>
  <c r="L54" i="3"/>
  <c r="AL54" i="3"/>
  <c r="BH54" i="3"/>
  <c r="M54" i="3"/>
  <c r="AM54" i="3"/>
  <c r="BI54" i="3"/>
  <c r="U54" i="3"/>
  <c r="AR54" i="3"/>
  <c r="BO54" i="3"/>
  <c r="Y54" i="3"/>
  <c r="BF54" i="3"/>
  <c r="Z54" i="3"/>
  <c r="BJ54" i="3"/>
  <c r="AC54" i="3"/>
  <c r="AS54" i="3"/>
  <c r="BC54" i="3"/>
  <c r="BE54" i="3"/>
  <c r="AE54" i="3"/>
  <c r="X54" i="3"/>
  <c r="AF54" i="3"/>
  <c r="AT54" i="3"/>
  <c r="J65" i="3"/>
  <c r="V65" i="3"/>
  <c r="AH65" i="3"/>
  <c r="AT65" i="3"/>
  <c r="BF65" i="3"/>
  <c r="U65" i="3"/>
  <c r="AI65" i="3"/>
  <c r="AV65" i="3"/>
  <c r="BI65" i="3"/>
  <c r="Q65" i="3"/>
  <c r="AE65" i="3"/>
  <c r="AS65" i="3"/>
  <c r="BH65" i="3"/>
  <c r="R65" i="3"/>
  <c r="AF65" i="3"/>
  <c r="AU65" i="3"/>
  <c r="BJ65" i="3"/>
  <c r="Z65" i="3"/>
  <c r="AP65" i="3"/>
  <c r="BG65" i="3"/>
  <c r="BL65" i="3"/>
  <c r="K65" i="3"/>
  <c r="AA65" i="3"/>
  <c r="AQ65" i="3"/>
  <c r="BK65" i="3"/>
  <c r="L65" i="3"/>
  <c r="AR65" i="3"/>
  <c r="AB65" i="3"/>
  <c r="N65" i="3"/>
  <c r="AD65" i="3"/>
  <c r="AX65" i="3"/>
  <c r="BN65" i="3"/>
  <c r="AK65" i="3"/>
  <c r="BE65" i="3"/>
  <c r="M65" i="3"/>
  <c r="AL65" i="3"/>
  <c r="BM65" i="3"/>
  <c r="O65" i="3"/>
  <c r="AM65" i="3"/>
  <c r="BO65" i="3"/>
  <c r="Y65" i="3"/>
  <c r="BD65" i="3"/>
  <c r="AC65" i="3"/>
  <c r="AW65" i="3"/>
  <c r="AG65" i="3"/>
  <c r="AJ65" i="3"/>
  <c r="AO65" i="3"/>
  <c r="H85" i="3"/>
  <c r="H65" i="3"/>
  <c r="I23" i="3"/>
  <c r="AH95" i="3"/>
  <c r="BM94" i="3"/>
  <c r="AL94" i="3"/>
  <c r="AL92" i="3"/>
  <c r="AI91" i="3"/>
  <c r="AC90" i="3"/>
  <c r="P89" i="3"/>
  <c r="BF84" i="3"/>
  <c r="AB83" i="3"/>
  <c r="V81" i="3"/>
  <c r="Z80" i="3"/>
  <c r="BK78" i="3"/>
  <c r="T78" i="3"/>
  <c r="N77" i="3"/>
  <c r="AC73" i="3"/>
  <c r="O72" i="3"/>
  <c r="BL69" i="3"/>
  <c r="T67" i="3"/>
  <c r="T65" i="3"/>
  <c r="U60" i="3"/>
  <c r="BD58" i="3"/>
  <c r="BJ57" i="3"/>
  <c r="BM52" i="3"/>
  <c r="BK46" i="3"/>
  <c r="J44" i="3"/>
  <c r="X37" i="3"/>
  <c r="BK29" i="3"/>
  <c r="S88" i="3"/>
  <c r="AE88" i="3"/>
  <c r="AQ88" i="3"/>
  <c r="BC88" i="3"/>
  <c r="BO88" i="3"/>
  <c r="T88" i="3"/>
  <c r="AG88" i="3"/>
  <c r="AT88" i="3"/>
  <c r="BG88" i="3"/>
  <c r="AI88" i="3"/>
  <c r="U88" i="3"/>
  <c r="AH88" i="3"/>
  <c r="AU88" i="3"/>
  <c r="BH88" i="3"/>
  <c r="V88" i="3"/>
  <c r="BI88" i="3"/>
  <c r="AV88" i="3"/>
  <c r="Y88" i="3"/>
  <c r="AO88" i="3"/>
  <c r="BF88" i="3"/>
  <c r="J88" i="3"/>
  <c r="Z88" i="3"/>
  <c r="AP88" i="3"/>
  <c r="BJ88" i="3"/>
  <c r="AB88" i="3"/>
  <c r="AX88" i="3"/>
  <c r="K88" i="3"/>
  <c r="AC88" i="3"/>
  <c r="AY88" i="3"/>
  <c r="P88" i="3"/>
  <c r="AL88" i="3"/>
  <c r="BE88" i="3"/>
  <c r="L88" i="3"/>
  <c r="AK88" i="3"/>
  <c r="BM88" i="3"/>
  <c r="M88" i="3"/>
  <c r="AM88" i="3"/>
  <c r="BN88" i="3"/>
  <c r="H25" i="3"/>
  <c r="K94" i="3"/>
  <c r="AI93" i="3"/>
  <c r="AJ88" i="3"/>
  <c r="AM85" i="3"/>
  <c r="BO83" i="3"/>
  <c r="BJ82" i="3"/>
  <c r="BM80" i="3"/>
  <c r="R79" i="3"/>
  <c r="BJ78" i="3"/>
  <c r="M77" i="3"/>
  <c r="AW76" i="3"/>
  <c r="N72" i="3"/>
  <c r="W70" i="3"/>
  <c r="BM67" i="3"/>
  <c r="S65" i="3"/>
  <c r="Q60" i="3"/>
  <c r="AO58" i="3"/>
  <c r="AU46" i="3"/>
  <c r="AN29" i="3"/>
  <c r="K15" i="3"/>
  <c r="W15" i="3"/>
  <c r="AI15" i="3"/>
  <c r="AU15" i="3"/>
  <c r="BG15" i="3"/>
  <c r="M15" i="3"/>
  <c r="Y15" i="3"/>
  <c r="AK15" i="3"/>
  <c r="AW15" i="3"/>
  <c r="BI15" i="3"/>
  <c r="S15" i="3"/>
  <c r="AG15" i="3"/>
  <c r="AV15" i="3"/>
  <c r="BK15" i="3"/>
  <c r="R15" i="3"/>
  <c r="AH15" i="3"/>
  <c r="AY15" i="3"/>
  <c r="BN15" i="3"/>
  <c r="U15" i="3"/>
  <c r="AL15" i="3"/>
  <c r="BA15" i="3"/>
  <c r="T15" i="3"/>
  <c r="AN15" i="3"/>
  <c r="BE15" i="3"/>
  <c r="X15" i="3"/>
  <c r="AP15" i="3"/>
  <c r="BH15" i="3"/>
  <c r="Z15" i="3"/>
  <c r="AS15" i="3"/>
  <c r="J15" i="3"/>
  <c r="AE15" i="3"/>
  <c r="BC15" i="3"/>
  <c r="AB15" i="3"/>
  <c r="BB15" i="3"/>
  <c r="AF15" i="3"/>
  <c r="BJ15" i="3"/>
  <c r="AJ15" i="3"/>
  <c r="BO15" i="3"/>
  <c r="N15" i="3"/>
  <c r="AR15" i="3"/>
  <c r="Q15" i="3"/>
  <c r="BF15" i="3"/>
  <c r="AA15" i="3"/>
  <c r="BM15" i="3"/>
  <c r="AD15" i="3"/>
  <c r="AM15" i="3"/>
  <c r="BD15" i="3"/>
  <c r="BL15" i="3"/>
  <c r="AZ15" i="3"/>
  <c r="O15" i="3"/>
  <c r="AC15" i="3"/>
  <c r="AO15" i="3"/>
  <c r="AQ15" i="3"/>
  <c r="AX15" i="3"/>
  <c r="V15" i="3"/>
  <c r="H15" i="3"/>
  <c r="AT15" i="3"/>
  <c r="T39" i="3"/>
  <c r="AF39" i="3"/>
  <c r="AR39" i="3"/>
  <c r="BD39" i="3"/>
  <c r="M39" i="3"/>
  <c r="Z39" i="3"/>
  <c r="AM39" i="3"/>
  <c r="AZ39" i="3"/>
  <c r="BM39" i="3"/>
  <c r="O39" i="3"/>
  <c r="AB39" i="3"/>
  <c r="AO39" i="3"/>
  <c r="BB39" i="3"/>
  <c r="BO39" i="3"/>
  <c r="Q39" i="3"/>
  <c r="AD39" i="3"/>
  <c r="AQ39" i="3"/>
  <c r="BE39" i="3"/>
  <c r="N39" i="3"/>
  <c r="AG39" i="3"/>
  <c r="AW39" i="3"/>
  <c r="BN39" i="3"/>
  <c r="P39" i="3"/>
  <c r="AH39" i="3"/>
  <c r="AX39" i="3"/>
  <c r="L39" i="3"/>
  <c r="AJ39" i="3"/>
  <c r="BF39" i="3"/>
  <c r="S39" i="3"/>
  <c r="AL39" i="3"/>
  <c r="BH39" i="3"/>
  <c r="V39" i="3"/>
  <c r="AP39" i="3"/>
  <c r="BJ39" i="3"/>
  <c r="U39" i="3"/>
  <c r="AU39" i="3"/>
  <c r="W39" i="3"/>
  <c r="AV39" i="3"/>
  <c r="X39" i="3"/>
  <c r="AY39" i="3"/>
  <c r="AA39" i="3"/>
  <c r="BC39" i="3"/>
  <c r="Y39" i="3"/>
  <c r="BL39" i="3"/>
  <c r="AC39" i="3"/>
  <c r="AE39" i="3"/>
  <c r="AK39" i="3"/>
  <c r="BG39" i="3"/>
  <c r="BI39" i="3"/>
  <c r="BK39" i="3"/>
  <c r="R39" i="3"/>
  <c r="K39" i="3"/>
  <c r="M87" i="3"/>
  <c r="Y87" i="3"/>
  <c r="AK87" i="3"/>
  <c r="AW87" i="3"/>
  <c r="BI87" i="3"/>
  <c r="R87" i="3"/>
  <c r="AE87" i="3"/>
  <c r="AR87" i="3"/>
  <c r="BE87" i="3"/>
  <c r="T87" i="3"/>
  <c r="BG87" i="3"/>
  <c r="S87" i="3"/>
  <c r="AF87" i="3"/>
  <c r="AS87" i="3"/>
  <c r="BF87" i="3"/>
  <c r="AG87" i="3"/>
  <c r="AT87" i="3"/>
  <c r="J87" i="3"/>
  <c r="AA87" i="3"/>
  <c r="AQ87" i="3"/>
  <c r="BK87" i="3"/>
  <c r="K87" i="3"/>
  <c r="AB87" i="3"/>
  <c r="AU87" i="3"/>
  <c r="BL87" i="3"/>
  <c r="N87" i="3"/>
  <c r="AI87" i="3"/>
  <c r="BB87" i="3"/>
  <c r="O87" i="3"/>
  <c r="AJ87" i="3"/>
  <c r="BC87" i="3"/>
  <c r="W87" i="3"/>
  <c r="AP87" i="3"/>
  <c r="BN87" i="3"/>
  <c r="P87" i="3"/>
  <c r="AO87" i="3"/>
  <c r="Q87" i="3"/>
  <c r="AV87" i="3"/>
  <c r="H61" i="3"/>
  <c r="I78" i="3"/>
  <c r="I39" i="3"/>
  <c r="BB95" i="3"/>
  <c r="BJ94" i="3"/>
  <c r="U90" i="3"/>
  <c r="AS89" i="3"/>
  <c r="AF88" i="3"/>
  <c r="BD87" i="3"/>
  <c r="X87" i="3"/>
  <c r="AL85" i="3"/>
  <c r="AY84" i="3"/>
  <c r="Z83" i="3"/>
  <c r="Q82" i="3"/>
  <c r="BL80" i="3"/>
  <c r="S32" i="3"/>
  <c r="AE32" i="3"/>
  <c r="AQ32" i="3"/>
  <c r="BC32" i="3"/>
  <c r="BO32" i="3"/>
  <c r="V32" i="3"/>
  <c r="AI32" i="3"/>
  <c r="AV32" i="3"/>
  <c r="BI32" i="3"/>
  <c r="M32" i="3"/>
  <c r="Z32" i="3"/>
  <c r="AM32" i="3"/>
  <c r="AZ32" i="3"/>
  <c r="BM32" i="3"/>
  <c r="N32" i="3"/>
  <c r="AC32" i="3"/>
  <c r="AS32" i="3"/>
  <c r="BH32" i="3"/>
  <c r="P32" i="3"/>
  <c r="AF32" i="3"/>
  <c r="AU32" i="3"/>
  <c r="BK32" i="3"/>
  <c r="R32" i="3"/>
  <c r="AH32" i="3"/>
  <c r="AX32" i="3"/>
  <c r="BN32" i="3"/>
  <c r="Y32" i="3"/>
  <c r="AT32" i="3"/>
  <c r="AA32" i="3"/>
  <c r="AW32" i="3"/>
  <c r="J32" i="3"/>
  <c r="AJ32" i="3"/>
  <c r="BF32" i="3"/>
  <c r="L32" i="3"/>
  <c r="AL32" i="3"/>
  <c r="BJ32" i="3"/>
  <c r="Q32" i="3"/>
  <c r="AO32" i="3"/>
  <c r="AN32" i="3"/>
  <c r="AP32" i="3"/>
  <c r="K32" i="3"/>
  <c r="AR32" i="3"/>
  <c r="T32" i="3"/>
  <c r="BA32" i="3"/>
  <c r="AY32" i="3"/>
  <c r="I32" i="3"/>
  <c r="BB32" i="3"/>
  <c r="BD32" i="3"/>
  <c r="O32" i="3"/>
  <c r="BG32" i="3"/>
  <c r="AD32" i="3"/>
  <c r="AG32" i="3"/>
  <c r="AK32" i="3"/>
  <c r="U32" i="3"/>
  <c r="W32" i="3"/>
  <c r="X32" i="3"/>
  <c r="AB32" i="3"/>
  <c r="BE32" i="3"/>
  <c r="H56" i="3"/>
  <c r="H19" i="3"/>
  <c r="I37" i="3"/>
  <c r="I14" i="3"/>
  <c r="U95" i="3"/>
  <c r="AG94" i="3"/>
  <c r="BF93" i="3"/>
  <c r="BH92" i="3"/>
  <c r="AB91" i="3"/>
  <c r="AU90" i="3"/>
  <c r="AM89" i="3"/>
  <c r="BK88" i="3"/>
  <c r="AA88" i="3"/>
  <c r="AZ87" i="3"/>
  <c r="U87" i="3"/>
  <c r="AE85" i="3"/>
  <c r="AN84" i="3"/>
  <c r="BB83" i="3"/>
  <c r="L82" i="3"/>
  <c r="AZ81" i="3"/>
  <c r="BA80" i="3"/>
  <c r="AZ79" i="3"/>
  <c r="AX77" i="3"/>
  <c r="AL76" i="3"/>
  <c r="X75" i="3"/>
  <c r="BE73" i="3"/>
  <c r="BD72" i="3"/>
  <c r="AA71" i="3"/>
  <c r="AR69" i="3"/>
  <c r="N68" i="3"/>
  <c r="BC67" i="3"/>
  <c r="AF66" i="3"/>
  <c r="N64" i="3"/>
  <c r="AP57" i="3"/>
  <c r="AK56" i="3"/>
  <c r="AW55" i="3"/>
  <c r="AY54" i="3"/>
  <c r="AK53" i="3"/>
  <c r="AI52" i="3"/>
  <c r="AQ47" i="3"/>
  <c r="N46" i="3"/>
  <c r="BA43" i="3"/>
  <c r="AT38" i="3"/>
  <c r="AE36" i="3"/>
  <c r="AU31" i="3"/>
  <c r="L29" i="3"/>
  <c r="M22" i="3"/>
  <c r="L15" i="3"/>
  <c r="AG41" i="3"/>
  <c r="H55" i="3"/>
  <c r="T33" i="3"/>
  <c r="AF33" i="3"/>
  <c r="AR33" i="3"/>
  <c r="BD33" i="3"/>
  <c r="L33" i="3"/>
  <c r="X33" i="3"/>
  <c r="AJ33" i="3"/>
  <c r="AV33" i="3"/>
  <c r="BH33" i="3"/>
  <c r="O33" i="3"/>
  <c r="AC33" i="3"/>
  <c r="AQ33" i="3"/>
  <c r="BF33" i="3"/>
  <c r="Q33" i="3"/>
  <c r="AE33" i="3"/>
  <c r="AT33" i="3"/>
  <c r="BI33" i="3"/>
  <c r="S33" i="3"/>
  <c r="AH33" i="3"/>
  <c r="AW33" i="3"/>
  <c r="BK33" i="3"/>
  <c r="P33" i="3"/>
  <c r="AK33" i="3"/>
  <c r="BB33" i="3"/>
  <c r="R33" i="3"/>
  <c r="AL33" i="3"/>
  <c r="BC33" i="3"/>
  <c r="N33" i="3"/>
  <c r="AN33" i="3"/>
  <c r="BL33" i="3"/>
  <c r="V33" i="3"/>
  <c r="AP33" i="3"/>
  <c r="BN33" i="3"/>
  <c r="Y33" i="3"/>
  <c r="AU33" i="3"/>
  <c r="BQ33" i="3"/>
  <c r="K33" i="3"/>
  <c r="AS33" i="3"/>
  <c r="M33" i="3"/>
  <c r="AX33" i="3"/>
  <c r="U33" i="3"/>
  <c r="AY33" i="3"/>
  <c r="Z33" i="3"/>
  <c r="BA33" i="3"/>
  <c r="AZ33" i="3"/>
  <c r="BE33" i="3"/>
  <c r="I33" i="3"/>
  <c r="BG33" i="3"/>
  <c r="W33" i="3"/>
  <c r="BM33" i="3"/>
  <c r="AA33" i="3"/>
  <c r="AB33" i="3"/>
  <c r="AD33" i="3"/>
  <c r="AO33" i="3"/>
  <c r="AG33" i="3"/>
  <c r="AI33" i="3"/>
  <c r="AM33" i="3"/>
  <c r="P42" i="3"/>
  <c r="AB42" i="3"/>
  <c r="AN42" i="3"/>
  <c r="AZ42" i="3"/>
  <c r="BL42" i="3"/>
  <c r="T42" i="3"/>
  <c r="AF42" i="3"/>
  <c r="AR42" i="3"/>
  <c r="BD42" i="3"/>
  <c r="K42" i="3"/>
  <c r="Y42" i="3"/>
  <c r="AM42" i="3"/>
  <c r="BB42" i="3"/>
  <c r="L42" i="3"/>
  <c r="Z42" i="3"/>
  <c r="AO42" i="3"/>
  <c r="BC42" i="3"/>
  <c r="X42" i="3"/>
  <c r="AQ42" i="3"/>
  <c r="BH42" i="3"/>
  <c r="J42" i="3"/>
  <c r="AC42" i="3"/>
  <c r="AT42" i="3"/>
  <c r="BJ42" i="3"/>
  <c r="N42" i="3"/>
  <c r="AE42" i="3"/>
  <c r="AV42" i="3"/>
  <c r="BM42" i="3"/>
  <c r="V42" i="3"/>
  <c r="AU42" i="3"/>
  <c r="W42" i="3"/>
  <c r="AW42" i="3"/>
  <c r="AA42" i="3"/>
  <c r="AX42" i="3"/>
  <c r="AG42" i="3"/>
  <c r="BA42" i="3"/>
  <c r="Q42" i="3"/>
  <c r="AY42" i="3"/>
  <c r="R42" i="3"/>
  <c r="BE42" i="3"/>
  <c r="S42" i="3"/>
  <c r="BF42" i="3"/>
  <c r="AD42" i="3"/>
  <c r="BI42" i="3"/>
  <c r="BK42" i="3"/>
  <c r="M42" i="3"/>
  <c r="BN42" i="3"/>
  <c r="O42" i="3"/>
  <c r="BO42" i="3"/>
  <c r="AJ42" i="3"/>
  <c r="AL42" i="3"/>
  <c r="AP42" i="3"/>
  <c r="AK42" i="3"/>
  <c r="AS42" i="3"/>
  <c r="T83" i="3"/>
  <c r="N71" i="3"/>
  <c r="T59" i="3"/>
  <c r="H91" i="3"/>
  <c r="H74" i="3"/>
  <c r="H54" i="3"/>
  <c r="H37" i="3"/>
  <c r="H17" i="3"/>
  <c r="I89" i="3"/>
  <c r="I72" i="3"/>
  <c r="I52" i="3"/>
  <c r="I31" i="3"/>
  <c r="I12" i="3"/>
  <c r="AQ95" i="3"/>
  <c r="P95" i="3"/>
  <c r="AZ94" i="3"/>
  <c r="BA93" i="3"/>
  <c r="AX92" i="3"/>
  <c r="V92" i="3"/>
  <c r="BC91" i="3"/>
  <c r="AR90" i="3"/>
  <c r="AG89" i="3"/>
  <c r="BB88" i="3"/>
  <c r="W88" i="3"/>
  <c r="AX87" i="3"/>
  <c r="AJ86" i="3"/>
  <c r="BH85" i="3"/>
  <c r="AZ83" i="3"/>
  <c r="AR81" i="3"/>
  <c r="AV80" i="3"/>
  <c r="AR79" i="3"/>
  <c r="AR77" i="3"/>
  <c r="AD76" i="3"/>
  <c r="V75" i="3"/>
  <c r="BL74" i="3"/>
  <c r="M74" i="3"/>
  <c r="AQ72" i="3"/>
  <c r="AE69" i="3"/>
  <c r="AW67" i="3"/>
  <c r="R66" i="3"/>
  <c r="BA65" i="3"/>
  <c r="Q63" i="3"/>
  <c r="AL62" i="3"/>
  <c r="T57" i="3"/>
  <c r="Y56" i="3"/>
  <c r="AB55" i="3"/>
  <c r="AP54" i="3"/>
  <c r="Y53" i="3"/>
  <c r="AD52" i="3"/>
  <c r="BC48" i="3"/>
  <c r="AD47" i="3"/>
  <c r="K46" i="3"/>
  <c r="BH44" i="3"/>
  <c r="Q43" i="3"/>
  <c r="Y40" i="3"/>
  <c r="O38" i="3"/>
  <c r="AC36" i="3"/>
  <c r="BO33" i="3"/>
  <c r="S31" i="3"/>
  <c r="N34" i="3"/>
  <c r="Z34" i="3"/>
  <c r="AL34" i="3"/>
  <c r="AX34" i="3"/>
  <c r="BJ34" i="3"/>
  <c r="R34" i="3"/>
  <c r="AD34" i="3"/>
  <c r="AP34" i="3"/>
  <c r="BB34" i="3"/>
  <c r="BN34" i="3"/>
  <c r="K34" i="3"/>
  <c r="Y34" i="3"/>
  <c r="AN34" i="3"/>
  <c r="BC34" i="3"/>
  <c r="M34" i="3"/>
  <c r="AB34" i="3"/>
  <c r="AQ34" i="3"/>
  <c r="BE34" i="3"/>
  <c r="P34" i="3"/>
  <c r="AE34" i="3"/>
  <c r="AS34" i="3"/>
  <c r="BG34" i="3"/>
  <c r="V34" i="3"/>
  <c r="AO34" i="3"/>
  <c r="BI34" i="3"/>
  <c r="W34" i="3"/>
  <c r="AR34" i="3"/>
  <c r="BK34" i="3"/>
  <c r="S34" i="3"/>
  <c r="AM34" i="3"/>
  <c r="BM34" i="3"/>
  <c r="U34" i="3"/>
  <c r="AU34" i="3"/>
  <c r="AA34" i="3"/>
  <c r="AW34" i="3"/>
  <c r="O34" i="3"/>
  <c r="AV34" i="3"/>
  <c r="Q34" i="3"/>
  <c r="AY34" i="3"/>
  <c r="T34" i="3"/>
  <c r="AZ34" i="3"/>
  <c r="AC34" i="3"/>
  <c r="BD34" i="3"/>
  <c r="BA34" i="3"/>
  <c r="H34" i="3"/>
  <c r="BF34" i="3"/>
  <c r="I34" i="3"/>
  <c r="J34" i="3"/>
  <c r="BH34" i="3"/>
  <c r="X34" i="3"/>
  <c r="BO34" i="3"/>
  <c r="AH34" i="3"/>
  <c r="AJ34" i="3"/>
  <c r="AK34" i="3"/>
  <c r="AT34" i="3"/>
  <c r="L34" i="3"/>
  <c r="AF34" i="3"/>
  <c r="M93" i="3"/>
  <c r="Y93" i="3"/>
  <c r="AK93" i="3"/>
  <c r="AW93" i="3"/>
  <c r="BI93" i="3"/>
  <c r="O93" i="3"/>
  <c r="AB93" i="3"/>
  <c r="AO93" i="3"/>
  <c r="BB93" i="3"/>
  <c r="BO93" i="3"/>
  <c r="Q93" i="3"/>
  <c r="BD93" i="3"/>
  <c r="P93" i="3"/>
  <c r="AC93" i="3"/>
  <c r="AP93" i="3"/>
  <c r="BC93" i="3"/>
  <c r="I93" i="3"/>
  <c r="AD93" i="3"/>
  <c r="AQ93" i="3"/>
  <c r="J93" i="3"/>
  <c r="AA93" i="3"/>
  <c r="AT93" i="3"/>
  <c r="BK93" i="3"/>
  <c r="U93" i="3"/>
  <c r="AM93" i="3"/>
  <c r="BG93" i="3"/>
  <c r="V93" i="3"/>
  <c r="AN93" i="3"/>
  <c r="BH93" i="3"/>
  <c r="K93" i="3"/>
  <c r="AF93" i="3"/>
  <c r="AX93" i="3"/>
  <c r="R93" i="3"/>
  <c r="AR93" i="3"/>
  <c r="BN93" i="3"/>
  <c r="H93" i="3"/>
  <c r="S93" i="3"/>
  <c r="AS93" i="3"/>
  <c r="AU84" i="3"/>
  <c r="Q84" i="3"/>
  <c r="BI84" i="3"/>
  <c r="H84" i="3"/>
  <c r="AG84" i="3"/>
  <c r="Y84" i="3"/>
  <c r="AR84" i="3"/>
  <c r="BL84" i="3"/>
  <c r="Z84" i="3"/>
  <c r="AV84" i="3"/>
  <c r="BM84" i="3"/>
  <c r="J84" i="3"/>
  <c r="AA84" i="3"/>
  <c r="U84" i="3"/>
  <c r="AO84" i="3"/>
  <c r="V84" i="3"/>
  <c r="AW84" i="3"/>
  <c r="AI84" i="3"/>
  <c r="BD84" i="3"/>
  <c r="W84" i="3"/>
  <c r="BA84" i="3"/>
  <c r="X84" i="3"/>
  <c r="BE84" i="3"/>
  <c r="H52" i="3"/>
  <c r="T93" i="3"/>
  <c r="AM81" i="3"/>
  <c r="AD72" i="3"/>
  <c r="BD60" i="3"/>
  <c r="R18" i="3"/>
  <c r="AD18" i="3"/>
  <c r="AP18" i="3"/>
  <c r="BB18" i="3"/>
  <c r="BN18" i="3"/>
  <c r="M18" i="3"/>
  <c r="Z18" i="3"/>
  <c r="AM18" i="3"/>
  <c r="AZ18" i="3"/>
  <c r="BM18" i="3"/>
  <c r="O18" i="3"/>
  <c r="AB18" i="3"/>
  <c r="AO18" i="3"/>
  <c r="BC18" i="3"/>
  <c r="N18" i="3"/>
  <c r="AE18" i="3"/>
  <c r="AT18" i="3"/>
  <c r="BI18" i="3"/>
  <c r="P18" i="3"/>
  <c r="AG18" i="3"/>
  <c r="AW18" i="3"/>
  <c r="BO18" i="3"/>
  <c r="V18" i="3"/>
  <c r="AL18" i="3"/>
  <c r="BE18" i="3"/>
  <c r="U18" i="3"/>
  <c r="AQ18" i="3"/>
  <c r="BJ18" i="3"/>
  <c r="Y18" i="3"/>
  <c r="AU18" i="3"/>
  <c r="W18" i="3"/>
  <c r="AV18" i="3"/>
  <c r="AF18" i="3"/>
  <c r="BD18" i="3"/>
  <c r="AA18" i="3"/>
  <c r="BF18" i="3"/>
  <c r="AH18" i="3"/>
  <c r="BH18" i="3"/>
  <c r="AJ18" i="3"/>
  <c r="BL18" i="3"/>
  <c r="J18" i="3"/>
  <c r="AK18" i="3"/>
  <c r="AR18" i="3"/>
  <c r="AS18" i="3"/>
  <c r="AC18" i="3"/>
  <c r="AN18" i="3"/>
  <c r="AY18" i="3"/>
  <c r="L18" i="3"/>
  <c r="Q18" i="3"/>
  <c r="S18" i="3"/>
  <c r="X18" i="3"/>
  <c r="BG18" i="3"/>
  <c r="BK18" i="3"/>
  <c r="K18" i="3"/>
  <c r="BA18" i="3"/>
  <c r="S28" i="3"/>
  <c r="AE28" i="3"/>
  <c r="AQ28" i="3"/>
  <c r="BC28" i="3"/>
  <c r="BO28" i="3"/>
  <c r="O28" i="3"/>
  <c r="AB28" i="3"/>
  <c r="AO28" i="3"/>
  <c r="BB28" i="3"/>
  <c r="T28" i="3"/>
  <c r="AG28" i="3"/>
  <c r="AT28" i="3"/>
  <c r="BG28" i="3"/>
  <c r="L28" i="3"/>
  <c r="AA28" i="3"/>
  <c r="AR28" i="3"/>
  <c r="BH28" i="3"/>
  <c r="N28" i="3"/>
  <c r="AD28" i="3"/>
  <c r="AU28" i="3"/>
  <c r="BJ28" i="3"/>
  <c r="Q28" i="3"/>
  <c r="AH28" i="3"/>
  <c r="AW28" i="3"/>
  <c r="BL28" i="3"/>
  <c r="R28" i="3"/>
  <c r="AI28" i="3"/>
  <c r="AX28" i="3"/>
  <c r="BM28" i="3"/>
  <c r="Z28" i="3"/>
  <c r="AZ28" i="3"/>
  <c r="AC28" i="3"/>
  <c r="BA28" i="3"/>
  <c r="U28" i="3"/>
  <c r="AS28" i="3"/>
  <c r="W28" i="3"/>
  <c r="AY28" i="3"/>
  <c r="Y28" i="3"/>
  <c r="BE28" i="3"/>
  <c r="AN28" i="3"/>
  <c r="J28" i="3"/>
  <c r="AP28" i="3"/>
  <c r="K28" i="3"/>
  <c r="AV28" i="3"/>
  <c r="P28" i="3"/>
  <c r="BF28" i="3"/>
  <c r="AJ28" i="3"/>
  <c r="AK28" i="3"/>
  <c r="AL28" i="3"/>
  <c r="BD28" i="3"/>
  <c r="AF28" i="3"/>
  <c r="M28" i="3"/>
  <c r="V28" i="3"/>
  <c r="X28" i="3"/>
  <c r="BN28" i="3"/>
  <c r="I28" i="3"/>
  <c r="AM28" i="3"/>
  <c r="BI28" i="3"/>
  <c r="L68" i="3"/>
  <c r="X68" i="3"/>
  <c r="AJ68" i="3"/>
  <c r="AV68" i="3"/>
  <c r="BH68" i="3"/>
  <c r="R68" i="3"/>
  <c r="AE68" i="3"/>
  <c r="AR68" i="3"/>
  <c r="BE68" i="3"/>
  <c r="S68" i="3"/>
  <c r="AF68" i="3"/>
  <c r="AS68" i="3"/>
  <c r="BF68" i="3"/>
  <c r="O68" i="3"/>
  <c r="AD68" i="3"/>
  <c r="AU68" i="3"/>
  <c r="BK68" i="3"/>
  <c r="I68" i="3"/>
  <c r="AX68" i="3"/>
  <c r="P68" i="3"/>
  <c r="AG68" i="3"/>
  <c r="AW68" i="3"/>
  <c r="BL68" i="3"/>
  <c r="AH68" i="3"/>
  <c r="Q68" i="3"/>
  <c r="BM68" i="3"/>
  <c r="U68" i="3"/>
  <c r="AK68" i="3"/>
  <c r="AZ68" i="3"/>
  <c r="BO68" i="3"/>
  <c r="AC68" i="3"/>
  <c r="BC68" i="3"/>
  <c r="J68" i="3"/>
  <c r="AI68" i="3"/>
  <c r="BD68" i="3"/>
  <c r="K68" i="3"/>
  <c r="AL68" i="3"/>
  <c r="BG68" i="3"/>
  <c r="T68" i="3"/>
  <c r="AT68" i="3"/>
  <c r="V68" i="3"/>
  <c r="AY68" i="3"/>
  <c r="AB68" i="3"/>
  <c r="BN68" i="3"/>
  <c r="W68" i="3"/>
  <c r="BJ68" i="3"/>
  <c r="Y68" i="3"/>
  <c r="AA68" i="3"/>
  <c r="AE71" i="3"/>
  <c r="BI71" i="3"/>
  <c r="AT71" i="3"/>
  <c r="O71" i="3"/>
  <c r="Q71" i="3"/>
  <c r="AG71" i="3"/>
  <c r="AV71" i="3"/>
  <c r="BM71" i="3"/>
  <c r="U71" i="3"/>
  <c r="AQ71" i="3"/>
  <c r="V71" i="3"/>
  <c r="AU71" i="3"/>
  <c r="Y71" i="3"/>
  <c r="AY71" i="3"/>
  <c r="AF71" i="3"/>
  <c r="BF71" i="3"/>
  <c r="AH71" i="3"/>
  <c r="BL71" i="3"/>
  <c r="L71" i="3"/>
  <c r="AO71" i="3"/>
  <c r="AN71" i="3"/>
  <c r="AZ71" i="3"/>
  <c r="BC71" i="3"/>
  <c r="W35" i="3"/>
  <c r="BL35" i="3"/>
  <c r="AJ35" i="3"/>
  <c r="AL35" i="3"/>
  <c r="AN35" i="3"/>
  <c r="BE35" i="3"/>
  <c r="I35" i="3"/>
  <c r="BN35" i="3"/>
  <c r="AE35" i="3"/>
  <c r="AH35" i="3"/>
  <c r="BM95" i="3"/>
  <c r="K95" i="3"/>
  <c r="N93" i="3"/>
  <c r="AL81" i="3"/>
  <c r="W72" i="3"/>
  <c r="BO71" i="3"/>
  <c r="Q69" i="3"/>
  <c r="BA59" i="3"/>
  <c r="AO44" i="3"/>
  <c r="AN24" i="3"/>
  <c r="J45" i="3"/>
  <c r="V45" i="3"/>
  <c r="AH45" i="3"/>
  <c r="AT45" i="3"/>
  <c r="BF45" i="3"/>
  <c r="O45" i="3"/>
  <c r="AB45" i="3"/>
  <c r="AO45" i="3"/>
  <c r="BB45" i="3"/>
  <c r="BO45" i="3"/>
  <c r="L45" i="3"/>
  <c r="Z45" i="3"/>
  <c r="AN45" i="3"/>
  <c r="BC45" i="3"/>
  <c r="N45" i="3"/>
  <c r="AC45" i="3"/>
  <c r="AQ45" i="3"/>
  <c r="BE45" i="3"/>
  <c r="Q45" i="3"/>
  <c r="AE45" i="3"/>
  <c r="AS45" i="3"/>
  <c r="BH45" i="3"/>
  <c r="AD45" i="3"/>
  <c r="AW45" i="3"/>
  <c r="BN45" i="3"/>
  <c r="K45" i="3"/>
  <c r="AF45" i="3"/>
  <c r="AX45" i="3"/>
  <c r="M45" i="3"/>
  <c r="AG45" i="3"/>
  <c r="AY45" i="3"/>
  <c r="R45" i="3"/>
  <c r="AJ45" i="3"/>
  <c r="BA45" i="3"/>
  <c r="AI45" i="3"/>
  <c r="BJ45" i="3"/>
  <c r="AK45" i="3"/>
  <c r="BK45" i="3"/>
  <c r="I45" i="3"/>
  <c r="AL45" i="3"/>
  <c r="BL45" i="3"/>
  <c r="P45" i="3"/>
  <c r="AP45" i="3"/>
  <c r="X45" i="3"/>
  <c r="Y45" i="3"/>
  <c r="AA45" i="3"/>
  <c r="AV45" i="3"/>
  <c r="BD45" i="3"/>
  <c r="BG45" i="3"/>
  <c r="U45" i="3"/>
  <c r="AZ45" i="3"/>
  <c r="H45" i="3"/>
  <c r="BI45" i="3"/>
  <c r="M91" i="3"/>
  <c r="Y91" i="3"/>
  <c r="AK91" i="3"/>
  <c r="AW91" i="3"/>
  <c r="BI91" i="3"/>
  <c r="K91" i="3"/>
  <c r="X91" i="3"/>
  <c r="AL91" i="3"/>
  <c r="AY91" i="3"/>
  <c r="BL91" i="3"/>
  <c r="N91" i="3"/>
  <c r="BA91" i="3"/>
  <c r="L91" i="3"/>
  <c r="Z91" i="3"/>
  <c r="AM91" i="3"/>
  <c r="AZ91" i="3"/>
  <c r="BM91" i="3"/>
  <c r="AN91" i="3"/>
  <c r="BN91" i="3"/>
  <c r="AA91" i="3"/>
  <c r="Q91" i="3"/>
  <c r="AG91" i="3"/>
  <c r="AX91" i="3"/>
  <c r="R91" i="3"/>
  <c r="AD91" i="3"/>
  <c r="AU91" i="3"/>
  <c r="AE91" i="3"/>
  <c r="AV91" i="3"/>
  <c r="T91" i="3"/>
  <c r="AO91" i="3"/>
  <c r="BF91" i="3"/>
  <c r="S91" i="3"/>
  <c r="AR91" i="3"/>
  <c r="I91" i="3"/>
  <c r="U91" i="3"/>
  <c r="AS91" i="3"/>
  <c r="J95" i="3"/>
  <c r="AP91" i="3"/>
  <c r="AB84" i="3"/>
  <c r="AD83" i="3"/>
  <c r="AB82" i="3"/>
  <c r="BE71" i="3"/>
  <c r="AG70" i="3"/>
  <c r="K69" i="3"/>
  <c r="AF60" i="3"/>
  <c r="K48" i="3"/>
  <c r="AU45" i="3"/>
  <c r="R78" i="3"/>
  <c r="AD78" i="3"/>
  <c r="AP78" i="3"/>
  <c r="BB78" i="3"/>
  <c r="BN78" i="3"/>
  <c r="S78" i="3"/>
  <c r="AE78" i="3"/>
  <c r="AQ78" i="3"/>
  <c r="BC78" i="3"/>
  <c r="BO78" i="3"/>
  <c r="W78" i="3"/>
  <c r="AK78" i="3"/>
  <c r="AY78" i="3"/>
  <c r="BM78" i="3"/>
  <c r="Y78" i="3"/>
  <c r="BA78" i="3"/>
  <c r="J78" i="3"/>
  <c r="X78" i="3"/>
  <c r="AL78" i="3"/>
  <c r="AZ78" i="3"/>
  <c r="AM78" i="3"/>
  <c r="K78" i="3"/>
  <c r="AB78" i="3"/>
  <c r="AU78" i="3"/>
  <c r="BL78" i="3"/>
  <c r="L78" i="3"/>
  <c r="AC78" i="3"/>
  <c r="AV78" i="3"/>
  <c r="M78" i="3"/>
  <c r="AF78" i="3"/>
  <c r="AW78" i="3"/>
  <c r="U78" i="3"/>
  <c r="AT78" i="3"/>
  <c r="V78" i="3"/>
  <c r="AX78" i="3"/>
  <c r="AI78" i="3"/>
  <c r="BH78" i="3"/>
  <c r="P78" i="3"/>
  <c r="BD78" i="3"/>
  <c r="H78" i="3"/>
  <c r="Q78" i="3"/>
  <c r="BE78" i="3"/>
  <c r="Z78" i="3"/>
  <c r="BG78" i="3"/>
  <c r="AG21" i="3"/>
  <c r="AP21" i="3"/>
  <c r="AT21" i="3"/>
  <c r="BB21" i="3"/>
  <c r="BC21" i="3"/>
  <c r="BD21" i="3"/>
  <c r="BF21" i="3"/>
  <c r="H44" i="3"/>
  <c r="I84" i="3"/>
  <c r="BK95" i="3"/>
  <c r="J92" i="3"/>
  <c r="AJ91" i="3"/>
  <c r="BM90" i="3"/>
  <c r="BJ84" i="3"/>
  <c r="AF81" i="3"/>
  <c r="AA80" i="3"/>
  <c r="AP68" i="3"/>
  <c r="BI66" i="3"/>
  <c r="BK57" i="3"/>
  <c r="U11" i="3"/>
  <c r="K11" i="3"/>
  <c r="W11" i="3"/>
  <c r="AI11" i="3"/>
  <c r="AU11" i="3"/>
  <c r="BG11" i="3"/>
  <c r="M11" i="3"/>
  <c r="Y11" i="3"/>
  <c r="AK11" i="3"/>
  <c r="AW11" i="3"/>
  <c r="BI11" i="3"/>
  <c r="R11" i="3"/>
  <c r="AG11" i="3"/>
  <c r="AV11" i="3"/>
  <c r="BK11" i="3"/>
  <c r="P11" i="3"/>
  <c r="AF11" i="3"/>
  <c r="AX11" i="3"/>
  <c r="BM11" i="3"/>
  <c r="S11" i="3"/>
  <c r="AJ11" i="3"/>
  <c r="AZ11" i="3"/>
  <c r="BO11" i="3"/>
  <c r="V11" i="3"/>
  <c r="AO11" i="3"/>
  <c r="BF11" i="3"/>
  <c r="Z11" i="3"/>
  <c r="AQ11" i="3"/>
  <c r="BJ11" i="3"/>
  <c r="T11" i="3"/>
  <c r="AR11" i="3"/>
  <c r="AD11" i="3"/>
  <c r="BB11" i="3"/>
  <c r="AH11" i="3"/>
  <c r="BH11" i="3"/>
  <c r="L11" i="3"/>
  <c r="AN11" i="3"/>
  <c r="AL11" i="3"/>
  <c r="N11" i="3"/>
  <c r="AT11" i="3"/>
  <c r="AB11" i="3"/>
  <c r="BN11" i="3"/>
  <c r="AE11" i="3"/>
  <c r="AP11" i="3"/>
  <c r="AS11" i="3"/>
  <c r="J11" i="3"/>
  <c r="BL11" i="3"/>
  <c r="O11" i="3"/>
  <c r="BE11" i="3"/>
  <c r="X11" i="3"/>
  <c r="Q11" i="3"/>
  <c r="AA11" i="3"/>
  <c r="AC11" i="3"/>
  <c r="AY11" i="3"/>
  <c r="AM11" i="3"/>
  <c r="BA11" i="3"/>
  <c r="H11" i="3"/>
  <c r="BC11" i="3"/>
  <c r="I11" i="3"/>
  <c r="BD11" i="3"/>
  <c r="S94" i="3"/>
  <c r="AE94" i="3"/>
  <c r="AQ94" i="3"/>
  <c r="BC94" i="3"/>
  <c r="BO94" i="3"/>
  <c r="P94" i="3"/>
  <c r="AC94" i="3"/>
  <c r="AP94" i="3"/>
  <c r="BD94" i="3"/>
  <c r="H94" i="3"/>
  <c r="AS94" i="3"/>
  <c r="Q94" i="3"/>
  <c r="AD94" i="3"/>
  <c r="AR94" i="3"/>
  <c r="BE94" i="3"/>
  <c r="AF94" i="3"/>
  <c r="I94" i="3"/>
  <c r="R94" i="3"/>
  <c r="BF94" i="3"/>
  <c r="Y94" i="3"/>
  <c r="AO94" i="3"/>
  <c r="BI94" i="3"/>
  <c r="Z94" i="3"/>
  <c r="AU94" i="3"/>
  <c r="BL94" i="3"/>
  <c r="J94" i="3"/>
  <c r="O94" i="3"/>
  <c r="AJ94" i="3"/>
  <c r="BA94" i="3"/>
  <c r="AA94" i="3"/>
  <c r="AX94" i="3"/>
  <c r="AB94" i="3"/>
  <c r="AY94" i="3"/>
  <c r="R82" i="3"/>
  <c r="AD82" i="3"/>
  <c r="AP82" i="3"/>
  <c r="BB82" i="3"/>
  <c r="BN82" i="3"/>
  <c r="S82" i="3"/>
  <c r="AE82" i="3"/>
  <c r="AQ82" i="3"/>
  <c r="BC82" i="3"/>
  <c r="BO82" i="3"/>
  <c r="W82" i="3"/>
  <c r="AK82" i="3"/>
  <c r="AY82" i="3"/>
  <c r="BM82" i="3"/>
  <c r="H82" i="3"/>
  <c r="AM82" i="3"/>
  <c r="J82" i="3"/>
  <c r="X82" i="3"/>
  <c r="AL82" i="3"/>
  <c r="AZ82" i="3"/>
  <c r="Y82" i="3"/>
  <c r="K82" i="3"/>
  <c r="BA82" i="3"/>
  <c r="I82" i="3"/>
  <c r="N82" i="3"/>
  <c r="AG82" i="3"/>
  <c r="AX82" i="3"/>
  <c r="O82" i="3"/>
  <c r="AH82" i="3"/>
  <c r="BD82" i="3"/>
  <c r="P82" i="3"/>
  <c r="AI82" i="3"/>
  <c r="BE82" i="3"/>
  <c r="U82" i="3"/>
  <c r="AT82" i="3"/>
  <c r="V82" i="3"/>
  <c r="AU82" i="3"/>
  <c r="AF82" i="3"/>
  <c r="BH82" i="3"/>
  <c r="AC82" i="3"/>
  <c r="BK82" i="3"/>
  <c r="AJ82" i="3"/>
  <c r="BL82" i="3"/>
  <c r="AO82" i="3"/>
  <c r="L70" i="3"/>
  <c r="X70" i="3"/>
  <c r="AJ70" i="3"/>
  <c r="AV70" i="3"/>
  <c r="BH70" i="3"/>
  <c r="U70" i="3"/>
  <c r="AH70" i="3"/>
  <c r="AU70" i="3"/>
  <c r="BI70" i="3"/>
  <c r="V70" i="3"/>
  <c r="AI70" i="3"/>
  <c r="AW70" i="3"/>
  <c r="BJ70" i="3"/>
  <c r="Y70" i="3"/>
  <c r="AN70" i="3"/>
  <c r="BC70" i="3"/>
  <c r="H70" i="3"/>
  <c r="AA70" i="3"/>
  <c r="I70" i="3"/>
  <c r="J70" i="3"/>
  <c r="Z70" i="3"/>
  <c r="AO70" i="3"/>
  <c r="BD70" i="3"/>
  <c r="K70" i="3"/>
  <c r="AP70" i="3"/>
  <c r="BE70" i="3"/>
  <c r="N70" i="3"/>
  <c r="AC70" i="3"/>
  <c r="AR70" i="3"/>
  <c r="BG70" i="3"/>
  <c r="Q70" i="3"/>
  <c r="AM70" i="3"/>
  <c r="BM70" i="3"/>
  <c r="R70" i="3"/>
  <c r="AQ70" i="3"/>
  <c r="BN70" i="3"/>
  <c r="S70" i="3"/>
  <c r="AS70" i="3"/>
  <c r="BO70" i="3"/>
  <c r="AB70" i="3"/>
  <c r="BB70" i="3"/>
  <c r="AD70" i="3"/>
  <c r="BF70" i="3"/>
  <c r="AL70" i="3"/>
  <c r="AY70" i="3"/>
  <c r="M70" i="3"/>
  <c r="AZ70" i="3"/>
  <c r="P70" i="3"/>
  <c r="BK70" i="3"/>
  <c r="P58" i="3"/>
  <c r="AB58" i="3"/>
  <c r="AN58" i="3"/>
  <c r="AZ58" i="3"/>
  <c r="BL58" i="3"/>
  <c r="J58" i="3"/>
  <c r="W58" i="3"/>
  <c r="AJ58" i="3"/>
  <c r="AW58" i="3"/>
  <c r="BJ58" i="3"/>
  <c r="R58" i="3"/>
  <c r="AF58" i="3"/>
  <c r="AT58" i="3"/>
  <c r="BH58" i="3"/>
  <c r="S58" i="3"/>
  <c r="AG58" i="3"/>
  <c r="AU58" i="3"/>
  <c r="BI58" i="3"/>
  <c r="T58" i="3"/>
  <c r="AH58" i="3"/>
  <c r="AV58" i="3"/>
  <c r="BK58" i="3"/>
  <c r="M58" i="3"/>
  <c r="AE58" i="3"/>
  <c r="BA58" i="3"/>
  <c r="H58" i="3"/>
  <c r="N58" i="3"/>
  <c r="AI58" i="3"/>
  <c r="BB58" i="3"/>
  <c r="I58" i="3"/>
  <c r="O58" i="3"/>
  <c r="AK58" i="3"/>
  <c r="BC58" i="3"/>
  <c r="U58" i="3"/>
  <c r="AM58" i="3"/>
  <c r="BE58" i="3"/>
  <c r="L58" i="3"/>
  <c r="AQ58" i="3"/>
  <c r="Q58" i="3"/>
  <c r="AR58" i="3"/>
  <c r="V58" i="3"/>
  <c r="AS58" i="3"/>
  <c r="AA58" i="3"/>
  <c r="BF58" i="3"/>
  <c r="Z58" i="3"/>
  <c r="BO58" i="3"/>
  <c r="AC58" i="3"/>
  <c r="AX58" i="3"/>
  <c r="AP58" i="3"/>
  <c r="AY58" i="3"/>
  <c r="BG58" i="3"/>
  <c r="J85" i="3"/>
  <c r="AF85" i="3"/>
  <c r="AX85" i="3"/>
  <c r="BN85" i="3"/>
  <c r="P85" i="3"/>
  <c r="AG85" i="3"/>
  <c r="AY85" i="3"/>
  <c r="V85" i="3"/>
  <c r="AT85" i="3"/>
  <c r="BM85" i="3"/>
  <c r="W85" i="3"/>
  <c r="AU85" i="3"/>
  <c r="AI85" i="3"/>
  <c r="BF85" i="3"/>
  <c r="Z85" i="3"/>
  <c r="BE85" i="3"/>
  <c r="AD85" i="3"/>
  <c r="BG85" i="3"/>
  <c r="T73" i="3"/>
  <c r="AR73" i="3"/>
  <c r="BJ73" i="3"/>
  <c r="X73" i="3"/>
  <c r="AS73" i="3"/>
  <c r="BK73" i="3"/>
  <c r="Y73" i="3"/>
  <c r="AT73" i="3"/>
  <c r="BL73" i="3"/>
  <c r="AE73" i="3"/>
  <c r="BF73" i="3"/>
  <c r="AF73" i="3"/>
  <c r="BG73" i="3"/>
  <c r="O73" i="3"/>
  <c r="AQ73" i="3"/>
  <c r="S73" i="3"/>
  <c r="BH73" i="3"/>
  <c r="AB73" i="3"/>
  <c r="BI73" i="3"/>
  <c r="AG73" i="3"/>
  <c r="P61" i="3"/>
  <c r="AK61" i="3"/>
  <c r="BC61" i="3"/>
  <c r="AA61" i="3"/>
  <c r="BG61" i="3"/>
  <c r="AF61" i="3"/>
  <c r="BH61" i="3"/>
  <c r="AL61" i="3"/>
  <c r="BI61" i="3"/>
  <c r="Q61" i="3"/>
  <c r="AQ61" i="3"/>
  <c r="N61" i="3"/>
  <c r="BD61" i="3"/>
  <c r="R61" i="3"/>
  <c r="BE61" i="3"/>
  <c r="AM61" i="3"/>
  <c r="BM61" i="3"/>
  <c r="I61" i="3"/>
  <c r="BN61" i="3"/>
  <c r="W61" i="3"/>
  <c r="BG49" i="3"/>
  <c r="BH49" i="3"/>
  <c r="K49" i="3"/>
  <c r="BJ49" i="3"/>
  <c r="AD49" i="3"/>
  <c r="BO49" i="3"/>
  <c r="W49" i="3"/>
  <c r="AA49" i="3"/>
  <c r="AQ49" i="3"/>
  <c r="AM49" i="3"/>
  <c r="AO49" i="3"/>
  <c r="H49" i="3"/>
  <c r="BK49" i="3"/>
  <c r="V25" i="3"/>
  <c r="AJ25" i="3"/>
  <c r="R25" i="3"/>
  <c r="AF25" i="3"/>
  <c r="AH25" i="3"/>
  <c r="BM25" i="3"/>
  <c r="BK25" i="3"/>
  <c r="H90" i="3"/>
  <c r="H73" i="3"/>
  <c r="H53" i="3"/>
  <c r="H33" i="3"/>
  <c r="I71" i="3"/>
  <c r="BO95" i="3"/>
  <c r="AP95" i="3"/>
  <c r="O95" i="3"/>
  <c r="AW94" i="3"/>
  <c r="V94" i="3"/>
  <c r="AZ93" i="3"/>
  <c r="W93" i="3"/>
  <c r="AW92" i="3"/>
  <c r="U92" i="3"/>
  <c r="BB91" i="3"/>
  <c r="P91" i="3"/>
  <c r="AP90" i="3"/>
  <c r="BO89" i="3"/>
  <c r="AC89" i="3"/>
  <c r="BA85" i="3"/>
  <c r="S85" i="3"/>
  <c r="AK84" i="3"/>
  <c r="AQ83" i="3"/>
  <c r="AS82" i="3"/>
  <c r="AN81" i="3"/>
  <c r="AK80" i="3"/>
  <c r="AQ79" i="3"/>
  <c r="AN78" i="3"/>
  <c r="AC77" i="3"/>
  <c r="AV73" i="3"/>
  <c r="AE72" i="3"/>
  <c r="S71" i="3"/>
  <c r="AX70" i="3"/>
  <c r="AC69" i="3"/>
  <c r="BI68" i="3"/>
  <c r="AM67" i="3"/>
  <c r="BM66" i="3"/>
  <c r="Q66" i="3"/>
  <c r="AZ65" i="3"/>
  <c r="AP61" i="3"/>
  <c r="BE60" i="3"/>
  <c r="BJ59" i="3"/>
  <c r="N57" i="3"/>
  <c r="U56" i="3"/>
  <c r="W54" i="3"/>
  <c r="W53" i="3"/>
  <c r="BM49" i="3"/>
  <c r="AJ48" i="3"/>
  <c r="BD44" i="3"/>
  <c r="AO41" i="3"/>
  <c r="M27" i="3"/>
  <c r="Y27" i="3"/>
  <c r="AK27" i="3"/>
  <c r="AW27" i="3"/>
  <c r="BI27" i="3"/>
  <c r="N27" i="3"/>
  <c r="AA27" i="3"/>
  <c r="AN27" i="3"/>
  <c r="BA27" i="3"/>
  <c r="BN27" i="3"/>
  <c r="R27" i="3"/>
  <c r="AE27" i="3"/>
  <c r="AR27" i="3"/>
  <c r="BE27" i="3"/>
  <c r="W27" i="3"/>
  <c r="AM27" i="3"/>
  <c r="BC27" i="3"/>
  <c r="J27" i="3"/>
  <c r="Z27" i="3"/>
  <c r="AP27" i="3"/>
  <c r="BF27" i="3"/>
  <c r="L27" i="3"/>
  <c r="AC27" i="3"/>
  <c r="AS27" i="3"/>
  <c r="BH27" i="3"/>
  <c r="O27" i="3"/>
  <c r="AD27" i="3"/>
  <c r="AT27" i="3"/>
  <c r="BJ27" i="3"/>
  <c r="V27" i="3"/>
  <c r="AV27" i="3"/>
  <c r="X27" i="3"/>
  <c r="AX27" i="3"/>
  <c r="U27" i="3"/>
  <c r="AZ27" i="3"/>
  <c r="AF27" i="3"/>
  <c r="BD27" i="3"/>
  <c r="AH27" i="3"/>
  <c r="BK27" i="3"/>
  <c r="S27" i="3"/>
  <c r="BG27" i="3"/>
  <c r="T27" i="3"/>
  <c r="BL27" i="3"/>
  <c r="AB27" i="3"/>
  <c r="BM27" i="3"/>
  <c r="AI27" i="3"/>
  <c r="BO27" i="3"/>
  <c r="K27" i="3"/>
  <c r="P27" i="3"/>
  <c r="AG27" i="3"/>
  <c r="AO27" i="3"/>
  <c r="AL27" i="3"/>
  <c r="P48" i="3"/>
  <c r="AB48" i="3"/>
  <c r="AN48" i="3"/>
  <c r="AZ48" i="3"/>
  <c r="BL48" i="3"/>
  <c r="T48" i="3"/>
  <c r="AG48" i="3"/>
  <c r="AT48" i="3"/>
  <c r="BG48" i="3"/>
  <c r="M48" i="3"/>
  <c r="AA48" i="3"/>
  <c r="AP48" i="3"/>
  <c r="BD48" i="3"/>
  <c r="O48" i="3"/>
  <c r="AD48" i="3"/>
  <c r="AR48" i="3"/>
  <c r="BF48" i="3"/>
  <c r="R48" i="3"/>
  <c r="AF48" i="3"/>
  <c r="AU48" i="3"/>
  <c r="BI48" i="3"/>
  <c r="Y48" i="3"/>
  <c r="AS48" i="3"/>
  <c r="BM48" i="3"/>
  <c r="Z48" i="3"/>
  <c r="AV48" i="3"/>
  <c r="BN48" i="3"/>
  <c r="J48" i="3"/>
  <c r="AC48" i="3"/>
  <c r="AW48" i="3"/>
  <c r="BO48" i="3"/>
  <c r="L48" i="3"/>
  <c r="AH48" i="3"/>
  <c r="AY48" i="3"/>
  <c r="U48" i="3"/>
  <c r="AX48" i="3"/>
  <c r="V48" i="3"/>
  <c r="BA48" i="3"/>
  <c r="H48" i="3"/>
  <c r="W48" i="3"/>
  <c r="BB48" i="3"/>
  <c r="AE48" i="3"/>
  <c r="BE48" i="3"/>
  <c r="N48" i="3"/>
  <c r="BH48" i="3"/>
  <c r="Q48" i="3"/>
  <c r="BJ48" i="3"/>
  <c r="S48" i="3"/>
  <c r="BK48" i="3"/>
  <c r="AK48" i="3"/>
  <c r="AM48" i="3"/>
  <c r="AO48" i="3"/>
  <c r="P56" i="3"/>
  <c r="AB56" i="3"/>
  <c r="AN56" i="3"/>
  <c r="AZ56" i="3"/>
  <c r="BL56" i="3"/>
  <c r="T56" i="3"/>
  <c r="AG56" i="3"/>
  <c r="AT56" i="3"/>
  <c r="BG56" i="3"/>
  <c r="L56" i="3"/>
  <c r="Z56" i="3"/>
  <c r="AO56" i="3"/>
  <c r="BC56" i="3"/>
  <c r="M56" i="3"/>
  <c r="AA56" i="3"/>
  <c r="AP56" i="3"/>
  <c r="BD56" i="3"/>
  <c r="N56" i="3"/>
  <c r="AC56" i="3"/>
  <c r="AQ56" i="3"/>
  <c r="BE56" i="3"/>
  <c r="Q56" i="3"/>
  <c r="AE56" i="3"/>
  <c r="AS56" i="3"/>
  <c r="BH56" i="3"/>
  <c r="AD56" i="3"/>
  <c r="AX56" i="3"/>
  <c r="I56" i="3"/>
  <c r="AF56" i="3"/>
  <c r="AY56" i="3"/>
  <c r="BA56" i="3"/>
  <c r="J56" i="3"/>
  <c r="AH56" i="3"/>
  <c r="O56" i="3"/>
  <c r="AJ56" i="3"/>
  <c r="BF56" i="3"/>
  <c r="AM56" i="3"/>
  <c r="K56" i="3"/>
  <c r="AR56" i="3"/>
  <c r="R56" i="3"/>
  <c r="AU56" i="3"/>
  <c r="W56" i="3"/>
  <c r="BI56" i="3"/>
  <c r="V56" i="3"/>
  <c r="BN56" i="3"/>
  <c r="X56" i="3"/>
  <c r="BO56" i="3"/>
  <c r="AV56" i="3"/>
  <c r="N85" i="3"/>
  <c r="V73" i="3"/>
  <c r="M61" i="3"/>
  <c r="AW56" i="3"/>
  <c r="AQ48" i="3"/>
  <c r="BC17" i="3"/>
  <c r="S22" i="3"/>
  <c r="AE22" i="3"/>
  <c r="AQ22" i="3"/>
  <c r="BC22" i="3"/>
  <c r="BO22" i="3"/>
  <c r="N22" i="3"/>
  <c r="AA22" i="3"/>
  <c r="AN22" i="3"/>
  <c r="BA22" i="3"/>
  <c r="BN22" i="3"/>
  <c r="U22" i="3"/>
  <c r="AI22" i="3"/>
  <c r="AW22" i="3"/>
  <c r="BK22" i="3"/>
  <c r="T22" i="3"/>
  <c r="AJ22" i="3"/>
  <c r="AY22" i="3"/>
  <c r="W22" i="3"/>
  <c r="AM22" i="3"/>
  <c r="BE22" i="3"/>
  <c r="K22" i="3"/>
  <c r="AB22" i="3"/>
  <c r="AS22" i="3"/>
  <c r="BI22" i="3"/>
  <c r="Q22" i="3"/>
  <c r="AL22" i="3"/>
  <c r="BG22" i="3"/>
  <c r="V22" i="3"/>
  <c r="AP22" i="3"/>
  <c r="BJ22" i="3"/>
  <c r="Y22" i="3"/>
  <c r="AT22" i="3"/>
  <c r="BM22" i="3"/>
  <c r="Z22" i="3"/>
  <c r="AU22" i="3"/>
  <c r="J22" i="3"/>
  <c r="AK22" i="3"/>
  <c r="L22" i="3"/>
  <c r="AO22" i="3"/>
  <c r="O22" i="3"/>
  <c r="AZ22" i="3"/>
  <c r="R22" i="3"/>
  <c r="BD22" i="3"/>
  <c r="AC22" i="3"/>
  <c r="BH22" i="3"/>
  <c r="AG22" i="3"/>
  <c r="AH22" i="3"/>
  <c r="AR22" i="3"/>
  <c r="AX22" i="3"/>
  <c r="H22" i="3"/>
  <c r="I22" i="3"/>
  <c r="P22" i="3"/>
  <c r="BB22" i="3"/>
  <c r="BF22" i="3"/>
  <c r="BL22" i="3"/>
  <c r="AF22" i="3"/>
  <c r="J41" i="3"/>
  <c r="V41" i="3"/>
  <c r="AH41" i="3"/>
  <c r="AT41" i="3"/>
  <c r="BF41" i="3"/>
  <c r="N41" i="3"/>
  <c r="Z41" i="3"/>
  <c r="AL41" i="3"/>
  <c r="AX41" i="3"/>
  <c r="BJ41" i="3"/>
  <c r="O41" i="3"/>
  <c r="AC41" i="3"/>
  <c r="AQ41" i="3"/>
  <c r="BE41" i="3"/>
  <c r="P41" i="3"/>
  <c r="AD41" i="3"/>
  <c r="AR41" i="3"/>
  <c r="BG41" i="3"/>
  <c r="K41" i="3"/>
  <c r="AB41" i="3"/>
  <c r="AU41" i="3"/>
  <c r="BL41" i="3"/>
  <c r="M41" i="3"/>
  <c r="AF41" i="3"/>
  <c r="AW41" i="3"/>
  <c r="BN41" i="3"/>
  <c r="R41" i="3"/>
  <c r="AI41" i="3"/>
  <c r="AZ41" i="3"/>
  <c r="U41" i="3"/>
  <c r="AP41" i="3"/>
  <c r="BO41" i="3"/>
  <c r="W41" i="3"/>
  <c r="AS41" i="3"/>
  <c r="X41" i="3"/>
  <c r="AV41" i="3"/>
  <c r="AA41" i="3"/>
  <c r="BA41" i="3"/>
  <c r="AK41" i="3"/>
  <c r="AM41" i="3"/>
  <c r="AN41" i="3"/>
  <c r="L41" i="3"/>
  <c r="AY41" i="3"/>
  <c r="BB41" i="3"/>
  <c r="BC41" i="3"/>
  <c r="BD41" i="3"/>
  <c r="T41" i="3"/>
  <c r="BM41" i="3"/>
  <c r="BH41" i="3"/>
  <c r="BI41" i="3"/>
  <c r="S41" i="3"/>
  <c r="S49" i="3"/>
  <c r="AC57" i="3"/>
  <c r="I27" i="3"/>
  <c r="AL56" i="3"/>
  <c r="AL48" i="3"/>
  <c r="AE41" i="3"/>
  <c r="BB27" i="3"/>
  <c r="BB57" i="3"/>
  <c r="AE57" i="3"/>
  <c r="L57" i="3"/>
  <c r="BC49" i="3"/>
  <c r="Y49" i="3"/>
  <c r="Q12" i="3"/>
  <c r="AC12" i="3"/>
  <c r="AO12" i="3"/>
  <c r="BA12" i="3"/>
  <c r="BM12" i="3"/>
  <c r="S12" i="3"/>
  <c r="AE12" i="3"/>
  <c r="AQ12" i="3"/>
  <c r="BC12" i="3"/>
  <c r="BO12" i="3"/>
  <c r="O12" i="3"/>
  <c r="AD12" i="3"/>
  <c r="AS12" i="3"/>
  <c r="BG12" i="3"/>
  <c r="V12" i="3"/>
  <c r="AK12" i="3"/>
  <c r="AZ12" i="3"/>
  <c r="X12" i="3"/>
  <c r="AM12" i="3"/>
  <c r="BD12" i="3"/>
  <c r="Z12" i="3"/>
  <c r="AT12" i="3"/>
  <c r="BK12" i="3"/>
  <c r="K12" i="3"/>
  <c r="AB12" i="3"/>
  <c r="AV12" i="3"/>
  <c r="BN12" i="3"/>
  <c r="U12" i="3"/>
  <c r="AR12" i="3"/>
  <c r="J12" i="3"/>
  <c r="AG12" i="3"/>
  <c r="BB12" i="3"/>
  <c r="Y12" i="3"/>
  <c r="AY12" i="3"/>
  <c r="AH12" i="3"/>
  <c r="BH12" i="3"/>
  <c r="M12" i="3"/>
  <c r="AP12" i="3"/>
  <c r="T12" i="3"/>
  <c r="BE12" i="3"/>
  <c r="P12" i="3"/>
  <c r="BF12" i="3"/>
  <c r="W12" i="3"/>
  <c r="BJ12" i="3"/>
  <c r="AF12" i="3"/>
  <c r="AI12" i="3"/>
  <c r="AL12" i="3"/>
  <c r="AN12" i="3"/>
  <c r="AW12" i="3"/>
  <c r="BI12" i="3"/>
  <c r="N12" i="3"/>
  <c r="R12" i="3"/>
  <c r="AA12" i="3"/>
  <c r="AU12" i="3"/>
  <c r="BD85" i="3"/>
  <c r="AZ61" i="3"/>
  <c r="AE61" i="3"/>
  <c r="AW57" i="3"/>
  <c r="AU49" i="3"/>
  <c r="T49" i="3"/>
  <c r="BN43" i="3"/>
  <c r="BC35" i="3"/>
  <c r="AD30" i="3"/>
  <c r="BO9" i="3"/>
  <c r="J57" i="3"/>
  <c r="V57" i="3"/>
  <c r="AH57" i="3"/>
  <c r="AT57" i="3"/>
  <c r="BF57" i="3"/>
  <c r="U57" i="3"/>
  <c r="AI57" i="3"/>
  <c r="AV57" i="3"/>
  <c r="BI57" i="3"/>
  <c r="W57" i="3"/>
  <c r="AK57" i="3"/>
  <c r="AY57" i="3"/>
  <c r="BM57" i="3"/>
  <c r="X57" i="3"/>
  <c r="AL57" i="3"/>
  <c r="AZ57" i="3"/>
  <c r="BN57" i="3"/>
  <c r="K57" i="3"/>
  <c r="Y57" i="3"/>
  <c r="AM57" i="3"/>
  <c r="BA57" i="3"/>
  <c r="BO57" i="3"/>
  <c r="M57" i="3"/>
  <c r="AA57" i="3"/>
  <c r="AO57" i="3"/>
  <c r="J61" i="3"/>
  <c r="V61" i="3"/>
  <c r="AH61" i="3"/>
  <c r="AT61" i="3"/>
  <c r="BF61" i="3"/>
  <c r="O61" i="3"/>
  <c r="AB61" i="3"/>
  <c r="AO61" i="3"/>
  <c r="BB61" i="3"/>
  <c r="BO61" i="3"/>
  <c r="S61" i="3"/>
  <c r="AG61" i="3"/>
  <c r="AV61" i="3"/>
  <c r="BJ61" i="3"/>
  <c r="T61" i="3"/>
  <c r="AI61" i="3"/>
  <c r="AW61" i="3"/>
  <c r="BK61" i="3"/>
  <c r="U61" i="3"/>
  <c r="AJ61" i="3"/>
  <c r="AX61" i="3"/>
  <c r="BL61" i="3"/>
  <c r="AQ85" i="3"/>
  <c r="O85" i="3"/>
  <c r="AL73" i="3"/>
  <c r="M17" i="3"/>
  <c r="Y17" i="3"/>
  <c r="AK17" i="3"/>
  <c r="AW17" i="3"/>
  <c r="BI17" i="3"/>
  <c r="Q17" i="3"/>
  <c r="AD17" i="3"/>
  <c r="AQ17" i="3"/>
  <c r="BD17" i="3"/>
  <c r="R17" i="3"/>
  <c r="AF17" i="3"/>
  <c r="AT17" i="3"/>
  <c r="BH17" i="3"/>
  <c r="T17" i="3"/>
  <c r="AH17" i="3"/>
  <c r="AV17" i="3"/>
  <c r="BK17" i="3"/>
  <c r="S17" i="3"/>
  <c r="AJ17" i="3"/>
  <c r="BA17" i="3"/>
  <c r="K17" i="3"/>
  <c r="AC17" i="3"/>
  <c r="AX17" i="3"/>
  <c r="BO17" i="3"/>
  <c r="U17" i="3"/>
  <c r="AM17" i="3"/>
  <c r="BE17" i="3"/>
  <c r="W17" i="3"/>
  <c r="AR17" i="3"/>
  <c r="BN17" i="3"/>
  <c r="AA17" i="3"/>
  <c r="AY17" i="3"/>
  <c r="AG17" i="3"/>
  <c r="BG17" i="3"/>
  <c r="N17" i="3"/>
  <c r="AO17" i="3"/>
  <c r="V17" i="3"/>
  <c r="BB17" i="3"/>
  <c r="Z17" i="3"/>
  <c r="BF17" i="3"/>
  <c r="AE17" i="3"/>
  <c r="BL17" i="3"/>
  <c r="AI17" i="3"/>
  <c r="BM17" i="3"/>
  <c r="AN17" i="3"/>
  <c r="AP17" i="3"/>
  <c r="J17" i="3"/>
  <c r="O17" i="3"/>
  <c r="X17" i="3"/>
  <c r="P17" i="3"/>
  <c r="AB17" i="3"/>
  <c r="AL17" i="3"/>
  <c r="AU17" i="3"/>
  <c r="M21" i="3"/>
  <c r="Y21" i="3"/>
  <c r="AK21" i="3"/>
  <c r="AW21" i="3"/>
  <c r="BI21" i="3"/>
  <c r="O21" i="3"/>
  <c r="AA21" i="3"/>
  <c r="AM21" i="3"/>
  <c r="AY21" i="3"/>
  <c r="BK21" i="3"/>
  <c r="U21" i="3"/>
  <c r="AI21" i="3"/>
  <c r="AX21" i="3"/>
  <c r="BM21" i="3"/>
  <c r="T21" i="3"/>
  <c r="AJ21" i="3"/>
  <c r="BA21" i="3"/>
  <c r="K21" i="3"/>
  <c r="AC21" i="3"/>
  <c r="AS21" i="3"/>
  <c r="BJ21" i="3"/>
  <c r="P21" i="3"/>
  <c r="AF21" i="3"/>
  <c r="AV21" i="3"/>
  <c r="BO21" i="3"/>
  <c r="Q21" i="3"/>
  <c r="AL21" i="3"/>
  <c r="BE21" i="3"/>
  <c r="W21" i="3"/>
  <c r="AQ21" i="3"/>
  <c r="BL21" i="3"/>
  <c r="N21" i="3"/>
  <c r="AO21" i="3"/>
  <c r="BN21" i="3"/>
  <c r="S21" i="3"/>
  <c r="AR21" i="3"/>
  <c r="X21" i="3"/>
  <c r="AU21" i="3"/>
  <c r="Z21" i="3"/>
  <c r="AZ21" i="3"/>
  <c r="AD21" i="3"/>
  <c r="BH21" i="3"/>
  <c r="AE21" i="3"/>
  <c r="R21" i="3"/>
  <c r="BG21" i="3"/>
  <c r="AB21" i="3"/>
  <c r="AH21" i="3"/>
  <c r="J21" i="3"/>
  <c r="L21" i="3"/>
  <c r="V21" i="3"/>
  <c r="AN21" i="3"/>
  <c r="M25" i="3"/>
  <c r="Y25" i="3"/>
  <c r="AK25" i="3"/>
  <c r="AW25" i="3"/>
  <c r="BI25" i="3"/>
  <c r="P25" i="3"/>
  <c r="AC25" i="3"/>
  <c r="AP25" i="3"/>
  <c r="BC25" i="3"/>
  <c r="J25" i="3"/>
  <c r="X25" i="3"/>
  <c r="AM25" i="3"/>
  <c r="BA25" i="3"/>
  <c r="BO25" i="3"/>
  <c r="O25" i="3"/>
  <c r="AD25" i="3"/>
  <c r="AR25" i="3"/>
  <c r="BF25" i="3"/>
  <c r="S25" i="3"/>
  <c r="AI25" i="3"/>
  <c r="AZ25" i="3"/>
  <c r="U25" i="3"/>
  <c r="AL25" i="3"/>
  <c r="BD25" i="3"/>
  <c r="W25" i="3"/>
  <c r="AO25" i="3"/>
  <c r="BG25" i="3"/>
  <c r="Z25" i="3"/>
  <c r="AQ25" i="3"/>
  <c r="BH25" i="3"/>
  <c r="AB25" i="3"/>
  <c r="AY25" i="3"/>
  <c r="AE25" i="3"/>
  <c r="BB25" i="3"/>
  <c r="T25" i="3"/>
  <c r="AX25" i="3"/>
  <c r="AA25" i="3"/>
  <c r="BJ25" i="3"/>
  <c r="AG25" i="3"/>
  <c r="BL25" i="3"/>
  <c r="AN25" i="3"/>
  <c r="AS25" i="3"/>
  <c r="AT25" i="3"/>
  <c r="L25" i="3"/>
  <c r="AV25" i="3"/>
  <c r="T35" i="3"/>
  <c r="AF35" i="3"/>
  <c r="AR35" i="3"/>
  <c r="BD35" i="3"/>
  <c r="S35" i="3"/>
  <c r="AG35" i="3"/>
  <c r="AT35" i="3"/>
  <c r="BG35" i="3"/>
  <c r="V35" i="3"/>
  <c r="AI35" i="3"/>
  <c r="AV35" i="3"/>
  <c r="BI35" i="3"/>
  <c r="K35" i="3"/>
  <c r="X35" i="3"/>
  <c r="AK35" i="3"/>
  <c r="AX35" i="3"/>
  <c r="BK35" i="3"/>
  <c r="Z35" i="3"/>
  <c r="AP35" i="3"/>
  <c r="BH35" i="3"/>
  <c r="J35" i="3"/>
  <c r="AA35" i="3"/>
  <c r="AQ35" i="3"/>
  <c r="BJ35" i="3"/>
  <c r="Q35" i="3"/>
  <c r="AM35" i="3"/>
  <c r="BF35" i="3"/>
  <c r="U35" i="3"/>
  <c r="AO35" i="3"/>
  <c r="BM35" i="3"/>
  <c r="Y35" i="3"/>
  <c r="AU35" i="3"/>
  <c r="BO35" i="3"/>
  <c r="O35" i="3"/>
  <c r="AS35" i="3"/>
  <c r="P35" i="3"/>
  <c r="AW35" i="3"/>
  <c r="R35" i="3"/>
  <c r="AY35" i="3"/>
  <c r="AB35" i="3"/>
  <c r="BA35" i="3"/>
  <c r="J43" i="3"/>
  <c r="V43" i="3"/>
  <c r="AH43" i="3"/>
  <c r="AT43" i="3"/>
  <c r="BF43" i="3"/>
  <c r="N43" i="3"/>
  <c r="Z43" i="3"/>
  <c r="AL43" i="3"/>
  <c r="U43" i="3"/>
  <c r="AJ43" i="3"/>
  <c r="AX43" i="3"/>
  <c r="BK43" i="3"/>
  <c r="W43" i="3"/>
  <c r="AK43" i="3"/>
  <c r="AY43" i="3"/>
  <c r="BL43" i="3"/>
  <c r="T43" i="3"/>
  <c r="AN43" i="3"/>
  <c r="BC43" i="3"/>
  <c r="Y43" i="3"/>
  <c r="AP43" i="3"/>
  <c r="BE43" i="3"/>
  <c r="K43" i="3"/>
  <c r="AB43" i="3"/>
  <c r="AR43" i="3"/>
  <c r="BH43" i="3"/>
  <c r="AA43" i="3"/>
  <c r="AV43" i="3"/>
  <c r="AC43" i="3"/>
  <c r="AW43" i="3"/>
  <c r="AD43" i="3"/>
  <c r="AZ43" i="3"/>
  <c r="L43" i="3"/>
  <c r="AF43" i="3"/>
  <c r="BB43" i="3"/>
  <c r="P50" i="3"/>
  <c r="AB50" i="3"/>
  <c r="AN50" i="3"/>
  <c r="AZ50" i="3"/>
  <c r="BL50" i="3"/>
  <c r="J50" i="3"/>
  <c r="W50" i="3"/>
  <c r="AJ50" i="3"/>
  <c r="S50" i="3"/>
  <c r="AG50" i="3"/>
  <c r="AU50" i="3"/>
  <c r="BH50" i="3"/>
  <c r="U50" i="3"/>
  <c r="AI50" i="3"/>
  <c r="AW50" i="3"/>
  <c r="BJ50" i="3"/>
  <c r="X50" i="3"/>
  <c r="AL50" i="3"/>
  <c r="AY50" i="3"/>
  <c r="BM50" i="3"/>
  <c r="Q50" i="3"/>
  <c r="AK50" i="3"/>
  <c r="BC50" i="3"/>
  <c r="R50" i="3"/>
  <c r="AM50" i="3"/>
  <c r="BD50" i="3"/>
  <c r="T50" i="3"/>
  <c r="AO50" i="3"/>
  <c r="BE50" i="3"/>
  <c r="Y50" i="3"/>
  <c r="AQ50" i="3"/>
  <c r="BG50" i="3"/>
  <c r="R84" i="3"/>
  <c r="AD84" i="3"/>
  <c r="AP84" i="3"/>
  <c r="BB84" i="3"/>
  <c r="BN84" i="3"/>
  <c r="S84" i="3"/>
  <c r="AE84" i="3"/>
  <c r="AQ84" i="3"/>
  <c r="BC84" i="3"/>
  <c r="BO84" i="3"/>
  <c r="L72" i="3"/>
  <c r="X72" i="3"/>
  <c r="AJ72" i="3"/>
  <c r="AV72" i="3"/>
  <c r="BH72" i="3"/>
  <c r="K72" i="3"/>
  <c r="Y72" i="3"/>
  <c r="AL72" i="3"/>
  <c r="AY72" i="3"/>
  <c r="BL72" i="3"/>
  <c r="M72" i="3"/>
  <c r="Z72" i="3"/>
  <c r="AM72" i="3"/>
  <c r="AZ72" i="3"/>
  <c r="BM72" i="3"/>
  <c r="P60" i="3"/>
  <c r="AB60" i="3"/>
  <c r="AN60" i="3"/>
  <c r="AZ60" i="3"/>
  <c r="BL60" i="3"/>
  <c r="M60" i="3"/>
  <c r="Z60" i="3"/>
  <c r="AM60" i="3"/>
  <c r="BA60" i="3"/>
  <c r="BN60" i="3"/>
  <c r="W60" i="3"/>
  <c r="AK60" i="3"/>
  <c r="AY60" i="3"/>
  <c r="BO60" i="3"/>
  <c r="J60" i="3"/>
  <c r="X60" i="3"/>
  <c r="AL60" i="3"/>
  <c r="BB60" i="3"/>
  <c r="K60" i="3"/>
  <c r="Y60" i="3"/>
  <c r="AO60" i="3"/>
  <c r="BC60" i="3"/>
  <c r="H95" i="3"/>
  <c r="H83" i="3"/>
  <c r="H71" i="3"/>
  <c r="H59" i="3"/>
  <c r="H35" i="3"/>
  <c r="I57" i="3"/>
  <c r="I21" i="3"/>
  <c r="BF95" i="3"/>
  <c r="AS95" i="3"/>
  <c r="AF95" i="3"/>
  <c r="S95" i="3"/>
  <c r="BC85" i="3"/>
  <c r="AP85" i="3"/>
  <c r="AB85" i="3"/>
  <c r="BH84" i="3"/>
  <c r="AT84" i="3"/>
  <c r="AF84" i="3"/>
  <c r="P84" i="3"/>
  <c r="BL83" i="3"/>
  <c r="AX83" i="3"/>
  <c r="AH83" i="3"/>
  <c r="BC73" i="3"/>
  <c r="AK73" i="3"/>
  <c r="BN72" i="3"/>
  <c r="AW72" i="3"/>
  <c r="AG72" i="3"/>
  <c r="R72" i="3"/>
  <c r="BH71" i="3"/>
  <c r="AS71" i="3"/>
  <c r="AC71" i="3"/>
  <c r="AY61" i="3"/>
  <c r="AD61" i="3"/>
  <c r="L61" i="3"/>
  <c r="BJ60" i="3"/>
  <c r="AS60" i="3"/>
  <c r="AA60" i="3"/>
  <c r="BH59" i="3"/>
  <c r="AM59" i="3"/>
  <c r="AU57" i="3"/>
  <c r="AB57" i="3"/>
  <c r="BG51" i="3"/>
  <c r="AR50" i="3"/>
  <c r="M50" i="3"/>
  <c r="AS49" i="3"/>
  <c r="BM43" i="3"/>
  <c r="AG43" i="3"/>
  <c r="BB35" i="3"/>
  <c r="L35" i="3"/>
  <c r="N25" i="3"/>
  <c r="AZ17" i="3"/>
  <c r="J49" i="3"/>
  <c r="V49" i="3"/>
  <c r="AH49" i="3"/>
  <c r="AT49" i="3"/>
  <c r="BF49" i="3"/>
  <c r="U49" i="3"/>
  <c r="AI49" i="3"/>
  <c r="AV49" i="3"/>
  <c r="BI49" i="3"/>
  <c r="X49" i="3"/>
  <c r="AL49" i="3"/>
  <c r="AZ49" i="3"/>
  <c r="BN49" i="3"/>
  <c r="L49" i="3"/>
  <c r="Z49" i="3"/>
  <c r="AN49" i="3"/>
  <c r="BB49" i="3"/>
  <c r="N49" i="3"/>
  <c r="AB49" i="3"/>
  <c r="AP49" i="3"/>
  <c r="BD49" i="3"/>
  <c r="M49" i="3"/>
  <c r="AE49" i="3"/>
  <c r="AX49" i="3"/>
  <c r="O49" i="3"/>
  <c r="AF49" i="3"/>
  <c r="AY49" i="3"/>
  <c r="P49" i="3"/>
  <c r="AG49" i="3"/>
  <c r="BA49" i="3"/>
  <c r="R49" i="3"/>
  <c r="AK49" i="3"/>
  <c r="BE49" i="3"/>
  <c r="L85" i="3"/>
  <c r="X85" i="3"/>
  <c r="AJ85" i="3"/>
  <c r="M85" i="3"/>
  <c r="Y85" i="3"/>
  <c r="AK85" i="3"/>
  <c r="AW85" i="3"/>
  <c r="BI85" i="3"/>
  <c r="R73" i="3"/>
  <c r="AD73" i="3"/>
  <c r="AP73" i="3"/>
  <c r="BB73" i="3"/>
  <c r="BN73" i="3"/>
  <c r="M73" i="3"/>
  <c r="Z73" i="3"/>
  <c r="AM73" i="3"/>
  <c r="AZ73" i="3"/>
  <c r="BM73" i="3"/>
  <c r="N73" i="3"/>
  <c r="AA73" i="3"/>
  <c r="AN73" i="3"/>
  <c r="BA73" i="3"/>
  <c r="BO73" i="3"/>
  <c r="H12" i="3"/>
  <c r="AC85" i="3"/>
  <c r="BD73" i="3"/>
  <c r="W73" i="3"/>
  <c r="U9" i="3"/>
  <c r="AG9" i="3"/>
  <c r="AS9" i="3"/>
  <c r="BE9" i="3"/>
  <c r="K9" i="3"/>
  <c r="W9" i="3"/>
  <c r="AI9" i="3"/>
  <c r="AU9" i="3"/>
  <c r="BG9" i="3"/>
  <c r="M9" i="3"/>
  <c r="Y9" i="3"/>
  <c r="AK9" i="3"/>
  <c r="AW9" i="3"/>
  <c r="BI9" i="3"/>
  <c r="V9" i="3"/>
  <c r="AM9" i="3"/>
  <c r="BB9" i="3"/>
  <c r="T9" i="3"/>
  <c r="AN9" i="3"/>
  <c r="BD9" i="3"/>
  <c r="Z9" i="3"/>
  <c r="AP9" i="3"/>
  <c r="BH9" i="3"/>
  <c r="N9" i="3"/>
  <c r="AF9" i="3"/>
  <c r="BA9" i="3"/>
  <c r="P9" i="3"/>
  <c r="AJ9" i="3"/>
  <c r="BF9" i="3"/>
  <c r="AA9" i="3"/>
  <c r="AX9" i="3"/>
  <c r="J9" i="3"/>
  <c r="AH9" i="3"/>
  <c r="BK9" i="3"/>
  <c r="AE9" i="3"/>
  <c r="BM9" i="3"/>
  <c r="L9" i="3"/>
  <c r="AQ9" i="3"/>
  <c r="AL9" i="3"/>
  <c r="O9" i="3"/>
  <c r="AV9" i="3"/>
  <c r="AD9" i="3"/>
  <c r="AR9" i="3"/>
  <c r="AY9" i="3"/>
  <c r="AZ9" i="3"/>
  <c r="BJ9" i="3"/>
  <c r="BL9" i="3"/>
  <c r="S9" i="3"/>
  <c r="AB9" i="3"/>
  <c r="AO9" i="3"/>
  <c r="R9" i="3"/>
  <c r="S30" i="3"/>
  <c r="AE30" i="3"/>
  <c r="AQ30" i="3"/>
  <c r="BC30" i="3"/>
  <c r="BO30" i="3"/>
  <c r="R30" i="3"/>
  <c r="AF30" i="3"/>
  <c r="AS30" i="3"/>
  <c r="BF30" i="3"/>
  <c r="J30" i="3"/>
  <c r="W30" i="3"/>
  <c r="AJ30" i="3"/>
  <c r="AW30" i="3"/>
  <c r="BJ30" i="3"/>
  <c r="U30" i="3"/>
  <c r="AK30" i="3"/>
  <c r="AZ30" i="3"/>
  <c r="X30" i="3"/>
  <c r="AM30" i="3"/>
  <c r="BB30" i="3"/>
  <c r="K30" i="3"/>
  <c r="Z30" i="3"/>
  <c r="AO30" i="3"/>
  <c r="BE30" i="3"/>
  <c r="L30" i="3"/>
  <c r="AA30" i="3"/>
  <c r="AP30" i="3"/>
  <c r="N30" i="3"/>
  <c r="AI30" i="3"/>
  <c r="BH30" i="3"/>
  <c r="O30" i="3"/>
  <c r="AL30" i="3"/>
  <c r="BI30" i="3"/>
  <c r="AH30" i="3"/>
  <c r="BL30" i="3"/>
  <c r="M30" i="3"/>
  <c r="AR30" i="3"/>
  <c r="BN30" i="3"/>
  <c r="Q30" i="3"/>
  <c r="AU30" i="3"/>
  <c r="P30" i="3"/>
  <c r="AY30" i="3"/>
  <c r="T30" i="3"/>
  <c r="BA30" i="3"/>
  <c r="V30" i="3"/>
  <c r="BD30" i="3"/>
  <c r="AB30" i="3"/>
  <c r="BK30" i="3"/>
  <c r="J51" i="3"/>
  <c r="V51" i="3"/>
  <c r="AH51" i="3"/>
  <c r="AT51" i="3"/>
  <c r="BF51" i="3"/>
  <c r="W51" i="3"/>
  <c r="AJ51" i="3"/>
  <c r="AW51" i="3"/>
  <c r="BJ51" i="3"/>
  <c r="L51" i="3"/>
  <c r="Y51" i="3"/>
  <c r="AL51" i="3"/>
  <c r="AY51" i="3"/>
  <c r="BL51" i="3"/>
  <c r="N51" i="3"/>
  <c r="AA51" i="3"/>
  <c r="AN51" i="3"/>
  <c r="BA51" i="3"/>
  <c r="BN51" i="3"/>
  <c r="Q51" i="3"/>
  <c r="AG51" i="3"/>
  <c r="AZ51" i="3"/>
  <c r="R51" i="3"/>
  <c r="AI51" i="3"/>
  <c r="BB51" i="3"/>
  <c r="S51" i="3"/>
  <c r="AK51" i="3"/>
  <c r="BC51" i="3"/>
  <c r="U51" i="3"/>
  <c r="AO51" i="3"/>
  <c r="BE51" i="3"/>
  <c r="M95" i="3"/>
  <c r="Y95" i="3"/>
  <c r="AK95" i="3"/>
  <c r="AW95" i="3"/>
  <c r="BI95" i="3"/>
  <c r="L83" i="3"/>
  <c r="X83" i="3"/>
  <c r="AJ83" i="3"/>
  <c r="AV83" i="3"/>
  <c r="BH83" i="3"/>
  <c r="M83" i="3"/>
  <c r="Y83" i="3"/>
  <c r="AK83" i="3"/>
  <c r="AW83" i="3"/>
  <c r="BI83" i="3"/>
  <c r="R71" i="3"/>
  <c r="AD71" i="3"/>
  <c r="AP71" i="3"/>
  <c r="BB71" i="3"/>
  <c r="BN71" i="3"/>
  <c r="J71" i="3"/>
  <c r="W71" i="3"/>
  <c r="AJ71" i="3"/>
  <c r="AW71" i="3"/>
  <c r="BJ71" i="3"/>
  <c r="K71" i="3"/>
  <c r="X71" i="3"/>
  <c r="AK71" i="3"/>
  <c r="AX71" i="3"/>
  <c r="BK71" i="3"/>
  <c r="J59" i="3"/>
  <c r="V59" i="3"/>
  <c r="AH59" i="3"/>
  <c r="AT59" i="3"/>
  <c r="BF59" i="3"/>
  <c r="L59" i="3"/>
  <c r="Y59" i="3"/>
  <c r="AL59" i="3"/>
  <c r="AY59" i="3"/>
  <c r="BL59" i="3"/>
  <c r="N59" i="3"/>
  <c r="AB59" i="3"/>
  <c r="AP59" i="3"/>
  <c r="BD59" i="3"/>
  <c r="O59" i="3"/>
  <c r="AC59" i="3"/>
  <c r="AQ59" i="3"/>
  <c r="BE59" i="3"/>
  <c r="P59" i="3"/>
  <c r="AD59" i="3"/>
  <c r="AR59" i="3"/>
  <c r="BG59" i="3"/>
  <c r="BE95" i="3"/>
  <c r="AR95" i="3"/>
  <c r="AE95" i="3"/>
  <c r="R95" i="3"/>
  <c r="BO85" i="3"/>
  <c r="BB85" i="3"/>
  <c r="AO85" i="3"/>
  <c r="AA85" i="3"/>
  <c r="K85" i="3"/>
  <c r="BG84" i="3"/>
  <c r="AS84" i="3"/>
  <c r="AC84" i="3"/>
  <c r="O84" i="3"/>
  <c r="BK83" i="3"/>
  <c r="AU83" i="3"/>
  <c r="AG83" i="3"/>
  <c r="S83" i="3"/>
  <c r="AY73" i="3"/>
  <c r="AJ73" i="3"/>
  <c r="U73" i="3"/>
  <c r="BK72" i="3"/>
  <c r="AU72" i="3"/>
  <c r="AF72" i="3"/>
  <c r="Q72" i="3"/>
  <c r="BG71" i="3"/>
  <c r="AR71" i="3"/>
  <c r="AB71" i="3"/>
  <c r="M71" i="3"/>
  <c r="AU61" i="3"/>
  <c r="AC61" i="3"/>
  <c r="K61" i="3"/>
  <c r="BI60" i="3"/>
  <c r="AR60" i="3"/>
  <c r="V60" i="3"/>
  <c r="BC59" i="3"/>
  <c r="AK59" i="3"/>
  <c r="S59" i="3"/>
  <c r="BL57" i="3"/>
  <c r="AS57" i="3"/>
  <c r="Z57" i="3"/>
  <c r="BD51" i="3"/>
  <c r="AC51" i="3"/>
  <c r="BO50" i="3"/>
  <c r="AP50" i="3"/>
  <c r="L50" i="3"/>
  <c r="AR49" i="3"/>
  <c r="Q49" i="3"/>
  <c r="BJ43" i="3"/>
  <c r="AE43" i="3"/>
  <c r="AZ35" i="3"/>
  <c r="Y30" i="3"/>
  <c r="BN25" i="3"/>
  <c r="K25" i="3"/>
  <c r="AS17" i="3"/>
  <c r="BC9" i="3"/>
  <c r="K31" i="1"/>
  <c r="H29" i="1"/>
  <c r="K30" i="1"/>
  <c r="H4" i="1"/>
  <c r="I54" i="1"/>
  <c r="BC3" i="1"/>
  <c r="I5" i="1"/>
  <c r="AY3" i="1"/>
  <c r="AX3" i="1"/>
  <c r="AW3" i="1"/>
  <c r="AV3" i="1"/>
  <c r="J18" i="1"/>
  <c r="H33" i="1"/>
  <c r="AY21" i="1"/>
  <c r="AZ21" i="1"/>
  <c r="BA21" i="1"/>
  <c r="AF21" i="1"/>
  <c r="AG21" i="1"/>
  <c r="AJ21" i="1"/>
  <c r="V55" i="1"/>
  <c r="AU55" i="1"/>
  <c r="W55" i="1"/>
  <c r="AV55" i="1"/>
  <c r="X55" i="1"/>
  <c r="AZ55" i="1"/>
  <c r="AF55" i="1"/>
  <c r="BB55" i="1"/>
  <c r="AG55" i="1"/>
  <c r="BC55" i="1"/>
  <c r="AH55" i="1"/>
  <c r="BD55" i="1"/>
  <c r="O55" i="1"/>
  <c r="AI55" i="1"/>
  <c r="BE55" i="1"/>
  <c r="P55" i="1"/>
  <c r="AJ55" i="1"/>
  <c r="R55" i="1"/>
  <c r="AM55" i="1"/>
  <c r="K55" i="1"/>
  <c r="S55" i="1"/>
  <c r="AN55" i="1"/>
  <c r="T55" i="1"/>
  <c r="AP55" i="1"/>
  <c r="U55" i="1"/>
  <c r="AT55" i="1"/>
  <c r="V42" i="1"/>
  <c r="AK42" i="1"/>
  <c r="BB42" i="1"/>
  <c r="W42" i="1"/>
  <c r="AL42" i="1"/>
  <c r="BD42" i="1"/>
  <c r="X42" i="1"/>
  <c r="AO42" i="1"/>
  <c r="BE42" i="1"/>
  <c r="Y42" i="1"/>
  <c r="AP42" i="1"/>
  <c r="BF42" i="1"/>
  <c r="Z42" i="1"/>
  <c r="AR42" i="1"/>
  <c r="BG42" i="1"/>
  <c r="O42" i="1"/>
  <c r="L42" i="1"/>
  <c r="AC42" i="1"/>
  <c r="AS42" i="1"/>
  <c r="BH42" i="1"/>
  <c r="M42" i="1"/>
  <c r="AD42" i="1"/>
  <c r="AT42" i="1"/>
  <c r="BI42" i="1"/>
  <c r="N42" i="1"/>
  <c r="AF42" i="1"/>
  <c r="AU42" i="1"/>
  <c r="Q42" i="1"/>
  <c r="AG42" i="1"/>
  <c r="AV42" i="1"/>
  <c r="R42" i="1"/>
  <c r="AH42" i="1"/>
  <c r="AW42" i="1"/>
  <c r="T42" i="1"/>
  <c r="AI42" i="1"/>
  <c r="AX42" i="1"/>
  <c r="U42" i="1"/>
  <c r="AJ42" i="1"/>
  <c r="BA42" i="1"/>
  <c r="Z41" i="1"/>
  <c r="AO41" i="1"/>
  <c r="BE41" i="1"/>
  <c r="L41" i="1"/>
  <c r="AA41" i="1"/>
  <c r="AQ41" i="1"/>
  <c r="BF41" i="1"/>
  <c r="M41" i="1"/>
  <c r="AB41" i="1"/>
  <c r="AR41" i="1"/>
  <c r="BG41" i="1"/>
  <c r="N41" i="1"/>
  <c r="AC41" i="1"/>
  <c r="AS41" i="1"/>
  <c r="BH41" i="1"/>
  <c r="O41" i="1"/>
  <c r="AE41" i="1"/>
  <c r="AT41" i="1"/>
  <c r="BI41" i="1"/>
  <c r="P41" i="1"/>
  <c r="AF41" i="1"/>
  <c r="AU41" i="1"/>
  <c r="Q41" i="1"/>
  <c r="AG41" i="1"/>
  <c r="AV41" i="1"/>
  <c r="S41" i="1"/>
  <c r="AH41" i="1"/>
  <c r="AY41" i="1"/>
  <c r="T41" i="1"/>
  <c r="AI41" i="1"/>
  <c r="AZ41" i="1"/>
  <c r="U41" i="1"/>
  <c r="AL41" i="1"/>
  <c r="BA41" i="1"/>
  <c r="V41" i="1"/>
  <c r="AM41" i="1"/>
  <c r="BC41" i="1"/>
  <c r="Y41" i="1"/>
  <c r="AN41" i="1"/>
  <c r="BD41" i="1"/>
  <c r="M52" i="1"/>
  <c r="AC52" i="1"/>
  <c r="AR52" i="1"/>
  <c r="BI52" i="1"/>
  <c r="N52" i="1"/>
  <c r="AD52" i="1"/>
  <c r="AS52" i="1"/>
  <c r="P52" i="1"/>
  <c r="AE52" i="1"/>
  <c r="AV52" i="1"/>
  <c r="Q52" i="1"/>
  <c r="AF52" i="1"/>
  <c r="AW52" i="1"/>
  <c r="R52" i="1"/>
  <c r="AI52" i="1"/>
  <c r="AX52" i="1"/>
  <c r="S52" i="1"/>
  <c r="AJ52" i="1"/>
  <c r="AZ52" i="1"/>
  <c r="V52" i="1"/>
  <c r="AK52" i="1"/>
  <c r="BA52" i="1"/>
  <c r="W52" i="1"/>
  <c r="AL52" i="1"/>
  <c r="BB52" i="1"/>
  <c r="X52" i="1"/>
  <c r="AN52" i="1"/>
  <c r="BC52" i="1"/>
  <c r="Y52" i="1"/>
  <c r="AO52" i="1"/>
  <c r="BD52" i="1"/>
  <c r="Z52" i="1"/>
  <c r="AP52" i="1"/>
  <c r="BE52" i="1"/>
  <c r="L52" i="1"/>
  <c r="AB52" i="1"/>
  <c r="AQ52" i="1"/>
  <c r="BF52" i="1"/>
  <c r="AA40" i="1"/>
  <c r="AQ40" i="1"/>
  <c r="BG40" i="1"/>
  <c r="L40" i="1"/>
  <c r="AB40" i="1"/>
  <c r="AS40" i="1"/>
  <c r="M40" i="1"/>
  <c r="AC40" i="1"/>
  <c r="AT40" i="1"/>
  <c r="N40" i="1"/>
  <c r="AD40" i="1"/>
  <c r="AW40" i="1"/>
  <c r="O40" i="1"/>
  <c r="AE40" i="1"/>
  <c r="AX40" i="1"/>
  <c r="P40" i="1"/>
  <c r="AG40" i="1"/>
  <c r="AY40" i="1"/>
  <c r="Q40" i="1"/>
  <c r="AK40" i="1"/>
  <c r="AZ40" i="1"/>
  <c r="R40" i="1"/>
  <c r="AL40" i="1"/>
  <c r="BA40" i="1"/>
  <c r="S40" i="1"/>
  <c r="AM40" i="1"/>
  <c r="BB40" i="1"/>
  <c r="X40" i="1"/>
  <c r="AN40" i="1"/>
  <c r="BC40" i="1"/>
  <c r="Y40" i="1"/>
  <c r="AO40" i="1"/>
  <c r="BE40" i="1"/>
  <c r="Z40" i="1"/>
  <c r="AP40" i="1"/>
  <c r="BF40" i="1"/>
  <c r="S28" i="1"/>
  <c r="AI28" i="1"/>
  <c r="BC28" i="1"/>
  <c r="T28" i="1"/>
  <c r="AJ28" i="1"/>
  <c r="BD28" i="1"/>
  <c r="U28" i="1"/>
  <c r="AO28" i="1"/>
  <c r="BE28" i="1"/>
  <c r="V28" i="1"/>
  <c r="AP28" i="1"/>
  <c r="BF28" i="1"/>
  <c r="W28" i="1"/>
  <c r="AQ28" i="1"/>
  <c r="BG28" i="1"/>
  <c r="AB28" i="1"/>
  <c r="AR28" i="1"/>
  <c r="BH28" i="1"/>
  <c r="AC28" i="1"/>
  <c r="AS28" i="1"/>
  <c r="BI28" i="1"/>
  <c r="AD28" i="1"/>
  <c r="AT28" i="1"/>
  <c r="N28" i="1"/>
  <c r="AE28" i="1"/>
  <c r="AU28" i="1"/>
  <c r="P28" i="1"/>
  <c r="AF28" i="1"/>
  <c r="AV28" i="1"/>
  <c r="Q28" i="1"/>
  <c r="AG28" i="1"/>
  <c r="AW28" i="1"/>
  <c r="R28" i="1"/>
  <c r="AH28" i="1"/>
  <c r="BB28" i="1"/>
  <c r="K28" i="1"/>
  <c r="AE16" i="1"/>
  <c r="AU16" i="1"/>
  <c r="O16" i="1"/>
  <c r="AF16" i="1"/>
  <c r="AV16" i="1"/>
  <c r="P16" i="1"/>
  <c r="AG16" i="1"/>
  <c r="AW16" i="1"/>
  <c r="Q16" i="1"/>
  <c r="AH16" i="1"/>
  <c r="AX16" i="1"/>
  <c r="S16" i="1"/>
  <c r="AI16" i="1"/>
  <c r="BC16" i="1"/>
  <c r="T16" i="1"/>
  <c r="AJ16" i="1"/>
  <c r="BD16" i="1"/>
  <c r="U16" i="1"/>
  <c r="AK16" i="1"/>
  <c r="BE16" i="1"/>
  <c r="V16" i="1"/>
  <c r="AO16" i="1"/>
  <c r="BF16" i="1"/>
  <c r="W16" i="1"/>
  <c r="AQ16" i="1"/>
  <c r="BG16" i="1"/>
  <c r="X16" i="1"/>
  <c r="AR16" i="1"/>
  <c r="BH16" i="1"/>
  <c r="AB16" i="1"/>
  <c r="AS16" i="1"/>
  <c r="BI16" i="1"/>
  <c r="AC16" i="1"/>
  <c r="AT16" i="1"/>
  <c r="U4" i="1"/>
  <c r="AL4" i="1"/>
  <c r="BE4" i="1"/>
  <c r="R4" i="1"/>
  <c r="V4" i="1"/>
  <c r="AM4" i="1"/>
  <c r="BF4" i="1"/>
  <c r="X4" i="1"/>
  <c r="AN4" i="1"/>
  <c r="BH4" i="1"/>
  <c r="L4" i="1"/>
  <c r="Q4" i="1"/>
  <c r="Y4" i="1"/>
  <c r="AR4" i="1"/>
  <c r="BI4" i="1"/>
  <c r="Z4" i="1"/>
  <c r="AS4" i="1"/>
  <c r="AA4" i="1"/>
  <c r="AT4" i="1"/>
  <c r="AE4" i="1"/>
  <c r="AV4" i="1"/>
  <c r="AF4" i="1"/>
  <c r="AW4" i="1"/>
  <c r="AG4" i="1"/>
  <c r="AX4" i="1"/>
  <c r="P4" i="1"/>
  <c r="AH4" i="1"/>
  <c r="AY4" i="1"/>
  <c r="S4" i="1"/>
  <c r="AJ4" i="1"/>
  <c r="AZ4" i="1"/>
  <c r="T4" i="1"/>
  <c r="AK4" i="1"/>
  <c r="BA4" i="1"/>
  <c r="I40" i="1"/>
  <c r="J52" i="1"/>
  <c r="AU3" i="1"/>
  <c r="H53" i="1"/>
  <c r="J42" i="1"/>
  <c r="J5" i="1"/>
  <c r="AM3" i="1"/>
  <c r="AY45" i="1"/>
  <c r="AZ45" i="1"/>
  <c r="BA45" i="1"/>
  <c r="BB45" i="1"/>
  <c r="O45" i="1"/>
  <c r="Q45" i="1"/>
  <c r="R45" i="1"/>
  <c r="S45" i="1"/>
  <c r="AU45" i="1"/>
  <c r="AX45" i="1"/>
  <c r="S20" i="1"/>
  <c r="AU20" i="1"/>
  <c r="W20" i="1"/>
  <c r="AV20" i="1"/>
  <c r="X20" i="1"/>
  <c r="AW20" i="1"/>
  <c r="Y20" i="1"/>
  <c r="AX20" i="1"/>
  <c r="Z20" i="1"/>
  <c r="BD20" i="1"/>
  <c r="AE20" i="1"/>
  <c r="BF20" i="1"/>
  <c r="AF20" i="1"/>
  <c r="BG20" i="1"/>
  <c r="AI20" i="1"/>
  <c r="BH20" i="1"/>
  <c r="AJ20" i="1"/>
  <c r="BI20" i="1"/>
  <c r="AK20" i="1"/>
  <c r="M20" i="1"/>
  <c r="AL20" i="1"/>
  <c r="N20" i="1"/>
  <c r="AT20" i="1"/>
  <c r="L19" i="1"/>
  <c r="AO19" i="1"/>
  <c r="M19" i="1"/>
  <c r="AP19" i="1"/>
  <c r="O19" i="1"/>
  <c r="AQ19" i="1"/>
  <c r="AC19" i="1"/>
  <c r="P19" i="1"/>
  <c r="AR19" i="1"/>
  <c r="Q19" i="1"/>
  <c r="AS19" i="1"/>
  <c r="T19" i="1"/>
  <c r="BB19" i="1"/>
  <c r="U19" i="1"/>
  <c r="BD19" i="1"/>
  <c r="Y19" i="1"/>
  <c r="BE19" i="1"/>
  <c r="AA19" i="1"/>
  <c r="BH19" i="1"/>
  <c r="AE19" i="1"/>
  <c r="BI19" i="1"/>
  <c r="AF19" i="1"/>
  <c r="AM19" i="1"/>
  <c r="U29" i="1"/>
  <c r="AL29" i="1"/>
  <c r="BE29" i="1"/>
  <c r="V29" i="1"/>
  <c r="AM29" i="1"/>
  <c r="BF29" i="1"/>
  <c r="W29" i="1"/>
  <c r="AQ29" i="1"/>
  <c r="BG29" i="1"/>
  <c r="X29" i="1"/>
  <c r="AR29" i="1"/>
  <c r="BH29" i="1"/>
  <c r="Z29" i="1"/>
  <c r="AS29" i="1"/>
  <c r="AD29" i="1"/>
  <c r="AT29" i="1"/>
  <c r="AE29" i="1"/>
  <c r="AU29" i="1"/>
  <c r="L29" i="1"/>
  <c r="AF29" i="1"/>
  <c r="AV29" i="1"/>
  <c r="Q29" i="1"/>
  <c r="AG29" i="1"/>
  <c r="AX29" i="1"/>
  <c r="R29" i="1"/>
  <c r="AH29" i="1"/>
  <c r="AY29" i="1"/>
  <c r="S29" i="1"/>
  <c r="AI29" i="1"/>
  <c r="AZ29" i="1"/>
  <c r="T29" i="1"/>
  <c r="AJ29" i="1"/>
  <c r="BD29" i="1"/>
  <c r="J53" i="1"/>
  <c r="H52" i="1"/>
  <c r="H16" i="1"/>
  <c r="I29" i="1"/>
  <c r="J4" i="1"/>
  <c r="M3" i="1"/>
  <c r="AL3" i="1"/>
  <c r="U33" i="1"/>
  <c r="X33" i="1"/>
  <c r="Y33" i="1"/>
  <c r="AO33" i="1"/>
  <c r="AP33" i="1"/>
  <c r="AZ33" i="1"/>
  <c r="BC33" i="1"/>
  <c r="AA33" i="1"/>
  <c r="T44" i="1"/>
  <c r="AS44" i="1"/>
  <c r="U44" i="1"/>
  <c r="AT44" i="1"/>
  <c r="V44" i="1"/>
  <c r="AY44" i="1"/>
  <c r="AA44" i="1"/>
  <c r="BD44" i="1"/>
  <c r="AB44" i="1"/>
  <c r="BE44" i="1"/>
  <c r="AG44" i="1"/>
  <c r="BF44" i="1"/>
  <c r="AH44" i="1"/>
  <c r="AM44" i="1"/>
  <c r="O44" i="1"/>
  <c r="AN44" i="1"/>
  <c r="P44" i="1"/>
  <c r="AP44" i="1"/>
  <c r="W44" i="1"/>
  <c r="R44" i="1"/>
  <c r="AQ44" i="1"/>
  <c r="S44" i="1"/>
  <c r="AR44" i="1"/>
  <c r="Z30" i="1"/>
  <c r="AX30" i="1"/>
  <c r="AD30" i="1"/>
  <c r="AY30" i="1"/>
  <c r="AE30" i="1"/>
  <c r="BA30" i="1"/>
  <c r="AG30" i="1"/>
  <c r="BB30" i="1"/>
  <c r="AC30" i="1"/>
  <c r="N30" i="1"/>
  <c r="AH30" i="1"/>
  <c r="BC30" i="1"/>
  <c r="O30" i="1"/>
  <c r="AI30" i="1"/>
  <c r="BD30" i="1"/>
  <c r="R30" i="1"/>
  <c r="AL30" i="1"/>
  <c r="BE30" i="1"/>
  <c r="S30" i="1"/>
  <c r="AM30" i="1"/>
  <c r="T30" i="1"/>
  <c r="AO30" i="1"/>
  <c r="U30" i="1"/>
  <c r="AP30" i="1"/>
  <c r="V30" i="1"/>
  <c r="AS30" i="1"/>
  <c r="W30" i="1"/>
  <c r="AT30" i="1"/>
  <c r="M17" i="1"/>
  <c r="AG17" i="1"/>
  <c r="AW17" i="1"/>
  <c r="R17" i="1"/>
  <c r="AH17" i="1"/>
  <c r="AX17" i="1"/>
  <c r="S17" i="1"/>
  <c r="AI17" i="1"/>
  <c r="AY17" i="1"/>
  <c r="T17" i="1"/>
  <c r="AJ17" i="1"/>
  <c r="BA17" i="1"/>
  <c r="U17" i="1"/>
  <c r="AK17" i="1"/>
  <c r="BE17" i="1"/>
  <c r="V17" i="1"/>
  <c r="AL17" i="1"/>
  <c r="BF17" i="1"/>
  <c r="W17" i="1"/>
  <c r="AM17" i="1"/>
  <c r="BG17" i="1"/>
  <c r="X17" i="1"/>
  <c r="AR17" i="1"/>
  <c r="BH17" i="1"/>
  <c r="Y17" i="1"/>
  <c r="AS17" i="1"/>
  <c r="BI17" i="1"/>
  <c r="K17" i="1"/>
  <c r="Z17" i="1"/>
  <c r="AT17" i="1"/>
  <c r="AE17" i="1"/>
  <c r="AU17" i="1"/>
  <c r="L17" i="1"/>
  <c r="AF17" i="1"/>
  <c r="AV17" i="1"/>
  <c r="I41" i="1"/>
  <c r="H45" i="1"/>
  <c r="I28" i="1"/>
  <c r="J32" i="1"/>
  <c r="BI3" i="1"/>
  <c r="AK3" i="1"/>
  <c r="X43" i="1"/>
  <c r="AT43" i="1"/>
  <c r="AA43" i="1"/>
  <c r="AU43" i="1"/>
  <c r="AB43" i="1"/>
  <c r="AV43" i="1"/>
  <c r="AD43" i="1"/>
  <c r="AY43" i="1"/>
  <c r="AE43" i="1"/>
  <c r="BD43" i="1"/>
  <c r="AF43" i="1"/>
  <c r="BE43" i="1"/>
  <c r="U43" i="1"/>
  <c r="AG43" i="1"/>
  <c r="BF43" i="1"/>
  <c r="L43" i="1"/>
  <c r="AH43" i="1"/>
  <c r="BH43" i="1"/>
  <c r="O43" i="1"/>
  <c r="AP43" i="1"/>
  <c r="R43" i="1"/>
  <c r="AQ43" i="1"/>
  <c r="S43" i="1"/>
  <c r="AR43" i="1"/>
  <c r="W43" i="1"/>
  <c r="AS43" i="1"/>
  <c r="AJ7" i="1"/>
  <c r="AN7" i="1"/>
  <c r="AO7" i="1"/>
  <c r="AP7" i="1"/>
  <c r="AV7" i="1"/>
  <c r="AZ7" i="1"/>
  <c r="BB7" i="1"/>
  <c r="P7" i="1"/>
  <c r="BD7" i="1"/>
  <c r="U7" i="1"/>
  <c r="BE7" i="1"/>
  <c r="K7" i="1"/>
  <c r="X7" i="1"/>
  <c r="Y7" i="1"/>
  <c r="AA7" i="1"/>
  <c r="AE7" i="1"/>
  <c r="I44" i="1"/>
  <c r="W54" i="1"/>
  <c r="AL54" i="1"/>
  <c r="BD54" i="1"/>
  <c r="X54" i="1"/>
  <c r="AO54" i="1"/>
  <c r="BE54" i="1"/>
  <c r="Y54" i="1"/>
  <c r="AP54" i="1"/>
  <c r="BF54" i="1"/>
  <c r="Z54" i="1"/>
  <c r="AR54" i="1"/>
  <c r="BG54" i="1"/>
  <c r="L54" i="1"/>
  <c r="AC54" i="1"/>
  <c r="AS54" i="1"/>
  <c r="BH54" i="1"/>
  <c r="M54" i="1"/>
  <c r="AD54" i="1"/>
  <c r="AT54" i="1"/>
  <c r="BI54" i="1"/>
  <c r="N54" i="1"/>
  <c r="AF54" i="1"/>
  <c r="AU54" i="1"/>
  <c r="O54" i="1"/>
  <c r="Q54" i="1"/>
  <c r="AG54" i="1"/>
  <c r="AV54" i="1"/>
  <c r="R54" i="1"/>
  <c r="AH54" i="1"/>
  <c r="AW54" i="1"/>
  <c r="T54" i="1"/>
  <c r="AI54" i="1"/>
  <c r="AX54" i="1"/>
  <c r="U54" i="1"/>
  <c r="AJ54" i="1"/>
  <c r="BA54" i="1"/>
  <c r="V54" i="1"/>
  <c r="AK54" i="1"/>
  <c r="BB54" i="1"/>
  <c r="X5" i="1"/>
  <c r="AO5" i="1"/>
  <c r="Y5" i="1"/>
  <c r="AU5" i="1"/>
  <c r="AA5" i="1"/>
  <c r="AV5" i="1"/>
  <c r="AB5" i="1"/>
  <c r="AW5" i="1"/>
  <c r="L5" i="1"/>
  <c r="AC5" i="1"/>
  <c r="AX5" i="1"/>
  <c r="M5" i="1"/>
  <c r="AH5" i="1"/>
  <c r="AY5" i="1"/>
  <c r="N5" i="1"/>
  <c r="AI5" i="1"/>
  <c r="AZ5" i="1"/>
  <c r="O5" i="1"/>
  <c r="AJ5" i="1"/>
  <c r="BA5" i="1"/>
  <c r="P5" i="1"/>
  <c r="AK5" i="1"/>
  <c r="BB5" i="1"/>
  <c r="T5" i="1"/>
  <c r="AL5" i="1"/>
  <c r="BC5" i="1"/>
  <c r="V5" i="1"/>
  <c r="AM5" i="1"/>
  <c r="BH5" i="1"/>
  <c r="W5" i="1"/>
  <c r="AN5" i="1"/>
  <c r="BI5" i="1"/>
  <c r="K19" i="1"/>
  <c r="AF24" i="1"/>
  <c r="AG24" i="1"/>
  <c r="AH24" i="1"/>
  <c r="H44" i="1"/>
  <c r="H8" i="1"/>
  <c r="I21" i="1"/>
  <c r="J30" i="1"/>
  <c r="BH3" i="1"/>
  <c r="AI3" i="1"/>
  <c r="AX57" i="1"/>
  <c r="AY57" i="1"/>
  <c r="AZ57" i="1"/>
  <c r="BH57" i="1"/>
  <c r="L57" i="1"/>
  <c r="P57" i="1"/>
  <c r="Q57" i="1"/>
  <c r="AJ57" i="1"/>
  <c r="AQ57" i="1"/>
  <c r="AV57" i="1"/>
  <c r="AF9" i="1"/>
  <c r="Q9" i="1"/>
  <c r="Y9" i="1"/>
  <c r="AB9" i="1"/>
  <c r="AC9" i="1"/>
  <c r="AN9" i="1"/>
  <c r="S56" i="1"/>
  <c r="AW56" i="1"/>
  <c r="Y56" i="1"/>
  <c r="AX56" i="1"/>
  <c r="Z56" i="1"/>
  <c r="BB56" i="1"/>
  <c r="AB56" i="1"/>
  <c r="BC56" i="1"/>
  <c r="AE56" i="1"/>
  <c r="BD56" i="1"/>
  <c r="AF56" i="1"/>
  <c r="BI56" i="1"/>
  <c r="AK56" i="1"/>
  <c r="M56" i="1"/>
  <c r="AL56" i="1"/>
  <c r="N56" i="1"/>
  <c r="AN56" i="1"/>
  <c r="P56" i="1"/>
  <c r="AO56" i="1"/>
  <c r="Q56" i="1"/>
  <c r="AQ56" i="1"/>
  <c r="U56" i="1"/>
  <c r="R56" i="1"/>
  <c r="AR56" i="1"/>
  <c r="S6" i="1"/>
  <c r="T6" i="1"/>
  <c r="BA6" i="1"/>
  <c r="W6" i="1"/>
  <c r="BB6" i="1"/>
  <c r="Q6" i="1"/>
  <c r="Z6" i="1"/>
  <c r="BC6" i="1"/>
  <c r="AA6" i="1"/>
  <c r="BD6" i="1"/>
  <c r="AC6" i="1"/>
  <c r="BE6" i="1"/>
  <c r="AF6" i="1"/>
  <c r="BG6" i="1"/>
  <c r="AG6" i="1"/>
  <c r="K6" i="1"/>
  <c r="AI6" i="1"/>
  <c r="AL6" i="1"/>
  <c r="AO6" i="1"/>
  <c r="AR6" i="1"/>
  <c r="AX6" i="1"/>
  <c r="I42" i="1"/>
  <c r="AI47" i="1"/>
  <c r="AL47" i="1"/>
  <c r="AM47" i="1"/>
  <c r="BF47" i="1"/>
  <c r="AQ35" i="1"/>
  <c r="N35" i="1"/>
  <c r="L35" i="1"/>
  <c r="M35" i="1"/>
  <c r="BA23" i="1"/>
  <c r="BD23" i="1"/>
  <c r="H41" i="1"/>
  <c r="H7" i="1"/>
  <c r="I20" i="1"/>
  <c r="J29" i="1"/>
  <c r="K52" i="1"/>
  <c r="BG3" i="1"/>
  <c r="AJ32" i="1"/>
  <c r="AO32" i="1"/>
  <c r="Q32" i="1"/>
  <c r="AP32" i="1"/>
  <c r="R32" i="1"/>
  <c r="AR32" i="1"/>
  <c r="T32" i="1"/>
  <c r="AS32" i="1"/>
  <c r="U32" i="1"/>
  <c r="AT32" i="1"/>
  <c r="M32" i="1"/>
  <c r="V32" i="1"/>
  <c r="BA32" i="1"/>
  <c r="W32" i="1"/>
  <c r="BB32" i="1"/>
  <c r="AD32" i="1"/>
  <c r="BE32" i="1"/>
  <c r="AF32" i="1"/>
  <c r="BF32" i="1"/>
  <c r="AG32" i="1"/>
  <c r="BG32" i="1"/>
  <c r="AI32" i="1"/>
  <c r="BH32" i="1"/>
  <c r="U8" i="1"/>
  <c r="AU8" i="1"/>
  <c r="V8" i="1"/>
  <c r="AV8" i="1"/>
  <c r="W8" i="1"/>
  <c r="BA8" i="1"/>
  <c r="AC8" i="1"/>
  <c r="BE8" i="1"/>
  <c r="M8" i="1"/>
  <c r="AD8" i="1"/>
  <c r="BF8" i="1"/>
  <c r="AH8" i="1"/>
  <c r="BG8" i="1"/>
  <c r="AI8" i="1"/>
  <c r="BH8" i="1"/>
  <c r="AJ8" i="1"/>
  <c r="L8" i="1"/>
  <c r="AO8" i="1"/>
  <c r="Q8" i="1"/>
  <c r="AP8" i="1"/>
  <c r="R8" i="1"/>
  <c r="AR8" i="1"/>
  <c r="T8" i="1"/>
  <c r="AS8" i="1"/>
  <c r="X31" i="1"/>
  <c r="BA31" i="1"/>
  <c r="AB31" i="1"/>
  <c r="BB31" i="1"/>
  <c r="AC31" i="1"/>
  <c r="AF31" i="1"/>
  <c r="AG31" i="1"/>
  <c r="AN31" i="1"/>
  <c r="AQ31" i="1"/>
  <c r="L31" i="1"/>
  <c r="AR31" i="1"/>
  <c r="M31" i="1"/>
  <c r="AV31" i="1"/>
  <c r="S31" i="1"/>
  <c r="AW31" i="1"/>
  <c r="T31" i="1"/>
  <c r="AY31" i="1"/>
  <c r="U31" i="1"/>
  <c r="AZ31" i="1"/>
  <c r="R18" i="1"/>
  <c r="AO18" i="1"/>
  <c r="S18" i="1"/>
  <c r="AQ18" i="1"/>
  <c r="U18" i="1"/>
  <c r="V18" i="1"/>
  <c r="AR18" i="1"/>
  <c r="W18" i="1"/>
  <c r="AS18" i="1"/>
  <c r="AA18" i="1"/>
  <c r="AT18" i="1"/>
  <c r="AC18" i="1"/>
  <c r="AU18" i="1"/>
  <c r="AD18" i="1"/>
  <c r="AX18" i="1"/>
  <c r="AE18" i="1"/>
  <c r="AY18" i="1"/>
  <c r="AF18" i="1"/>
  <c r="BC18" i="1"/>
  <c r="N18" i="1"/>
  <c r="AG18" i="1"/>
  <c r="BD18" i="1"/>
  <c r="O18" i="1"/>
  <c r="AH18" i="1"/>
  <c r="BF18" i="1"/>
  <c r="Q18" i="1"/>
  <c r="AM18" i="1"/>
  <c r="BG18" i="1"/>
  <c r="J54" i="1"/>
  <c r="AA53" i="1"/>
  <c r="AP53" i="1"/>
  <c r="BE53" i="1"/>
  <c r="L53" i="1"/>
  <c r="AB53" i="1"/>
  <c r="AQ53" i="1"/>
  <c r="BF53" i="1"/>
  <c r="N53" i="1"/>
  <c r="AC53" i="1"/>
  <c r="AR53" i="1"/>
  <c r="BG53" i="1"/>
  <c r="O53" i="1"/>
  <c r="AD53" i="1"/>
  <c r="AS53" i="1"/>
  <c r="BH53" i="1"/>
  <c r="P53" i="1"/>
  <c r="AE53" i="1"/>
  <c r="AT53" i="1"/>
  <c r="Q53" i="1"/>
  <c r="AF53" i="1"/>
  <c r="AU53" i="1"/>
  <c r="R53" i="1"/>
  <c r="AG53" i="1"/>
  <c r="AY53" i="1"/>
  <c r="S53" i="1"/>
  <c r="AH53" i="1"/>
  <c r="AZ53" i="1"/>
  <c r="T53" i="1"/>
  <c r="AL53" i="1"/>
  <c r="BA53" i="1"/>
  <c r="U53" i="1"/>
  <c r="AM53" i="1"/>
  <c r="BB53" i="1"/>
  <c r="X53" i="1"/>
  <c r="AN53" i="1"/>
  <c r="BC53" i="1"/>
  <c r="Z53" i="1"/>
  <c r="AO53" i="1"/>
  <c r="BD53" i="1"/>
  <c r="H20" i="1"/>
  <c r="V3" i="1"/>
  <c r="AH3" i="1"/>
  <c r="AT3" i="1"/>
  <c r="W3" i="1"/>
  <c r="X3" i="1"/>
  <c r="AJ3" i="1"/>
  <c r="Y3" i="1"/>
  <c r="L3" i="1"/>
  <c r="N3" i="1"/>
  <c r="Z3" i="1"/>
  <c r="J3" i="1"/>
  <c r="P3" i="1"/>
  <c r="AB3" i="1"/>
  <c r="AN3" i="1"/>
  <c r="AZ3" i="1"/>
  <c r="Q3" i="1"/>
  <c r="AC3" i="1"/>
  <c r="AO3" i="1"/>
  <c r="BA3" i="1"/>
  <c r="K3" i="1"/>
  <c r="R3" i="1"/>
  <c r="AD3" i="1"/>
  <c r="AP3" i="1"/>
  <c r="BB3" i="1"/>
  <c r="S3" i="1"/>
  <c r="AE3" i="1"/>
  <c r="AQ3" i="1"/>
  <c r="T3" i="1"/>
  <c r="AF3" i="1"/>
  <c r="AR3" i="1"/>
  <c r="BD3" i="1"/>
  <c r="U3" i="1"/>
  <c r="AG3" i="1"/>
  <c r="AS3" i="1"/>
  <c r="BE3" i="1"/>
  <c r="Z46" i="1"/>
  <c r="BH46" i="1"/>
  <c r="AY34" i="1"/>
  <c r="AZ34" i="1"/>
  <c r="BI34" i="1"/>
  <c r="H40" i="1"/>
  <c r="I3" i="1"/>
  <c r="I18" i="1"/>
  <c r="J28" i="1"/>
  <c r="K42" i="1"/>
  <c r="BF3" i="1"/>
  <c r="O3" i="1"/>
  <c r="O20" i="1"/>
  <c r="AE31" i="1"/>
  <c r="AK19" i="1"/>
  <c r="N51" i="1"/>
  <c r="AJ39" i="1"/>
  <c r="M27" i="1"/>
  <c r="K15" i="1"/>
  <c r="AB50" i="1"/>
  <c r="O26" i="1"/>
  <c r="AV49" i="1"/>
  <c r="X25" i="1"/>
  <c r="R13" i="1"/>
  <c r="AT24" i="1"/>
  <c r="AR12" i="1"/>
  <c r="P35" i="1"/>
  <c r="L23" i="1"/>
  <c r="V11" i="1"/>
  <c r="M34" i="1"/>
  <c r="O10" i="1"/>
  <c r="AR36" i="1"/>
  <c r="Q36" i="1"/>
  <c r="N36" i="1"/>
  <c r="AP36" i="1"/>
  <c r="BD38" i="1"/>
  <c r="AB38" i="1"/>
  <c r="T13" i="1"/>
  <c r="N48" i="1"/>
  <c r="Q48" i="1"/>
  <c r="AJ47" i="1"/>
  <c r="K47" i="1"/>
  <c r="AR23" i="1"/>
  <c r="Q11" i="1"/>
  <c r="Y46" i="1"/>
  <c r="AJ46" i="1"/>
  <c r="AK46" i="1"/>
  <c r="BI22" i="1"/>
  <c r="H22" i="1"/>
  <c r="W22" i="1"/>
  <c r="Y22" i="1"/>
  <c r="X22" i="1"/>
  <c r="BF46" i="1"/>
  <c r="T57" i="1"/>
  <c r="O57" i="1"/>
  <c r="AU57" i="1"/>
  <c r="AD57" i="1"/>
  <c r="AE57" i="1"/>
  <c r="AD45" i="1"/>
  <c r="AI45" i="1"/>
  <c r="I45" i="1"/>
  <c r="AJ45" i="1"/>
  <c r="AN33" i="1"/>
  <c r="Z33" i="1"/>
  <c r="AI33" i="1"/>
  <c r="AM33" i="1"/>
  <c r="Z9" i="1"/>
  <c r="AV9" i="1"/>
  <c r="J9" i="1"/>
  <c r="AW9" i="1"/>
  <c r="AX9" i="1"/>
  <c r="AM45" i="1"/>
  <c r="AB34" i="1"/>
  <c r="P33" i="1"/>
  <c r="AH10" i="1"/>
  <c r="AF57" i="1"/>
  <c r="AL45" i="1"/>
  <c r="S10" i="1"/>
  <c r="AE49" i="1"/>
  <c r="J24" i="1"/>
  <c r="J22" i="1"/>
  <c r="AB57" i="1"/>
  <c r="BA46" i="1"/>
  <c r="BC38" i="1"/>
  <c r="V22" i="1"/>
  <c r="P23" i="1"/>
  <c r="I57" i="1"/>
  <c r="S57" i="1"/>
  <c r="AY49" i="1"/>
  <c r="AL46" i="1"/>
  <c r="W45" i="1"/>
  <c r="M36" i="1"/>
  <c r="BG33" i="1"/>
  <c r="U22" i="1"/>
  <c r="P47" i="1"/>
  <c r="T12" i="1"/>
  <c r="M53" i="1"/>
  <c r="Y53" i="1"/>
  <c r="AK53" i="1"/>
  <c r="AW53" i="1"/>
  <c r="BI53" i="1"/>
  <c r="I53" i="1"/>
  <c r="V53" i="1"/>
  <c r="AI53" i="1"/>
  <c r="AV53" i="1"/>
  <c r="W53" i="1"/>
  <c r="AJ53" i="1"/>
  <c r="AX53" i="1"/>
  <c r="R41" i="1"/>
  <c r="AD41" i="1"/>
  <c r="AP41" i="1"/>
  <c r="BB41" i="1"/>
  <c r="W41" i="1"/>
  <c r="AJ41" i="1"/>
  <c r="AW41" i="1"/>
  <c r="X41" i="1"/>
  <c r="AK41" i="1"/>
  <c r="AX41" i="1"/>
  <c r="J41" i="1"/>
  <c r="M29" i="1"/>
  <c r="Y29" i="1"/>
  <c r="AK29" i="1"/>
  <c r="AW29" i="1"/>
  <c r="BI29" i="1"/>
  <c r="N29" i="1"/>
  <c r="AA29" i="1"/>
  <c r="AN29" i="1"/>
  <c r="BA29" i="1"/>
  <c r="AC29" i="1"/>
  <c r="BC29" i="1"/>
  <c r="O29" i="1"/>
  <c r="AB29" i="1"/>
  <c r="AO29" i="1"/>
  <c r="BB29" i="1"/>
  <c r="P29" i="1"/>
  <c r="AP29" i="1"/>
  <c r="P17" i="1"/>
  <c r="AB17" i="1"/>
  <c r="AN17" i="1"/>
  <c r="AZ17" i="1"/>
  <c r="N17" i="1"/>
  <c r="AA17" i="1"/>
  <c r="AO17" i="1"/>
  <c r="BB17" i="1"/>
  <c r="AD17" i="1"/>
  <c r="BD17" i="1"/>
  <c r="O17" i="1"/>
  <c r="AC17" i="1"/>
  <c r="AP17" i="1"/>
  <c r="BC17" i="1"/>
  <c r="I17" i="1"/>
  <c r="Q17" i="1"/>
  <c r="AQ17" i="1"/>
  <c r="U5" i="1"/>
  <c r="AG5" i="1"/>
  <c r="AS5" i="1"/>
  <c r="BE5" i="1"/>
  <c r="Q5" i="1"/>
  <c r="AD5" i="1"/>
  <c r="AQ5" i="1"/>
  <c r="BD5" i="1"/>
  <c r="H5" i="1"/>
  <c r="AF5" i="1"/>
  <c r="BG5" i="1"/>
  <c r="R5" i="1"/>
  <c r="AE5" i="1"/>
  <c r="AR5" i="1"/>
  <c r="BF5" i="1"/>
  <c r="S5" i="1"/>
  <c r="AT5" i="1"/>
  <c r="BH13" i="1"/>
  <c r="X13" i="1"/>
  <c r="AG34" i="1"/>
  <c r="AC34" i="1"/>
  <c r="AH34" i="1"/>
  <c r="AD34" i="1"/>
  <c r="AI10" i="1"/>
  <c r="J10" i="1"/>
  <c r="I10" i="1"/>
  <c r="AJ34" i="1"/>
  <c r="AM10" i="1"/>
  <c r="AR21" i="1"/>
  <c r="L21" i="1"/>
  <c r="H21" i="1"/>
  <c r="O21" i="1"/>
  <c r="X21" i="1"/>
  <c r="AA21" i="1"/>
  <c r="AI57" i="1"/>
  <c r="BE46" i="1"/>
  <c r="AX22" i="1"/>
  <c r="BB46" i="1"/>
  <c r="AD22" i="1"/>
  <c r="AF45" i="1"/>
  <c r="BH33" i="1"/>
  <c r="R10" i="1"/>
  <c r="R48" i="1"/>
  <c r="J57" i="1"/>
  <c r="R57" i="1"/>
  <c r="AA46" i="1"/>
  <c r="T45" i="1"/>
  <c r="AR35" i="1"/>
  <c r="BD33" i="1"/>
  <c r="BD21" i="1"/>
  <c r="AU9" i="1"/>
  <c r="AP5" i="1"/>
  <c r="Z5" i="1"/>
  <c r="U45" i="1"/>
  <c r="O52" i="1"/>
  <c r="AA52" i="1"/>
  <c r="AM52" i="1"/>
  <c r="AY52" i="1"/>
  <c r="T52" i="1"/>
  <c r="AG52" i="1"/>
  <c r="AT52" i="1"/>
  <c r="BG52" i="1"/>
  <c r="U52" i="1"/>
  <c r="AH52" i="1"/>
  <c r="AU52" i="1"/>
  <c r="BH52" i="1"/>
  <c r="I52" i="1"/>
  <c r="T40" i="1"/>
  <c r="AF40" i="1"/>
  <c r="AR40" i="1"/>
  <c r="BD40" i="1"/>
  <c r="U40" i="1"/>
  <c r="AH40" i="1"/>
  <c r="AU40" i="1"/>
  <c r="BH40" i="1"/>
  <c r="J40" i="1"/>
  <c r="W40" i="1"/>
  <c r="AJ40" i="1"/>
  <c r="V40" i="1"/>
  <c r="AI40" i="1"/>
  <c r="AV40" i="1"/>
  <c r="BI40" i="1"/>
  <c r="K40" i="1"/>
  <c r="O28" i="1"/>
  <c r="AA28" i="1"/>
  <c r="AM28" i="1"/>
  <c r="AY28" i="1"/>
  <c r="X28" i="1"/>
  <c r="AK28" i="1"/>
  <c r="AX28" i="1"/>
  <c r="Z28" i="1"/>
  <c r="BA28" i="1"/>
  <c r="L28" i="1"/>
  <c r="Y28" i="1"/>
  <c r="AL28" i="1"/>
  <c r="AZ28" i="1"/>
  <c r="H28" i="1"/>
  <c r="M28" i="1"/>
  <c r="AN28" i="1"/>
  <c r="R16" i="1"/>
  <c r="AD16" i="1"/>
  <c r="AP16" i="1"/>
  <c r="BB16" i="1"/>
  <c r="K16" i="1"/>
  <c r="J16" i="1"/>
  <c r="L16" i="1"/>
  <c r="Y16" i="1"/>
  <c r="AL16" i="1"/>
  <c r="AY16" i="1"/>
  <c r="I16" i="1"/>
  <c r="N16" i="1"/>
  <c r="AN16" i="1"/>
  <c r="BA16" i="1"/>
  <c r="M16" i="1"/>
  <c r="Z16" i="1"/>
  <c r="AM16" i="1"/>
  <c r="AZ16" i="1"/>
  <c r="AA16" i="1"/>
  <c r="W4" i="1"/>
  <c r="AI4" i="1"/>
  <c r="AU4" i="1"/>
  <c r="BG4" i="1"/>
  <c r="M4" i="1"/>
  <c r="AB4" i="1"/>
  <c r="AO4" i="1"/>
  <c r="BB4" i="1"/>
  <c r="AD4" i="1"/>
  <c r="BD4" i="1"/>
  <c r="N4" i="1"/>
  <c r="AC4" i="1"/>
  <c r="AP4" i="1"/>
  <c r="BC4" i="1"/>
  <c r="K4" i="1"/>
  <c r="O4" i="1"/>
  <c r="AQ4" i="1"/>
  <c r="T56" i="1"/>
  <c r="AP56" i="1"/>
  <c r="AE44" i="1"/>
  <c r="AZ44" i="1"/>
  <c r="L32" i="1"/>
  <c r="AH32" i="1"/>
  <c r="BD32" i="1"/>
  <c r="X8" i="1"/>
  <c r="AT8" i="1"/>
  <c r="BA56" i="1"/>
  <c r="AD56" i="1"/>
  <c r="BC44" i="1"/>
  <c r="AF44" i="1"/>
  <c r="AV32" i="1"/>
  <c r="AC32" i="1"/>
  <c r="AR20" i="1"/>
  <c r="V20" i="1"/>
  <c r="BD8" i="1"/>
  <c r="AG8" i="1"/>
  <c r="L55" i="1"/>
  <c r="AE55" i="1"/>
  <c r="AY55" i="1"/>
  <c r="H55" i="1"/>
  <c r="P43" i="1"/>
  <c r="AN43" i="1"/>
  <c r="BG43" i="1"/>
  <c r="S7" i="1"/>
  <c r="BA7" i="1"/>
  <c r="L20" i="1"/>
  <c r="AH20" i="1"/>
  <c r="BC20" i="1"/>
  <c r="K32" i="1"/>
  <c r="AZ56" i="1"/>
  <c r="AC56" i="1"/>
  <c r="BB44" i="1"/>
  <c r="AD44" i="1"/>
  <c r="AU32" i="1"/>
  <c r="X32" i="1"/>
  <c r="AQ20" i="1"/>
  <c r="T20" i="1"/>
  <c r="BB8" i="1"/>
  <c r="AF8" i="1"/>
  <c r="BC7" i="1"/>
  <c r="T7" i="1"/>
  <c r="AU6" i="1"/>
  <c r="V6" i="1"/>
  <c r="R6" i="1"/>
  <c r="AQ6" i="1"/>
  <c r="AP6" i="1"/>
  <c r="U6" i="1"/>
  <c r="I6" i="1"/>
  <c r="BF6" i="1"/>
  <c r="AM6" i="1"/>
  <c r="M13" i="1"/>
  <c r="AO38" i="1"/>
  <c r="K51" i="1"/>
  <c r="T49" i="1"/>
  <c r="AT37" i="1"/>
  <c r="L36" i="1"/>
  <c r="BB33" i="1"/>
  <c r="AL33" i="1"/>
  <c r="T33" i="1"/>
  <c r="AJ27" i="1"/>
  <c r="AW21" i="1"/>
  <c r="Z21" i="1"/>
  <c r="Z12" i="1"/>
  <c r="AS9" i="1"/>
  <c r="U9" i="1"/>
  <c r="U57" i="1"/>
  <c r="AM37" i="1"/>
  <c r="J56" i="1"/>
  <c r="K50" i="1"/>
  <c r="K20" i="1"/>
  <c r="AR57" i="1"/>
  <c r="AC57" i="1"/>
  <c r="N57" i="1"/>
  <c r="AY56" i="1"/>
  <c r="AM56" i="1"/>
  <c r="AA56" i="1"/>
  <c r="O56" i="1"/>
  <c r="S49" i="1"/>
  <c r="AK47" i="1"/>
  <c r="AV45" i="1"/>
  <c r="AE45" i="1"/>
  <c r="P45" i="1"/>
  <c r="BA44" i="1"/>
  <c r="AO44" i="1"/>
  <c r="AC44" i="1"/>
  <c r="Q44" i="1"/>
  <c r="AS37" i="1"/>
  <c r="BI35" i="1"/>
  <c r="BA33" i="1"/>
  <c r="AK33" i="1"/>
  <c r="Q33" i="1"/>
  <c r="BC32" i="1"/>
  <c r="AQ32" i="1"/>
  <c r="AE32" i="1"/>
  <c r="S32" i="1"/>
  <c r="BB26" i="1"/>
  <c r="BC23" i="1"/>
  <c r="AV21" i="1"/>
  <c r="Y21" i="1"/>
  <c r="BE20" i="1"/>
  <c r="AS20" i="1"/>
  <c r="AG20" i="1"/>
  <c r="U20" i="1"/>
  <c r="W12" i="1"/>
  <c r="AO9" i="1"/>
  <c r="T9" i="1"/>
  <c r="BC8" i="1"/>
  <c r="AQ8" i="1"/>
  <c r="AE8" i="1"/>
  <c r="S8" i="1"/>
  <c r="Y36" i="1"/>
  <c r="Z38" i="1"/>
  <c r="S39" i="1"/>
  <c r="BC37" i="1"/>
  <c r="AV48" i="1"/>
  <c r="V12" i="1"/>
  <c r="N45" i="1"/>
  <c r="W37" i="1"/>
  <c r="AG33" i="1"/>
  <c r="AK9" i="1"/>
  <c r="I39" i="1"/>
  <c r="K44" i="1"/>
  <c r="BD57" i="1"/>
  <c r="AO57" i="1"/>
  <c r="Z57" i="1"/>
  <c r="BH56" i="1"/>
  <c r="AV56" i="1"/>
  <c r="AJ56" i="1"/>
  <c r="X56" i="1"/>
  <c r="L56" i="1"/>
  <c r="AZ50" i="1"/>
  <c r="AL48" i="1"/>
  <c r="BH45" i="1"/>
  <c r="AQ45" i="1"/>
  <c r="AB45" i="1"/>
  <c r="L45" i="1"/>
  <c r="AX44" i="1"/>
  <c r="AL44" i="1"/>
  <c r="Z44" i="1"/>
  <c r="N44" i="1"/>
  <c r="V37" i="1"/>
  <c r="AI35" i="1"/>
  <c r="AX33" i="1"/>
  <c r="AD33" i="1"/>
  <c r="N33" i="1"/>
  <c r="AZ32" i="1"/>
  <c r="AN32" i="1"/>
  <c r="AB32" i="1"/>
  <c r="P32" i="1"/>
  <c r="N26" i="1"/>
  <c r="AN23" i="1"/>
  <c r="AN21" i="1"/>
  <c r="U21" i="1"/>
  <c r="BB20" i="1"/>
  <c r="AP20" i="1"/>
  <c r="AD20" i="1"/>
  <c r="R20" i="1"/>
  <c r="AQ11" i="1"/>
  <c r="BG9" i="1"/>
  <c r="AJ9" i="1"/>
  <c r="O9" i="1"/>
  <c r="AZ8" i="1"/>
  <c r="AN8" i="1"/>
  <c r="AB8" i="1"/>
  <c r="P8" i="1"/>
  <c r="N50" i="1"/>
  <c r="Q15" i="1"/>
  <c r="U49" i="1"/>
  <c r="K48" i="1"/>
  <c r="J25" i="1"/>
  <c r="AA57" i="1"/>
  <c r="AB51" i="1"/>
  <c r="AR45" i="1"/>
  <c r="H57" i="1"/>
  <c r="I38" i="1"/>
  <c r="I9" i="1"/>
  <c r="J45" i="1"/>
  <c r="J23" i="1"/>
  <c r="BC57" i="1"/>
  <c r="AN57" i="1"/>
  <c r="X57" i="1"/>
  <c r="BG56" i="1"/>
  <c r="AU56" i="1"/>
  <c r="AI56" i="1"/>
  <c r="W56" i="1"/>
  <c r="AX50" i="1"/>
  <c r="AK48" i="1"/>
  <c r="BG45" i="1"/>
  <c r="AP45" i="1"/>
  <c r="AA45" i="1"/>
  <c r="BI44" i="1"/>
  <c r="AW44" i="1"/>
  <c r="AK44" i="1"/>
  <c r="Y44" i="1"/>
  <c r="M44" i="1"/>
  <c r="BG39" i="1"/>
  <c r="AT36" i="1"/>
  <c r="AH35" i="1"/>
  <c r="AV33" i="1"/>
  <c r="AC33" i="1"/>
  <c r="M33" i="1"/>
  <c r="AY32" i="1"/>
  <c r="AM32" i="1"/>
  <c r="AA32" i="1"/>
  <c r="O32" i="1"/>
  <c r="AB25" i="1"/>
  <c r="S23" i="1"/>
  <c r="BH21" i="1"/>
  <c r="AM21" i="1"/>
  <c r="T21" i="1"/>
  <c r="BA20" i="1"/>
  <c r="AO20" i="1"/>
  <c r="AC20" i="1"/>
  <c r="Q20" i="1"/>
  <c r="AM15" i="1"/>
  <c r="AB11" i="1"/>
  <c r="BE9" i="1"/>
  <c r="AI9" i="1"/>
  <c r="N9" i="1"/>
  <c r="AY8" i="1"/>
  <c r="AM8" i="1"/>
  <c r="AA8" i="1"/>
  <c r="O8" i="1"/>
  <c r="AE26" i="1"/>
  <c r="BG57" i="1"/>
  <c r="O33" i="1"/>
  <c r="AO21" i="1"/>
  <c r="BI9" i="1"/>
  <c r="H56" i="1"/>
  <c r="I33" i="1"/>
  <c r="I8" i="1"/>
  <c r="J44" i="1"/>
  <c r="BB57" i="1"/>
  <c r="AM57" i="1"/>
  <c r="W57" i="1"/>
  <c r="BF56" i="1"/>
  <c r="AT56" i="1"/>
  <c r="AH56" i="1"/>
  <c r="V56" i="1"/>
  <c r="AC50" i="1"/>
  <c r="T48" i="1"/>
  <c r="BD45" i="1"/>
  <c r="AO45" i="1"/>
  <c r="Z45" i="1"/>
  <c r="BH44" i="1"/>
  <c r="AV44" i="1"/>
  <c r="AJ44" i="1"/>
  <c r="X44" i="1"/>
  <c r="L44" i="1"/>
  <c r="AS36" i="1"/>
  <c r="AF35" i="1"/>
  <c r="AU33" i="1"/>
  <c r="AB33" i="1"/>
  <c r="L33" i="1"/>
  <c r="AX32" i="1"/>
  <c r="AL32" i="1"/>
  <c r="Z32" i="1"/>
  <c r="N32" i="1"/>
  <c r="Y25" i="1"/>
  <c r="Q23" i="1"/>
  <c r="BG21" i="1"/>
  <c r="AL21" i="1"/>
  <c r="P21" i="1"/>
  <c r="AZ20" i="1"/>
  <c r="AN20" i="1"/>
  <c r="AB20" i="1"/>
  <c r="P20" i="1"/>
  <c r="BI13" i="1"/>
  <c r="Y11" i="1"/>
  <c r="AZ9" i="1"/>
  <c r="AG9" i="1"/>
  <c r="M9" i="1"/>
  <c r="AX8" i="1"/>
  <c r="AL8" i="1"/>
  <c r="Z8" i="1"/>
  <c r="N8" i="1"/>
  <c r="V48" i="1"/>
  <c r="AI23" i="1"/>
  <c r="AX51" i="1"/>
  <c r="BA26" i="1"/>
  <c r="AP57" i="1"/>
  <c r="AU48" i="1"/>
  <c r="AC45" i="1"/>
  <c r="AY33" i="1"/>
  <c r="W21" i="1"/>
  <c r="P9" i="1"/>
  <c r="H23" i="1"/>
  <c r="I56" i="1"/>
  <c r="I32" i="1"/>
  <c r="J21" i="1"/>
  <c r="K56" i="1"/>
  <c r="K8" i="1"/>
  <c r="BA57" i="1"/>
  <c r="AL57" i="1"/>
  <c r="BE56" i="1"/>
  <c r="AS56" i="1"/>
  <c r="AG56" i="1"/>
  <c r="BC45" i="1"/>
  <c r="AN45" i="1"/>
  <c r="X45" i="1"/>
  <c r="BG44" i="1"/>
  <c r="AU44" i="1"/>
  <c r="AI44" i="1"/>
  <c r="AQ33" i="1"/>
  <c r="BI32" i="1"/>
  <c r="AW32" i="1"/>
  <c r="AK32" i="1"/>
  <c r="Y32" i="1"/>
  <c r="BE21" i="1"/>
  <c r="AK21" i="1"/>
  <c r="AY20" i="1"/>
  <c r="AM20" i="1"/>
  <c r="AA20" i="1"/>
  <c r="AY9" i="1"/>
  <c r="BI8" i="1"/>
  <c r="AW8" i="1"/>
  <c r="AK8" i="1"/>
  <c r="Y8" i="1"/>
  <c r="T14" i="1"/>
  <c r="AF14" i="1"/>
  <c r="AR14" i="1"/>
  <c r="BD14" i="1"/>
  <c r="U14" i="1"/>
  <c r="AG14" i="1"/>
  <c r="AS14" i="1"/>
  <c r="BE14" i="1"/>
  <c r="L14" i="1"/>
  <c r="X14" i="1"/>
  <c r="AJ14" i="1"/>
  <c r="AV14" i="1"/>
  <c r="BH14" i="1"/>
  <c r="M14" i="1"/>
  <c r="AB14" i="1"/>
  <c r="AQ14" i="1"/>
  <c r="BI14" i="1"/>
  <c r="H14" i="1"/>
  <c r="AD14" i="1"/>
  <c r="N14" i="1"/>
  <c r="AC14" i="1"/>
  <c r="AT14" i="1"/>
  <c r="O14" i="1"/>
  <c r="AU14" i="1"/>
  <c r="Q14" i="1"/>
  <c r="AH14" i="1"/>
  <c r="AX14" i="1"/>
  <c r="Y14" i="1"/>
  <c r="AY14" i="1"/>
  <c r="BC14" i="1"/>
  <c r="Z14" i="1"/>
  <c r="AZ14" i="1"/>
  <c r="AE14" i="1"/>
  <c r="K14" i="1"/>
  <c r="AI14" i="1"/>
  <c r="AA14" i="1"/>
  <c r="BA14" i="1"/>
  <c r="BB14" i="1"/>
  <c r="Z51" i="1"/>
  <c r="Z50" i="1"/>
  <c r="BC39" i="1"/>
  <c r="BB38" i="1"/>
  <c r="AP26" i="1"/>
  <c r="AK15" i="1"/>
  <c r="V25" i="1"/>
  <c r="AH25" i="1"/>
  <c r="AT25" i="1"/>
  <c r="BF25" i="1"/>
  <c r="W25" i="1"/>
  <c r="AI25" i="1"/>
  <c r="AU25" i="1"/>
  <c r="BG25" i="1"/>
  <c r="N25" i="1"/>
  <c r="Z25" i="1"/>
  <c r="AL25" i="1"/>
  <c r="AX25" i="1"/>
  <c r="T25" i="1"/>
  <c r="AK25" i="1"/>
  <c r="BA25" i="1"/>
  <c r="U25" i="1"/>
  <c r="AM25" i="1"/>
  <c r="BB25" i="1"/>
  <c r="AA25" i="1"/>
  <c r="AP25" i="1"/>
  <c r="BE25" i="1"/>
  <c r="K25" i="1"/>
  <c r="AD25" i="1"/>
  <c r="AY25" i="1"/>
  <c r="AG25" i="1"/>
  <c r="P25" i="1"/>
  <c r="L25" i="1"/>
  <c r="AE25" i="1"/>
  <c r="AZ25" i="1"/>
  <c r="H25" i="1"/>
  <c r="O25" i="1"/>
  <c r="BH25" i="1"/>
  <c r="M25" i="1"/>
  <c r="AF25" i="1"/>
  <c r="BC25" i="1"/>
  <c r="BD25" i="1"/>
  <c r="AJ25" i="1"/>
  <c r="AT50" i="1"/>
  <c r="R49" i="1"/>
  <c r="BB39" i="1"/>
  <c r="V38" i="1"/>
  <c r="AB27" i="1"/>
  <c r="S25" i="1"/>
  <c r="AJ15" i="1"/>
  <c r="L24" i="1"/>
  <c r="X24" i="1"/>
  <c r="AJ24" i="1"/>
  <c r="AV24" i="1"/>
  <c r="BH24" i="1"/>
  <c r="M24" i="1"/>
  <c r="Y24" i="1"/>
  <c r="AK24" i="1"/>
  <c r="AW24" i="1"/>
  <c r="BI24" i="1"/>
  <c r="P24" i="1"/>
  <c r="AB24" i="1"/>
  <c r="AN24" i="1"/>
  <c r="AZ24" i="1"/>
  <c r="V24" i="1"/>
  <c r="AM24" i="1"/>
  <c r="BC24" i="1"/>
  <c r="W24" i="1"/>
  <c r="AO24" i="1"/>
  <c r="BD24" i="1"/>
  <c r="AC24" i="1"/>
  <c r="AR24" i="1"/>
  <c r="BG24" i="1"/>
  <c r="Q24" i="1"/>
  <c r="AI24" i="1"/>
  <c r="BF24" i="1"/>
  <c r="H24" i="1"/>
  <c r="T24" i="1"/>
  <c r="R24" i="1"/>
  <c r="AL24" i="1"/>
  <c r="AS24" i="1"/>
  <c r="S24" i="1"/>
  <c r="AP24" i="1"/>
  <c r="AQ24" i="1"/>
  <c r="U24" i="1"/>
  <c r="I15" i="1"/>
  <c r="Q51" i="1"/>
  <c r="AS49" i="1"/>
  <c r="AR38" i="1"/>
  <c r="L37" i="1"/>
  <c r="AA27" i="1"/>
  <c r="R25" i="1"/>
  <c r="AI15" i="1"/>
  <c r="AM14" i="1"/>
  <c r="O12" i="1"/>
  <c r="Q47" i="1"/>
  <c r="AC47" i="1"/>
  <c r="AO47" i="1"/>
  <c r="BA47" i="1"/>
  <c r="R47" i="1"/>
  <c r="AD47" i="1"/>
  <c r="AP47" i="1"/>
  <c r="BB47" i="1"/>
  <c r="U47" i="1"/>
  <c r="AG47" i="1"/>
  <c r="AS47" i="1"/>
  <c r="BE47" i="1"/>
  <c r="I47" i="1"/>
  <c r="Z47" i="1"/>
  <c r="AQ47" i="1"/>
  <c r="BG47" i="1"/>
  <c r="J47" i="1"/>
  <c r="AB47" i="1"/>
  <c r="N47" i="1"/>
  <c r="AU47" i="1"/>
  <c r="AV47" i="1"/>
  <c r="L47" i="1"/>
  <c r="AA47" i="1"/>
  <c r="AR47" i="1"/>
  <c r="BH47" i="1"/>
  <c r="AT47" i="1"/>
  <c r="BI47" i="1"/>
  <c r="AE47" i="1"/>
  <c r="AF47" i="1"/>
  <c r="M47" i="1"/>
  <c r="O47" i="1"/>
  <c r="N11" i="1"/>
  <c r="Z11" i="1"/>
  <c r="AL11" i="1"/>
  <c r="AX11" i="1"/>
  <c r="O11" i="1"/>
  <c r="AA11" i="1"/>
  <c r="AM11" i="1"/>
  <c r="AY11" i="1"/>
  <c r="R11" i="1"/>
  <c r="AD11" i="1"/>
  <c r="AP11" i="1"/>
  <c r="BB11" i="1"/>
  <c r="S11" i="1"/>
  <c r="AH11" i="1"/>
  <c r="AW11" i="1"/>
  <c r="U11" i="1"/>
  <c r="BA11" i="1"/>
  <c r="T11" i="1"/>
  <c r="AI11" i="1"/>
  <c r="AZ11" i="1"/>
  <c r="AJ11" i="1"/>
  <c r="W11" i="1"/>
  <c r="AN11" i="1"/>
  <c r="BD11" i="1"/>
  <c r="I11" i="1"/>
  <c r="X11" i="1"/>
  <c r="AO11" i="1"/>
  <c r="AC11" i="1"/>
  <c r="BE11" i="1"/>
  <c r="AG11" i="1"/>
  <c r="AE11" i="1"/>
  <c r="BF11" i="1"/>
  <c r="K11" i="1"/>
  <c r="H11" i="1"/>
  <c r="BH11" i="1"/>
  <c r="BI11" i="1"/>
  <c r="AF11" i="1"/>
  <c r="BG11" i="1"/>
  <c r="AK11" i="1"/>
  <c r="H36" i="1"/>
  <c r="J36" i="1"/>
  <c r="AP51" i="1"/>
  <c r="Q50" i="1"/>
  <c r="BD47" i="1"/>
  <c r="W39" i="1"/>
  <c r="AP37" i="1"/>
  <c r="AG36" i="1"/>
  <c r="AE35" i="1"/>
  <c r="Z27" i="1"/>
  <c r="AL26" i="1"/>
  <c r="AV25" i="1"/>
  <c r="AD24" i="1"/>
  <c r="AK23" i="1"/>
  <c r="U15" i="1"/>
  <c r="AL14" i="1"/>
  <c r="AP13" i="1"/>
  <c r="AT12" i="1"/>
  <c r="N12" i="1"/>
  <c r="P11" i="1"/>
  <c r="S46" i="1"/>
  <c r="AE46" i="1"/>
  <c r="AQ46" i="1"/>
  <c r="BC46" i="1"/>
  <c r="T46" i="1"/>
  <c r="AF46" i="1"/>
  <c r="AR46" i="1"/>
  <c r="BD46" i="1"/>
  <c r="K46" i="1"/>
  <c r="W46" i="1"/>
  <c r="AI46" i="1"/>
  <c r="AU46" i="1"/>
  <c r="BG46" i="1"/>
  <c r="M46" i="1"/>
  <c r="AB46" i="1"/>
  <c r="AS46" i="1"/>
  <c r="BI46" i="1"/>
  <c r="J46" i="1"/>
  <c r="AD46" i="1"/>
  <c r="AH46" i="1"/>
  <c r="N46" i="1"/>
  <c r="AC46" i="1"/>
  <c r="AT46" i="1"/>
  <c r="AV46" i="1"/>
  <c r="P46" i="1"/>
  <c r="AW46" i="1"/>
  <c r="AX46" i="1"/>
  <c r="O46" i="1"/>
  <c r="AG46" i="1"/>
  <c r="Q46" i="1"/>
  <c r="S34" i="1"/>
  <c r="AE34" i="1"/>
  <c r="AQ34" i="1"/>
  <c r="BC34" i="1"/>
  <c r="T34" i="1"/>
  <c r="AF34" i="1"/>
  <c r="AR34" i="1"/>
  <c r="BD34" i="1"/>
  <c r="K34" i="1"/>
  <c r="W34" i="1"/>
  <c r="AI34" i="1"/>
  <c r="AU34" i="1"/>
  <c r="BG34" i="1"/>
  <c r="V34" i="1"/>
  <c r="AL34" i="1"/>
  <c r="BA34" i="1"/>
  <c r="AN34" i="1"/>
  <c r="AO34" i="1"/>
  <c r="AP34" i="1"/>
  <c r="X34" i="1"/>
  <c r="AM34" i="1"/>
  <c r="BB34" i="1"/>
  <c r="I34" i="1"/>
  <c r="Y34" i="1"/>
  <c r="J34" i="1"/>
  <c r="BF34" i="1"/>
  <c r="AA34" i="1"/>
  <c r="BE34" i="1"/>
  <c r="Z34" i="1"/>
  <c r="L34" i="1"/>
  <c r="BH34" i="1"/>
  <c r="P22" i="1"/>
  <c r="AB22" i="1"/>
  <c r="AN22" i="1"/>
  <c r="AZ22" i="1"/>
  <c r="Q22" i="1"/>
  <c r="AC22" i="1"/>
  <c r="AO22" i="1"/>
  <c r="BA22" i="1"/>
  <c r="T22" i="1"/>
  <c r="AF22" i="1"/>
  <c r="AR22" i="1"/>
  <c r="BD22" i="1"/>
  <c r="Z22" i="1"/>
  <c r="AQ22" i="1"/>
  <c r="BG22" i="1"/>
  <c r="L22" i="1"/>
  <c r="AA22" i="1"/>
  <c r="AS22" i="1"/>
  <c r="BH22" i="1"/>
  <c r="K22" i="1"/>
  <c r="O22" i="1"/>
  <c r="AG22" i="1"/>
  <c r="AV22" i="1"/>
  <c r="AE22" i="1"/>
  <c r="AY22" i="1"/>
  <c r="N22" i="1"/>
  <c r="BE22" i="1"/>
  <c r="BF22" i="1"/>
  <c r="AH22" i="1"/>
  <c r="BB22" i="1"/>
  <c r="AJ22" i="1"/>
  <c r="I22" i="1"/>
  <c r="AK22" i="1"/>
  <c r="M22" i="1"/>
  <c r="AI22" i="1"/>
  <c r="BC22" i="1"/>
  <c r="R22" i="1"/>
  <c r="P10" i="1"/>
  <c r="AB10" i="1"/>
  <c r="AN10" i="1"/>
  <c r="AZ10" i="1"/>
  <c r="Q10" i="1"/>
  <c r="AC10" i="1"/>
  <c r="AO10" i="1"/>
  <c r="BA10" i="1"/>
  <c r="T10" i="1"/>
  <c r="AF10" i="1"/>
  <c r="AR10" i="1"/>
  <c r="BD10" i="1"/>
  <c r="U10" i="1"/>
  <c r="AJ10" i="1"/>
  <c r="AY10" i="1"/>
  <c r="AL10" i="1"/>
  <c r="V10" i="1"/>
  <c r="AK10" i="1"/>
  <c r="BB10" i="1"/>
  <c r="K10" i="1"/>
  <c r="W10" i="1"/>
  <c r="BC10" i="1"/>
  <c r="Y10" i="1"/>
  <c r="AP10" i="1"/>
  <c r="BF10" i="1"/>
  <c r="Z10" i="1"/>
  <c r="AQ10" i="1"/>
  <c r="BG10" i="1"/>
  <c r="X10" i="1"/>
  <c r="AW10" i="1"/>
  <c r="H10" i="1"/>
  <c r="AG10" i="1"/>
  <c r="AA10" i="1"/>
  <c r="AX10" i="1"/>
  <c r="AE10" i="1"/>
  <c r="BI10" i="1"/>
  <c r="AD10" i="1"/>
  <c r="BE10" i="1"/>
  <c r="BH10" i="1"/>
  <c r="H35" i="1"/>
  <c r="I46" i="1"/>
  <c r="I13" i="1"/>
  <c r="K23" i="1"/>
  <c r="AO51" i="1"/>
  <c r="O51" i="1"/>
  <c r="AQ50" i="1"/>
  <c r="P50" i="1"/>
  <c r="AI49" i="1"/>
  <c r="L49" i="1"/>
  <c r="AH48" i="1"/>
  <c r="BC47" i="1"/>
  <c r="Y47" i="1"/>
  <c r="AZ46" i="1"/>
  <c r="X46" i="1"/>
  <c r="AY39" i="1"/>
  <c r="T39" i="1"/>
  <c r="AP38" i="1"/>
  <c r="M38" i="1"/>
  <c r="AN37" i="1"/>
  <c r="BH36" i="1"/>
  <c r="AF36" i="1"/>
  <c r="BG35" i="1"/>
  <c r="AB35" i="1"/>
  <c r="AX34" i="1"/>
  <c r="U34" i="1"/>
  <c r="BD27" i="1"/>
  <c r="Y27" i="1"/>
  <c r="AH26" i="1"/>
  <c r="AS25" i="1"/>
  <c r="BE24" i="1"/>
  <c r="AA24" i="1"/>
  <c r="AJ23" i="1"/>
  <c r="AW22" i="1"/>
  <c r="S22" i="1"/>
  <c r="T15" i="1"/>
  <c r="AK14" i="1"/>
  <c r="AO13" i="1"/>
  <c r="AS12" i="1"/>
  <c r="BC11" i="1"/>
  <c r="M11" i="1"/>
  <c r="N10" i="1"/>
  <c r="H34" i="1"/>
  <c r="I27" i="1"/>
  <c r="I12" i="1"/>
  <c r="AN51" i="1"/>
  <c r="AH50" i="1"/>
  <c r="AH49" i="1"/>
  <c r="BD48" i="1"/>
  <c r="AG48" i="1"/>
  <c r="AZ47" i="1"/>
  <c r="X47" i="1"/>
  <c r="AY46" i="1"/>
  <c r="V46" i="1"/>
  <c r="AP39" i="1"/>
  <c r="BH37" i="1"/>
  <c r="BG36" i="1"/>
  <c r="AD36" i="1"/>
  <c r="AX35" i="1"/>
  <c r="AA35" i="1"/>
  <c r="AW34" i="1"/>
  <c r="R34" i="1"/>
  <c r="AZ27" i="1"/>
  <c r="AR25" i="1"/>
  <c r="BB24" i="1"/>
  <c r="Z24" i="1"/>
  <c r="AU22" i="1"/>
  <c r="BE15" i="1"/>
  <c r="W14" i="1"/>
  <c r="AN13" i="1"/>
  <c r="AV11" i="1"/>
  <c r="L11" i="1"/>
  <c r="M10" i="1"/>
  <c r="AW14" i="1"/>
  <c r="U51" i="1"/>
  <c r="AG51" i="1"/>
  <c r="AS51" i="1"/>
  <c r="BE51" i="1"/>
  <c r="J51" i="1"/>
  <c r="V51" i="1"/>
  <c r="AH51" i="1"/>
  <c r="AT51" i="1"/>
  <c r="BF51" i="1"/>
  <c r="H51" i="1"/>
  <c r="M51" i="1"/>
  <c r="Y51" i="1"/>
  <c r="AK51" i="1"/>
  <c r="AW51" i="1"/>
  <c r="BI51" i="1"/>
  <c r="R51" i="1"/>
  <c r="AI51" i="1"/>
  <c r="AY51" i="1"/>
  <c r="AL51" i="1"/>
  <c r="W51" i="1"/>
  <c r="I51" i="1"/>
  <c r="S51" i="1"/>
  <c r="AJ51" i="1"/>
  <c r="AZ51" i="1"/>
  <c r="BA51" i="1"/>
  <c r="BB51" i="1"/>
  <c r="T51" i="1"/>
  <c r="AM51" i="1"/>
  <c r="U39" i="1"/>
  <c r="AG39" i="1"/>
  <c r="AS39" i="1"/>
  <c r="BE39" i="1"/>
  <c r="J39" i="1"/>
  <c r="V39" i="1"/>
  <c r="AH39" i="1"/>
  <c r="AT39" i="1"/>
  <c r="BF39" i="1"/>
  <c r="H39" i="1"/>
  <c r="M39" i="1"/>
  <c r="Y39" i="1"/>
  <c r="AK39" i="1"/>
  <c r="AW39" i="1"/>
  <c r="BI39" i="1"/>
  <c r="L39" i="1"/>
  <c r="AB39" i="1"/>
  <c r="AQ39" i="1"/>
  <c r="BH39" i="1"/>
  <c r="AD39" i="1"/>
  <c r="AE39" i="1"/>
  <c r="AX39" i="1"/>
  <c r="N39" i="1"/>
  <c r="AC39" i="1"/>
  <c r="AR39" i="1"/>
  <c r="O39" i="1"/>
  <c r="AV39" i="1"/>
  <c r="Q39" i="1"/>
  <c r="AU39" i="1"/>
  <c r="P39" i="1"/>
  <c r="AF39" i="1"/>
  <c r="R27" i="1"/>
  <c r="AD27" i="1"/>
  <c r="AP27" i="1"/>
  <c r="BB27" i="1"/>
  <c r="S27" i="1"/>
  <c r="AE27" i="1"/>
  <c r="AQ27" i="1"/>
  <c r="BC27" i="1"/>
  <c r="V27" i="1"/>
  <c r="AH27" i="1"/>
  <c r="AT27" i="1"/>
  <c r="BF27" i="1"/>
  <c r="P27" i="1"/>
  <c r="AG27" i="1"/>
  <c r="AW27" i="1"/>
  <c r="J27" i="1"/>
  <c r="Q27" i="1"/>
  <c r="AI27" i="1"/>
  <c r="AX27" i="1"/>
  <c r="H27" i="1"/>
  <c r="W27" i="1"/>
  <c r="AL27" i="1"/>
  <c r="BA27" i="1"/>
  <c r="N27" i="1"/>
  <c r="AK27" i="1"/>
  <c r="BG27" i="1"/>
  <c r="K27" i="1"/>
  <c r="AO27" i="1"/>
  <c r="AR27" i="1"/>
  <c r="O27" i="1"/>
  <c r="AM27" i="1"/>
  <c r="BH27" i="1"/>
  <c r="U27" i="1"/>
  <c r="T27" i="1"/>
  <c r="AN27" i="1"/>
  <c r="BI27" i="1"/>
  <c r="X27" i="1"/>
  <c r="R15" i="1"/>
  <c r="AD15" i="1"/>
  <c r="AP15" i="1"/>
  <c r="BB15" i="1"/>
  <c r="S15" i="1"/>
  <c r="AE15" i="1"/>
  <c r="AQ15" i="1"/>
  <c r="BC15" i="1"/>
  <c r="V15" i="1"/>
  <c r="AH15" i="1"/>
  <c r="AT15" i="1"/>
  <c r="BF15" i="1"/>
  <c r="Z15" i="1"/>
  <c r="AO15" i="1"/>
  <c r="BG15" i="1"/>
  <c r="J15" i="1"/>
  <c r="M15" i="1"/>
  <c r="L15" i="1"/>
  <c r="AA15" i="1"/>
  <c r="AR15" i="1"/>
  <c r="BH15" i="1"/>
  <c r="H15" i="1"/>
  <c r="AB15" i="1"/>
  <c r="BI15" i="1"/>
  <c r="O15" i="1"/>
  <c r="AF15" i="1"/>
  <c r="AV15" i="1"/>
  <c r="W15" i="1"/>
  <c r="AU15" i="1"/>
  <c r="AC15" i="1"/>
  <c r="X15" i="1"/>
  <c r="AW15" i="1"/>
  <c r="AY15" i="1"/>
  <c r="AZ15" i="1"/>
  <c r="Y15" i="1"/>
  <c r="AX15" i="1"/>
  <c r="AG15" i="1"/>
  <c r="AV51" i="1"/>
  <c r="AA51" i="1"/>
  <c r="BD39" i="1"/>
  <c r="AI39" i="1"/>
  <c r="AF27" i="1"/>
  <c r="AL15" i="1"/>
  <c r="AP14" i="1"/>
  <c r="W50" i="1"/>
  <c r="AI50" i="1"/>
  <c r="AU50" i="1"/>
  <c r="BG50" i="1"/>
  <c r="H50" i="1"/>
  <c r="L50" i="1"/>
  <c r="X50" i="1"/>
  <c r="AJ50" i="1"/>
  <c r="AV50" i="1"/>
  <c r="BH50" i="1"/>
  <c r="O50" i="1"/>
  <c r="AA50" i="1"/>
  <c r="AM50" i="1"/>
  <c r="AY50" i="1"/>
  <c r="T50" i="1"/>
  <c r="AK50" i="1"/>
  <c r="BA50" i="1"/>
  <c r="V50" i="1"/>
  <c r="AN50" i="1"/>
  <c r="I50" i="1"/>
  <c r="AO50" i="1"/>
  <c r="U50" i="1"/>
  <c r="AL50" i="1"/>
  <c r="BB50" i="1"/>
  <c r="BC50" i="1"/>
  <c r="Y50" i="1"/>
  <c r="BD50" i="1"/>
  <c r="AP50" i="1"/>
  <c r="W38" i="1"/>
  <c r="AI38" i="1"/>
  <c r="AU38" i="1"/>
  <c r="BG38" i="1"/>
  <c r="H38" i="1"/>
  <c r="L38" i="1"/>
  <c r="X38" i="1"/>
  <c r="AJ38" i="1"/>
  <c r="AV38" i="1"/>
  <c r="BH38" i="1"/>
  <c r="O38" i="1"/>
  <c r="AA38" i="1"/>
  <c r="AM38" i="1"/>
  <c r="AY38" i="1"/>
  <c r="N38" i="1"/>
  <c r="AD38" i="1"/>
  <c r="AS38" i="1"/>
  <c r="AF38" i="1"/>
  <c r="R38" i="1"/>
  <c r="AZ38" i="1"/>
  <c r="P38" i="1"/>
  <c r="AE38" i="1"/>
  <c r="AT38" i="1"/>
  <c r="Q38" i="1"/>
  <c r="AG38" i="1"/>
  <c r="AX38" i="1"/>
  <c r="AH38" i="1"/>
  <c r="AW38" i="1"/>
  <c r="S38" i="1"/>
  <c r="T26" i="1"/>
  <c r="AF26" i="1"/>
  <c r="AR26" i="1"/>
  <c r="BD26" i="1"/>
  <c r="U26" i="1"/>
  <c r="AG26" i="1"/>
  <c r="AS26" i="1"/>
  <c r="BE26" i="1"/>
  <c r="L26" i="1"/>
  <c r="X26" i="1"/>
  <c r="AJ26" i="1"/>
  <c r="AV26" i="1"/>
  <c r="BH26" i="1"/>
  <c r="R26" i="1"/>
  <c r="AI26" i="1"/>
  <c r="AY26" i="1"/>
  <c r="H26" i="1"/>
  <c r="S26" i="1"/>
  <c r="AK26" i="1"/>
  <c r="AZ26" i="1"/>
  <c r="Y26" i="1"/>
  <c r="AN26" i="1"/>
  <c r="BC26" i="1"/>
  <c r="W26" i="1"/>
  <c r="AQ26" i="1"/>
  <c r="K26" i="1"/>
  <c r="AW26" i="1"/>
  <c r="AC26" i="1"/>
  <c r="Z26" i="1"/>
  <c r="AT26" i="1"/>
  <c r="AB26" i="1"/>
  <c r="AX26" i="1"/>
  <c r="AA26" i="1"/>
  <c r="AU26" i="1"/>
  <c r="AU51" i="1"/>
  <c r="AW50" i="1"/>
  <c r="AA39" i="1"/>
  <c r="Y38" i="1"/>
  <c r="AC27" i="1"/>
  <c r="M26" i="1"/>
  <c r="AO14" i="1"/>
  <c r="M37" i="1"/>
  <c r="Y37" i="1"/>
  <c r="AK37" i="1"/>
  <c r="AW37" i="1"/>
  <c r="BI37" i="1"/>
  <c r="N37" i="1"/>
  <c r="Z37" i="1"/>
  <c r="AL37" i="1"/>
  <c r="AX37" i="1"/>
  <c r="Q37" i="1"/>
  <c r="AC37" i="1"/>
  <c r="AO37" i="1"/>
  <c r="BA37" i="1"/>
  <c r="K37" i="1"/>
  <c r="P37" i="1"/>
  <c r="AF37" i="1"/>
  <c r="AU37" i="1"/>
  <c r="S37" i="1"/>
  <c r="T37" i="1"/>
  <c r="I37" i="1"/>
  <c r="AJ37" i="1"/>
  <c r="BB37" i="1"/>
  <c r="R37" i="1"/>
  <c r="AG37" i="1"/>
  <c r="AV37" i="1"/>
  <c r="AH37" i="1"/>
  <c r="AI37" i="1"/>
  <c r="U37" i="1"/>
  <c r="AY37" i="1"/>
  <c r="AZ37" i="1"/>
  <c r="X51" i="1"/>
  <c r="AT49" i="1"/>
  <c r="BA38" i="1"/>
  <c r="O37" i="1"/>
  <c r="BI25" i="1"/>
  <c r="AR13" i="1"/>
  <c r="L12" i="1"/>
  <c r="X12" i="1"/>
  <c r="AJ12" i="1"/>
  <c r="AV12" i="1"/>
  <c r="BH12" i="1"/>
  <c r="M12" i="1"/>
  <c r="Y12" i="1"/>
  <c r="AK12" i="1"/>
  <c r="AW12" i="1"/>
  <c r="BI12" i="1"/>
  <c r="P12" i="1"/>
  <c r="AB12" i="1"/>
  <c r="AN12" i="1"/>
  <c r="AZ12" i="1"/>
  <c r="Q12" i="1"/>
  <c r="AF12" i="1"/>
  <c r="AU12" i="1"/>
  <c r="AH12" i="1"/>
  <c r="R12" i="1"/>
  <c r="AG12" i="1"/>
  <c r="AX12" i="1"/>
  <c r="S12" i="1"/>
  <c r="AY12" i="1"/>
  <c r="U12" i="1"/>
  <c r="AL12" i="1"/>
  <c r="BB12" i="1"/>
  <c r="AC12" i="1"/>
  <c r="BC12" i="1"/>
  <c r="AI12" i="1"/>
  <c r="BG12" i="1"/>
  <c r="AD12" i="1"/>
  <c r="BD12" i="1"/>
  <c r="K12" i="1"/>
  <c r="H12" i="1"/>
  <c r="AE12" i="1"/>
  <c r="BE12" i="1"/>
  <c r="BF12" i="1"/>
  <c r="AM12" i="1"/>
  <c r="H37" i="1"/>
  <c r="J37" i="1"/>
  <c r="AQ51" i="1"/>
  <c r="R50" i="1"/>
  <c r="AJ48" i="1"/>
  <c r="BA39" i="1"/>
  <c r="U38" i="1"/>
  <c r="AO36" i="1"/>
  <c r="AM26" i="1"/>
  <c r="AE24" i="1"/>
  <c r="BA12" i="1"/>
  <c r="N23" i="1"/>
  <c r="Z23" i="1"/>
  <c r="AL23" i="1"/>
  <c r="AX23" i="1"/>
  <c r="O23" i="1"/>
  <c r="AA23" i="1"/>
  <c r="AM23" i="1"/>
  <c r="AY23" i="1"/>
  <c r="R23" i="1"/>
  <c r="AD23" i="1"/>
  <c r="AP23" i="1"/>
  <c r="BB23" i="1"/>
  <c r="X23" i="1"/>
  <c r="AO23" i="1"/>
  <c r="BE23" i="1"/>
  <c r="Y23" i="1"/>
  <c r="AQ23" i="1"/>
  <c r="BF23" i="1"/>
  <c r="M23" i="1"/>
  <c r="AE23" i="1"/>
  <c r="AT23" i="1"/>
  <c r="BI23" i="1"/>
  <c r="I23" i="1"/>
  <c r="V23" i="1"/>
  <c r="AS23" i="1"/>
  <c r="AZ23" i="1"/>
  <c r="W23" i="1"/>
  <c r="AU23" i="1"/>
  <c r="AW23" i="1"/>
  <c r="AF23" i="1"/>
  <c r="AB23" i="1"/>
  <c r="AV23" i="1"/>
  <c r="AC23" i="1"/>
  <c r="K24" i="1"/>
  <c r="P51" i="1"/>
  <c r="O49" i="1"/>
  <c r="AH47" i="1"/>
  <c r="AQ38" i="1"/>
  <c r="H49" i="1"/>
  <c r="H13" i="1"/>
  <c r="K39" i="1"/>
  <c r="L51" i="1"/>
  <c r="M50" i="1"/>
  <c r="BB48" i="1"/>
  <c r="AY47" i="1"/>
  <c r="AP46" i="1"/>
  <c r="AO39" i="1"/>
  <c r="AN38" i="1"/>
  <c r="AE37" i="1"/>
  <c r="AC36" i="1"/>
  <c r="Z35" i="1"/>
  <c r="Q34" i="1"/>
  <c r="L27" i="1"/>
  <c r="AD26" i="1"/>
  <c r="BA24" i="1"/>
  <c r="AH23" i="1"/>
  <c r="P15" i="1"/>
  <c r="AM13" i="1"/>
  <c r="AV10" i="1"/>
  <c r="I25" i="1"/>
  <c r="J50" i="1"/>
  <c r="J14" i="1"/>
  <c r="BG51" i="1"/>
  <c r="BI50" i="1"/>
  <c r="BH49" i="1"/>
  <c r="BA48" i="1"/>
  <c r="AX47" i="1"/>
  <c r="AO46" i="1"/>
  <c r="BI38" i="1"/>
  <c r="BF37" i="1"/>
  <c r="BE36" i="1"/>
  <c r="AV35" i="1"/>
  <c r="AT34" i="1"/>
  <c r="AV27" i="1"/>
  <c r="AO25" i="1"/>
  <c r="N24" i="1"/>
  <c r="AP22" i="1"/>
  <c r="N15" i="1"/>
  <c r="AP12" i="1"/>
  <c r="H47" i="1"/>
  <c r="I24" i="1"/>
  <c r="K36" i="1"/>
  <c r="BD51" i="1"/>
  <c r="AD51" i="1"/>
  <c r="BF50" i="1"/>
  <c r="AE50" i="1"/>
  <c r="BB49" i="1"/>
  <c r="AX48" i="1"/>
  <c r="AW47" i="1"/>
  <c r="T47" i="1"/>
  <c r="AN46" i="1"/>
  <c r="L46" i="1"/>
  <c r="AM39" i="1"/>
  <c r="BF38" i="1"/>
  <c r="AK38" i="1"/>
  <c r="BE37" i="1"/>
  <c r="AB37" i="1"/>
  <c r="AV36" i="1"/>
  <c r="AU35" i="1"/>
  <c r="AS34" i="1"/>
  <c r="O34" i="1"/>
  <c r="AU27" i="1"/>
  <c r="BG26" i="1"/>
  <c r="Q26" i="1"/>
  <c r="AN25" i="1"/>
  <c r="AX24" i="1"/>
  <c r="BH23" i="1"/>
  <c r="U23" i="1"/>
  <c r="AM22" i="1"/>
  <c r="AS15" i="1"/>
  <c r="BG14" i="1"/>
  <c r="R14" i="1"/>
  <c r="AO12" i="1"/>
  <c r="AS11" i="1"/>
  <c r="AT10" i="1"/>
  <c r="M49" i="1"/>
  <c r="Y49" i="1"/>
  <c r="AK49" i="1"/>
  <c r="AW49" i="1"/>
  <c r="BI49" i="1"/>
  <c r="N49" i="1"/>
  <c r="Z49" i="1"/>
  <c r="AL49" i="1"/>
  <c r="AX49" i="1"/>
  <c r="Q49" i="1"/>
  <c r="AC49" i="1"/>
  <c r="AO49" i="1"/>
  <c r="BA49" i="1"/>
  <c r="K49" i="1"/>
  <c r="V49" i="1"/>
  <c r="AM49" i="1"/>
  <c r="BC49" i="1"/>
  <c r="X49" i="1"/>
  <c r="AQ49" i="1"/>
  <c r="AB49" i="1"/>
  <c r="BG49" i="1"/>
  <c r="W49" i="1"/>
  <c r="AN49" i="1"/>
  <c r="BD49" i="1"/>
  <c r="I49" i="1"/>
  <c r="BE49" i="1"/>
  <c r="AA49" i="1"/>
  <c r="AR49" i="1"/>
  <c r="AP49" i="1"/>
  <c r="BF49" i="1"/>
  <c r="J49" i="1"/>
  <c r="V13" i="1"/>
  <c r="AH13" i="1"/>
  <c r="AT13" i="1"/>
  <c r="BF13" i="1"/>
  <c r="W13" i="1"/>
  <c r="AI13" i="1"/>
  <c r="AU13" i="1"/>
  <c r="BG13" i="1"/>
  <c r="N13" i="1"/>
  <c r="Z13" i="1"/>
  <c r="AL13" i="1"/>
  <c r="AX13" i="1"/>
  <c r="O13" i="1"/>
  <c r="AD13" i="1"/>
  <c r="AS13" i="1"/>
  <c r="Q13" i="1"/>
  <c r="AW13" i="1"/>
  <c r="P13" i="1"/>
  <c r="AE13" i="1"/>
  <c r="AV13" i="1"/>
  <c r="AF13" i="1"/>
  <c r="S13" i="1"/>
  <c r="AJ13" i="1"/>
  <c r="AZ13" i="1"/>
  <c r="K13" i="1"/>
  <c r="AA13" i="1"/>
  <c r="BA13" i="1"/>
  <c r="BD13" i="1"/>
  <c r="AB13" i="1"/>
  <c r="BB13" i="1"/>
  <c r="AG13" i="1"/>
  <c r="AK13" i="1"/>
  <c r="AC13" i="1"/>
  <c r="BC13" i="1"/>
  <c r="BE13" i="1"/>
  <c r="J38" i="1"/>
  <c r="AR51" i="1"/>
  <c r="S50" i="1"/>
  <c r="Z39" i="1"/>
  <c r="AR37" i="1"/>
  <c r="AO26" i="1"/>
  <c r="AN14" i="1"/>
  <c r="L13" i="1"/>
  <c r="O48" i="1"/>
  <c r="AA48" i="1"/>
  <c r="AM48" i="1"/>
  <c r="AY48" i="1"/>
  <c r="P48" i="1"/>
  <c r="AB48" i="1"/>
  <c r="AN48" i="1"/>
  <c r="AZ48" i="1"/>
  <c r="S48" i="1"/>
  <c r="AE48" i="1"/>
  <c r="AQ48" i="1"/>
  <c r="BC48" i="1"/>
  <c r="X48" i="1"/>
  <c r="AO48" i="1"/>
  <c r="BE48" i="1"/>
  <c r="I48" i="1"/>
  <c r="Z48" i="1"/>
  <c r="AS48" i="1"/>
  <c r="AT48" i="1"/>
  <c r="Y48" i="1"/>
  <c r="AP48" i="1"/>
  <c r="BF48" i="1"/>
  <c r="BG48" i="1"/>
  <c r="AC48" i="1"/>
  <c r="AD48" i="1"/>
  <c r="AR48" i="1"/>
  <c r="J48" i="1"/>
  <c r="L48" i="1"/>
  <c r="BH48" i="1"/>
  <c r="M48" i="1"/>
  <c r="BI48" i="1"/>
  <c r="O36" i="1"/>
  <c r="AA36" i="1"/>
  <c r="AM36" i="1"/>
  <c r="AY36" i="1"/>
  <c r="P36" i="1"/>
  <c r="AB36" i="1"/>
  <c r="AN36" i="1"/>
  <c r="AZ36" i="1"/>
  <c r="S36" i="1"/>
  <c r="AE36" i="1"/>
  <c r="AQ36" i="1"/>
  <c r="BC36" i="1"/>
  <c r="R36" i="1"/>
  <c r="AH36" i="1"/>
  <c r="AW36" i="1"/>
  <c r="AJ36" i="1"/>
  <c r="V36" i="1"/>
  <c r="AL36" i="1"/>
  <c r="T36" i="1"/>
  <c r="AI36" i="1"/>
  <c r="AX36" i="1"/>
  <c r="U36" i="1"/>
  <c r="AK36" i="1"/>
  <c r="W36" i="1"/>
  <c r="BA36" i="1"/>
  <c r="I36" i="1"/>
  <c r="BB36" i="1"/>
  <c r="BD36" i="1"/>
  <c r="AS50" i="1"/>
  <c r="P49" i="1"/>
  <c r="X39" i="1"/>
  <c r="AQ37" i="1"/>
  <c r="AW25" i="1"/>
  <c r="AQ13" i="1"/>
  <c r="Q35" i="1"/>
  <c r="AC35" i="1"/>
  <c r="AO35" i="1"/>
  <c r="BA35" i="1"/>
  <c r="R35" i="1"/>
  <c r="AD35" i="1"/>
  <c r="AP35" i="1"/>
  <c r="BB35" i="1"/>
  <c r="U35" i="1"/>
  <c r="AG35" i="1"/>
  <c r="AS35" i="1"/>
  <c r="BE35" i="1"/>
  <c r="I35" i="1"/>
  <c r="T35" i="1"/>
  <c r="AJ35" i="1"/>
  <c r="AY35" i="1"/>
  <c r="AL35" i="1"/>
  <c r="X35" i="1"/>
  <c r="J35" i="1"/>
  <c r="AN35" i="1"/>
  <c r="V35" i="1"/>
  <c r="AK35" i="1"/>
  <c r="AZ35" i="1"/>
  <c r="W35" i="1"/>
  <c r="BD35" i="1"/>
  <c r="Y35" i="1"/>
  <c r="BC35" i="1"/>
  <c r="AM35" i="1"/>
  <c r="BF35" i="1"/>
  <c r="I14" i="1"/>
  <c r="AR50" i="1"/>
  <c r="AJ49" i="1"/>
  <c r="AI48" i="1"/>
  <c r="AZ39" i="1"/>
  <c r="T38" i="1"/>
  <c r="BI36" i="1"/>
  <c r="BH35" i="1"/>
  <c r="BE27" i="1"/>
  <c r="Q25" i="1"/>
  <c r="I26" i="1"/>
  <c r="BH51" i="1"/>
  <c r="AF51" i="1"/>
  <c r="AG50" i="1"/>
  <c r="AG49" i="1"/>
  <c r="AF48" i="1"/>
  <c r="W47" i="1"/>
  <c r="U46" i="1"/>
  <c r="R39" i="1"/>
  <c r="BG37" i="1"/>
  <c r="BF36" i="1"/>
  <c r="AW35" i="1"/>
  <c r="AV34" i="1"/>
  <c r="AY27" i="1"/>
  <c r="AQ25" i="1"/>
  <c r="O24" i="1"/>
  <c r="AT22" i="1"/>
  <c r="BD15" i="1"/>
  <c r="V14" i="1"/>
  <c r="AQ12" i="1"/>
  <c r="AU11" i="1"/>
  <c r="L10" i="1"/>
  <c r="H48" i="1"/>
  <c r="K38" i="1"/>
  <c r="AE51" i="1"/>
  <c r="AF50" i="1"/>
  <c r="AF49" i="1"/>
  <c r="W48" i="1"/>
  <c r="V47" i="1"/>
  <c r="R46" i="1"/>
  <c r="AN39" i="1"/>
  <c r="AL38" i="1"/>
  <c r="AD37" i="1"/>
  <c r="Z36" i="1"/>
  <c r="S35" i="1"/>
  <c r="P34" i="1"/>
  <c r="BI26" i="1"/>
  <c r="V26" i="1"/>
  <c r="AY24" i="1"/>
  <c r="AG23" i="1"/>
  <c r="BA15" i="1"/>
  <c r="S14" i="1"/>
  <c r="Y13" i="1"/>
  <c r="AT11" i="1"/>
  <c r="AU10" i="1"/>
  <c r="J13" i="1"/>
  <c r="H46" i="1"/>
  <c r="J26" i="1"/>
  <c r="J12" i="1"/>
  <c r="K35" i="1"/>
  <c r="BC51" i="1"/>
  <c r="AC51" i="1"/>
  <c r="BE50" i="1"/>
  <c r="AD50" i="1"/>
  <c r="AZ49" i="1"/>
  <c r="AD49" i="1"/>
  <c r="AW48" i="1"/>
  <c r="U48" i="1"/>
  <c r="AN47" i="1"/>
  <c r="S47" i="1"/>
  <c r="AM46" i="1"/>
  <c r="AL39" i="1"/>
  <c r="BE38" i="1"/>
  <c r="AC38" i="1"/>
  <c r="BD37" i="1"/>
  <c r="AA37" i="1"/>
  <c r="AU36" i="1"/>
  <c r="X36" i="1"/>
  <c r="AT35" i="1"/>
  <c r="O35" i="1"/>
  <c r="AK34" i="1"/>
  <c r="N34" i="1"/>
  <c r="AS27" i="1"/>
  <c r="BF26" i="1"/>
  <c r="P26" i="1"/>
  <c r="AC25" i="1"/>
  <c r="AU24" i="1"/>
  <c r="BG23" i="1"/>
  <c r="T23" i="1"/>
  <c r="AL22" i="1"/>
  <c r="AN15" i="1"/>
  <c r="BF14" i="1"/>
  <c r="P14" i="1"/>
  <c r="U13" i="1"/>
  <c r="AA12" i="1"/>
  <c r="AR11" i="1"/>
  <c r="AS10" i="1"/>
  <c r="V31" i="1"/>
  <c r="AH31" i="1"/>
  <c r="AT31" i="1"/>
  <c r="BF31" i="1"/>
  <c r="W31" i="1"/>
  <c r="AI31" i="1"/>
  <c r="AU31" i="1"/>
  <c r="BG31" i="1"/>
  <c r="N31" i="1"/>
  <c r="Z31" i="1"/>
  <c r="AL31" i="1"/>
  <c r="AX31" i="1"/>
  <c r="Y31" i="1"/>
  <c r="AO31" i="1"/>
  <c r="BD31" i="1"/>
  <c r="I31" i="1"/>
  <c r="AA31" i="1"/>
  <c r="AP31" i="1"/>
  <c r="BE31" i="1"/>
  <c r="O31" i="1"/>
  <c r="AD31" i="1"/>
  <c r="AS31" i="1"/>
  <c r="J31" i="1"/>
  <c r="K43" i="1"/>
  <c r="BH55" i="1"/>
  <c r="AM43" i="1"/>
  <c r="BI31" i="1"/>
  <c r="AM31" i="1"/>
  <c r="R31" i="1"/>
  <c r="BA19" i="1"/>
  <c r="AD19" i="1"/>
  <c r="M55" i="1"/>
  <c r="Y55" i="1"/>
  <c r="AK55" i="1"/>
  <c r="AW55" i="1"/>
  <c r="BI55" i="1"/>
  <c r="I55" i="1"/>
  <c r="N55" i="1"/>
  <c r="Z55" i="1"/>
  <c r="AL55" i="1"/>
  <c r="AX55" i="1"/>
  <c r="Q55" i="1"/>
  <c r="AC55" i="1"/>
  <c r="AO55" i="1"/>
  <c r="BA55" i="1"/>
  <c r="J55" i="1"/>
  <c r="V7" i="1"/>
  <c r="AH7" i="1"/>
  <c r="AT7" i="1"/>
  <c r="BF7" i="1"/>
  <c r="W7" i="1"/>
  <c r="AI7" i="1"/>
  <c r="AU7" i="1"/>
  <c r="BG7" i="1"/>
  <c r="N7" i="1"/>
  <c r="Z7" i="1"/>
  <c r="AL7" i="1"/>
  <c r="AX7" i="1"/>
  <c r="L7" i="1"/>
  <c r="AB7" i="1"/>
  <c r="AQ7" i="1"/>
  <c r="BH7" i="1"/>
  <c r="I7" i="1"/>
  <c r="AD7" i="1"/>
  <c r="M7" i="1"/>
  <c r="AC7" i="1"/>
  <c r="AR7" i="1"/>
  <c r="BI7" i="1"/>
  <c r="O7" i="1"/>
  <c r="AS7" i="1"/>
  <c r="Q7" i="1"/>
  <c r="AF7" i="1"/>
  <c r="AW7" i="1"/>
  <c r="J7" i="1"/>
  <c r="R7" i="1"/>
  <c r="AG7" i="1"/>
  <c r="AY7" i="1"/>
  <c r="AS55" i="1"/>
  <c r="BC43" i="1"/>
  <c r="V43" i="1"/>
  <c r="BG55" i="1"/>
  <c r="AB55" i="1"/>
  <c r="BB43" i="1"/>
  <c r="AJ43" i="1"/>
  <c r="BH31" i="1"/>
  <c r="AK31" i="1"/>
  <c r="Q31" i="1"/>
  <c r="AW19" i="1"/>
  <c r="AM7" i="1"/>
  <c r="M43" i="1"/>
  <c r="Y43" i="1"/>
  <c r="AK43" i="1"/>
  <c r="AW43" i="1"/>
  <c r="BI43" i="1"/>
  <c r="I43" i="1"/>
  <c r="N43" i="1"/>
  <c r="Z43" i="1"/>
  <c r="AL43" i="1"/>
  <c r="AX43" i="1"/>
  <c r="Q43" i="1"/>
  <c r="AC43" i="1"/>
  <c r="AO43" i="1"/>
  <c r="BA43" i="1"/>
  <c r="J43" i="1"/>
  <c r="V19" i="1"/>
  <c r="AH19" i="1"/>
  <c r="AT19" i="1"/>
  <c r="BF19" i="1"/>
  <c r="W19" i="1"/>
  <c r="AI19" i="1"/>
  <c r="AU19" i="1"/>
  <c r="BG19" i="1"/>
  <c r="N19" i="1"/>
  <c r="Z19" i="1"/>
  <c r="AL19" i="1"/>
  <c r="AX19" i="1"/>
  <c r="R19" i="1"/>
  <c r="AG19" i="1"/>
  <c r="AY19" i="1"/>
  <c r="I19" i="1"/>
  <c r="S19" i="1"/>
  <c r="AJ19" i="1"/>
  <c r="AZ19" i="1"/>
  <c r="X19" i="1"/>
  <c r="AN19" i="1"/>
  <c r="BC19" i="1"/>
  <c r="J19" i="1"/>
  <c r="AD55" i="1"/>
  <c r="H43" i="1"/>
  <c r="AR55" i="1"/>
  <c r="BF55" i="1"/>
  <c r="AQ55" i="1"/>
  <c r="AA55" i="1"/>
  <c r="AZ43" i="1"/>
  <c r="AI43" i="1"/>
  <c r="T43" i="1"/>
  <c r="BC31" i="1"/>
  <c r="AJ31" i="1"/>
  <c r="P31" i="1"/>
  <c r="AV19" i="1"/>
  <c r="AB19" i="1"/>
  <c r="AK7" i="1"/>
  <c r="V33" i="1"/>
  <c r="AH33" i="1"/>
  <c r="AT33" i="1"/>
  <c r="R21" i="1"/>
  <c r="AD21" i="1"/>
  <c r="AP21" i="1"/>
  <c r="BB21" i="1"/>
  <c r="S21" i="1"/>
  <c r="AE21" i="1"/>
  <c r="AQ21" i="1"/>
  <c r="BC21" i="1"/>
  <c r="V21" i="1"/>
  <c r="AH21" i="1"/>
  <c r="AT21" i="1"/>
  <c r="BF21" i="1"/>
  <c r="R9" i="1"/>
  <c r="AD9" i="1"/>
  <c r="AP9" i="1"/>
  <c r="BB9" i="1"/>
  <c r="S9" i="1"/>
  <c r="AE9" i="1"/>
  <c r="AQ9" i="1"/>
  <c r="BC9" i="1"/>
  <c r="V9" i="1"/>
  <c r="AH9" i="1"/>
  <c r="AT9" i="1"/>
  <c r="BF9" i="1"/>
  <c r="H54" i="1"/>
  <c r="H42" i="1"/>
  <c r="H30" i="1"/>
  <c r="H18" i="1"/>
  <c r="H6" i="1"/>
  <c r="BI57" i="1"/>
  <c r="AW57" i="1"/>
  <c r="AK57" i="1"/>
  <c r="Y57" i="1"/>
  <c r="M57" i="1"/>
  <c r="BC54" i="1"/>
  <c r="AQ54" i="1"/>
  <c r="AE54" i="1"/>
  <c r="S54" i="1"/>
  <c r="BI45" i="1"/>
  <c r="AW45" i="1"/>
  <c r="AK45" i="1"/>
  <c r="Y45" i="1"/>
  <c r="M45" i="1"/>
  <c r="BC42" i="1"/>
  <c r="AQ42" i="1"/>
  <c r="AE42" i="1"/>
  <c r="S42" i="1"/>
  <c r="BI33" i="1"/>
  <c r="AW33" i="1"/>
  <c r="AJ33" i="1"/>
  <c r="W33" i="1"/>
  <c r="AU30" i="1"/>
  <c r="AF30" i="1"/>
  <c r="Q30" i="1"/>
  <c r="AX21" i="1"/>
  <c r="AI21" i="1"/>
  <c r="Q21" i="1"/>
  <c r="BE18" i="1"/>
  <c r="AP18" i="1"/>
  <c r="Z18" i="1"/>
  <c r="BH9" i="1"/>
  <c r="AR9" i="1"/>
  <c r="AA9" i="1"/>
  <c r="L9" i="1"/>
  <c r="AY6" i="1"/>
  <c r="AH6" i="1"/>
  <c r="L6" i="1"/>
  <c r="X6" i="1"/>
  <c r="AJ6" i="1"/>
  <c r="AV6" i="1"/>
  <c r="BH6" i="1"/>
  <c r="M6" i="1"/>
  <c r="Y6" i="1"/>
  <c r="AK6" i="1"/>
  <c r="AW6" i="1"/>
  <c r="BI6" i="1"/>
  <c r="P6" i="1"/>
  <c r="AB6" i="1"/>
  <c r="AN6" i="1"/>
  <c r="AZ6" i="1"/>
  <c r="BF57" i="1"/>
  <c r="AT57" i="1"/>
  <c r="AH57" i="1"/>
  <c r="V57" i="1"/>
  <c r="AZ54" i="1"/>
  <c r="AN54" i="1"/>
  <c r="AB54" i="1"/>
  <c r="P54" i="1"/>
  <c r="BF45" i="1"/>
  <c r="AT45" i="1"/>
  <c r="AH45" i="1"/>
  <c r="V45" i="1"/>
  <c r="AZ42" i="1"/>
  <c r="AN42" i="1"/>
  <c r="AB42" i="1"/>
  <c r="P42" i="1"/>
  <c r="BF33" i="1"/>
  <c r="AS33" i="1"/>
  <c r="AF33" i="1"/>
  <c r="S33" i="1"/>
  <c r="BG30" i="1"/>
  <c r="AR30" i="1"/>
  <c r="AU21" i="1"/>
  <c r="AC21" i="1"/>
  <c r="N21" i="1"/>
  <c r="BB18" i="1"/>
  <c r="AL18" i="1"/>
  <c r="BD9" i="1"/>
  <c r="AM9" i="1"/>
  <c r="X9" i="1"/>
  <c r="AT6" i="1"/>
  <c r="AE6" i="1"/>
  <c r="O6" i="1"/>
  <c r="L30" i="1"/>
  <c r="X30" i="1"/>
  <c r="AJ30" i="1"/>
  <c r="AV30" i="1"/>
  <c r="BH30" i="1"/>
  <c r="M30" i="1"/>
  <c r="Y30" i="1"/>
  <c r="AK30" i="1"/>
  <c r="AW30" i="1"/>
  <c r="BI30" i="1"/>
  <c r="P30" i="1"/>
  <c r="AB30" i="1"/>
  <c r="AN30" i="1"/>
  <c r="AZ30" i="1"/>
  <c r="L18" i="1"/>
  <c r="X18" i="1"/>
  <c r="AJ18" i="1"/>
  <c r="AV18" i="1"/>
  <c r="BH18" i="1"/>
  <c r="M18" i="1"/>
  <c r="Y18" i="1"/>
  <c r="AK18" i="1"/>
  <c r="AW18" i="1"/>
  <c r="BI18" i="1"/>
  <c r="P18" i="1"/>
  <c r="AB18" i="1"/>
  <c r="AN18" i="1"/>
  <c r="AZ18" i="1"/>
  <c r="K57" i="1"/>
  <c r="K45" i="1"/>
  <c r="K33" i="1"/>
  <c r="K21" i="1"/>
  <c r="K9" i="1"/>
  <c r="BE57" i="1"/>
  <c r="AS57" i="1"/>
  <c r="AG57" i="1"/>
  <c r="AY54" i="1"/>
  <c r="AM54" i="1"/>
  <c r="AA54" i="1"/>
  <c r="BE45" i="1"/>
  <c r="AS45" i="1"/>
  <c r="AG45" i="1"/>
  <c r="AY42" i="1"/>
  <c r="AM42" i="1"/>
  <c r="AA42" i="1"/>
  <c r="BE33" i="1"/>
  <c r="AR33" i="1"/>
  <c r="AE33" i="1"/>
  <c r="R33" i="1"/>
  <c r="BF30" i="1"/>
  <c r="AQ30" i="1"/>
  <c r="AA30" i="1"/>
  <c r="BI21" i="1"/>
  <c r="AS21" i="1"/>
  <c r="AB21" i="1"/>
  <c r="M21" i="1"/>
  <c r="BA18" i="1"/>
  <c r="AI18" i="1"/>
  <c r="T18" i="1"/>
  <c r="BA9" i="1"/>
  <c r="AL9" i="1"/>
  <c r="W9" i="1"/>
  <c r="AS6" i="1"/>
  <c r="AD6" i="1"/>
  <c r="N6" i="1"/>
  <c r="BR1" i="3" l="1"/>
  <c r="BP4" i="3"/>
  <c r="BP71" i="3"/>
  <c r="BP36" i="3"/>
  <c r="BP52" i="3"/>
  <c r="BP90" i="3"/>
  <c r="BP48" i="3"/>
  <c r="BP86" i="3"/>
  <c r="BP51" i="3"/>
  <c r="BP82" i="3"/>
  <c r="BP85" i="3"/>
  <c r="BP14" i="3"/>
  <c r="BP63" i="3"/>
  <c r="BP23" i="3"/>
  <c r="BP39" i="3"/>
  <c r="BP75" i="3"/>
  <c r="BP94" i="3"/>
  <c r="BP60" i="3"/>
  <c r="BP7" i="3"/>
  <c r="BP3" i="3"/>
  <c r="BP62" i="3"/>
  <c r="BP20" i="3"/>
  <c r="BP40" i="3"/>
  <c r="BP29" i="3"/>
  <c r="BP28" i="3"/>
  <c r="BP56" i="3"/>
  <c r="BP41" i="3"/>
  <c r="BP61" i="3"/>
  <c r="BP21" i="3"/>
  <c r="BP91" i="3"/>
  <c r="BP58" i="3"/>
  <c r="BP17" i="3"/>
  <c r="BP8" i="3"/>
  <c r="BP44" i="3"/>
  <c r="BP16" i="3"/>
  <c r="BP79" i="3"/>
  <c r="BP32" i="3"/>
  <c r="BP42" i="3"/>
  <c r="BP34" i="3"/>
  <c r="BP68" i="3"/>
  <c r="BP12" i="3"/>
  <c r="BP50" i="3"/>
  <c r="BP30" i="3"/>
  <c r="BP18" i="3"/>
  <c r="BP5" i="3"/>
  <c r="BP27" i="3"/>
  <c r="BP43" i="3"/>
  <c r="BP74" i="3"/>
  <c r="BP80" i="3"/>
  <c r="BP47" i="3"/>
  <c r="BP11" i="3"/>
  <c r="BP24" i="3"/>
  <c r="BP35" i="3"/>
  <c r="BP65" i="3"/>
  <c r="BP89" i="3"/>
  <c r="BP6" i="3"/>
  <c r="BP84" i="3"/>
  <c r="BP72" i="3"/>
  <c r="BP76" i="3"/>
  <c r="BP54" i="3"/>
  <c r="BP81" i="3"/>
  <c r="BP15" i="3"/>
  <c r="BP70" i="3"/>
  <c r="BP49" i="3"/>
  <c r="BP9" i="3"/>
  <c r="BP55" i="3"/>
  <c r="BP92" i="3"/>
  <c r="BP19" i="3"/>
  <c r="BP88" i="3"/>
  <c r="BP10" i="3"/>
  <c r="BP96" i="3" s="1"/>
  <c r="BP45" i="3"/>
  <c r="BP64" i="3"/>
  <c r="BP31" i="3"/>
  <c r="BP46" i="3"/>
  <c r="BP69" i="3"/>
  <c r="BP33" i="3"/>
  <c r="BP93" i="3"/>
  <c r="BP67" i="3"/>
  <c r="BP78" i="3"/>
  <c r="BP13" i="3"/>
  <c r="BP77" i="3"/>
  <c r="BP87" i="3"/>
  <c r="BP26" i="3"/>
  <c r="BP73" i="3"/>
  <c r="BP95" i="3"/>
  <c r="BP38" i="3"/>
  <c r="BP59" i="3"/>
  <c r="BP37" i="3"/>
  <c r="BP22" i="3"/>
  <c r="BP25" i="3"/>
  <c r="BP83" i="3"/>
  <c r="BP53" i="3"/>
  <c r="BP66" i="3"/>
  <c r="BP57" i="3"/>
  <c r="BQ54" i="3"/>
  <c r="BQ16" i="3"/>
  <c r="BQ53" i="3"/>
  <c r="BQ46" i="3"/>
  <c r="BQ82" i="3"/>
  <c r="BQ63" i="3"/>
  <c r="BQ84" i="3"/>
  <c r="BQ58" i="3"/>
  <c r="BQ35" i="3"/>
  <c r="BQ71" i="3"/>
  <c r="BQ39" i="3"/>
  <c r="BQ28" i="3"/>
  <c r="BQ19" i="3"/>
  <c r="BQ12" i="3"/>
  <c r="BQ93" i="3"/>
  <c r="BQ73" i="3"/>
  <c r="BQ60" i="3"/>
  <c r="BQ83" i="3"/>
  <c r="BQ61" i="3"/>
  <c r="BQ11" i="3"/>
  <c r="BQ78" i="3"/>
  <c r="BQ45" i="3"/>
  <c r="BQ66" i="3"/>
  <c r="BQ52" i="3"/>
  <c r="BQ4" i="3"/>
  <c r="BQ94" i="3"/>
  <c r="BQ40" i="3"/>
  <c r="BQ25" i="3"/>
  <c r="BQ21" i="3"/>
  <c r="BQ92" i="3"/>
  <c r="BQ80" i="3"/>
  <c r="BQ23" i="3"/>
  <c r="BQ41" i="3"/>
  <c r="BQ95" i="3"/>
  <c r="BQ87" i="3"/>
  <c r="BQ47" i="3"/>
  <c r="BQ51" i="3"/>
  <c r="BQ49" i="3"/>
  <c r="BQ22" i="3"/>
  <c r="BQ18" i="3"/>
  <c r="BQ88" i="3"/>
  <c r="BQ20" i="3"/>
  <c r="BQ85" i="3"/>
  <c r="BQ32" i="3"/>
  <c r="BQ14" i="3"/>
  <c r="BQ10" i="3"/>
  <c r="BQ57" i="3"/>
  <c r="BQ30" i="3"/>
  <c r="BQ29" i="3"/>
  <c r="BQ69" i="3"/>
  <c r="BQ37" i="3"/>
  <c r="BQ75" i="3"/>
  <c r="BQ79" i="3"/>
  <c r="BQ65" i="3"/>
  <c r="BQ9" i="3"/>
  <c r="BQ43" i="3"/>
  <c r="BQ17" i="3"/>
  <c r="BQ48" i="3"/>
  <c r="BQ27" i="3"/>
  <c r="BQ34" i="3"/>
  <c r="BQ15" i="3"/>
  <c r="BQ3" i="3"/>
  <c r="BQ56" i="3"/>
  <c r="BQ72" i="3"/>
  <c r="BQ91" i="3"/>
  <c r="BQ24" i="3"/>
  <c r="BQ42" i="3"/>
  <c r="BQ59" i="3"/>
  <c r="BQ89" i="3"/>
  <c r="BQ76" i="3"/>
  <c r="BQ26" i="3"/>
  <c r="S96" i="3"/>
  <c r="AV96" i="3"/>
  <c r="AH96" i="3"/>
  <c r="AF96" i="3"/>
  <c r="M96" i="3"/>
  <c r="BE96" i="3"/>
  <c r="K96" i="3"/>
  <c r="BS1" i="3"/>
  <c r="BQ68" i="3"/>
  <c r="BQ86" i="3"/>
  <c r="BQ44" i="3"/>
  <c r="BQ36" i="3"/>
  <c r="BQ50" i="3"/>
  <c r="BQ31" i="3"/>
  <c r="BQ6" i="3"/>
  <c r="BQ64" i="3"/>
  <c r="BQ5" i="3"/>
  <c r="BQ74" i="3"/>
  <c r="BQ7" i="3"/>
  <c r="BQ62" i="3"/>
  <c r="BQ81" i="3"/>
  <c r="BQ77" i="3"/>
  <c r="BQ38" i="3"/>
  <c r="BQ13" i="3"/>
  <c r="BQ8" i="3"/>
  <c r="BQ90" i="3"/>
  <c r="O96" i="3"/>
  <c r="AE96" i="3"/>
  <c r="R96" i="3"/>
  <c r="BL96" i="3"/>
  <c r="N96" i="3"/>
  <c r="AS96" i="3"/>
  <c r="I96" i="3"/>
  <c r="AT96" i="3"/>
  <c r="AX96" i="3"/>
  <c r="AM96" i="3"/>
  <c r="U96" i="3"/>
  <c r="BA96" i="3"/>
  <c r="AL96" i="3"/>
  <c r="AL97" i="3" s="1"/>
  <c r="BO96" i="3"/>
  <c r="BD96" i="3"/>
  <c r="BC96" i="3"/>
  <c r="BM96" i="3"/>
  <c r="AA96" i="3"/>
  <c r="AQ96" i="3"/>
  <c r="AU96" i="3"/>
  <c r="AD96" i="3"/>
  <c r="BG96" i="3"/>
  <c r="AY96" i="3"/>
  <c r="L96" i="3"/>
  <c r="L97" i="3" s="1"/>
  <c r="BF96" i="3"/>
  <c r="BF97" i="3" s="1"/>
  <c r="Z96" i="3"/>
  <c r="AI96" i="3"/>
  <c r="P96" i="3"/>
  <c r="AK96" i="3"/>
  <c r="Y96" i="3"/>
  <c r="BJ96" i="3"/>
  <c r="AP96" i="3"/>
  <c r="BK96" i="3"/>
  <c r="AJ96" i="3"/>
  <c r="AJ97" i="3" s="1"/>
  <c r="W96" i="3"/>
  <c r="AW96" i="3"/>
  <c r="AG96" i="3"/>
  <c r="AZ96" i="3"/>
  <c r="AR96" i="3"/>
  <c r="BI96" i="3"/>
  <c r="BH96" i="3"/>
  <c r="H96" i="3"/>
  <c r="H97" i="3" s="1"/>
  <c r="BB96" i="3"/>
  <c r="BB97" i="3" s="1"/>
  <c r="AB96" i="3"/>
  <c r="AN96" i="3"/>
  <c r="AN97" i="3" s="1"/>
  <c r="J96" i="3"/>
  <c r="J97" i="3" s="1"/>
  <c r="AC96" i="3"/>
  <c r="BN96" i="3"/>
  <c r="X96" i="3"/>
  <c r="X97" i="3" s="1"/>
  <c r="V96" i="3"/>
  <c r="Q96" i="3"/>
  <c r="AO96" i="3"/>
  <c r="T96" i="3"/>
  <c r="BC58" i="1"/>
  <c r="AA58" i="1"/>
  <c r="AW58" i="1"/>
  <c r="AX58" i="1"/>
  <c r="AY58" i="1"/>
  <c r="AV58" i="1"/>
  <c r="AV59" i="1"/>
  <c r="AV60" i="1" s="1"/>
  <c r="AQ58" i="1"/>
  <c r="AZ58" i="1"/>
  <c r="AZ59" i="1" s="1"/>
  <c r="AT58" i="1"/>
  <c r="AE58" i="1"/>
  <c r="AN58" i="1"/>
  <c r="AH58" i="1"/>
  <c r="AL58" i="1"/>
  <c r="AM58" i="1"/>
  <c r="S58" i="1"/>
  <c r="AB58" i="1"/>
  <c r="V58" i="1"/>
  <c r="AI58" i="1"/>
  <c r="M58" i="1"/>
  <c r="O58" i="1"/>
  <c r="BE58" i="1"/>
  <c r="AP58" i="1"/>
  <c r="J58" i="1"/>
  <c r="J59" i="1" s="1"/>
  <c r="J60" i="1" s="1"/>
  <c r="BF58" i="1"/>
  <c r="AS58" i="1"/>
  <c r="AD58" i="1"/>
  <c r="AD59" i="1" s="1"/>
  <c r="Z58" i="1"/>
  <c r="Z59" i="1" s="1"/>
  <c r="AU58" i="1"/>
  <c r="AG58" i="1"/>
  <c r="R58" i="1"/>
  <c r="R59" i="1" s="1"/>
  <c r="N58" i="1"/>
  <c r="BB58" i="1"/>
  <c r="BB59" i="1" s="1"/>
  <c r="U58" i="1"/>
  <c r="K58" i="1"/>
  <c r="L58" i="1"/>
  <c r="BG58" i="1"/>
  <c r="AK58" i="1"/>
  <c r="P58" i="1"/>
  <c r="BH58" i="1"/>
  <c r="BD58" i="1"/>
  <c r="BA58" i="1"/>
  <c r="Y58" i="1"/>
  <c r="BI58" i="1"/>
  <c r="I58" i="1"/>
  <c r="AR58" i="1"/>
  <c r="AO58" i="1"/>
  <c r="AJ58" i="1"/>
  <c r="AF58" i="1"/>
  <c r="AC58" i="1"/>
  <c r="X58" i="1"/>
  <c r="T58" i="1"/>
  <c r="Q58" i="1"/>
  <c r="W58" i="1"/>
  <c r="BN97" i="3" l="1"/>
  <c r="AP97" i="3"/>
  <c r="R97" i="3"/>
  <c r="BH97" i="3"/>
  <c r="AR97" i="3"/>
  <c r="AH97" i="3"/>
  <c r="BT1" i="3"/>
  <c r="BR86" i="3"/>
  <c r="BR19" i="3"/>
  <c r="BR38" i="3"/>
  <c r="BR54" i="3"/>
  <c r="BR70" i="3"/>
  <c r="BR56" i="3"/>
  <c r="BR61" i="3"/>
  <c r="BR83" i="3"/>
  <c r="BR28" i="3"/>
  <c r="BR71" i="3"/>
  <c r="BR73" i="3"/>
  <c r="BR17" i="3"/>
  <c r="BR51" i="3"/>
  <c r="BR25" i="3"/>
  <c r="BR82" i="3"/>
  <c r="BR89" i="3"/>
  <c r="BR85" i="3"/>
  <c r="BR7" i="3"/>
  <c r="BR64" i="3"/>
  <c r="BR20" i="3"/>
  <c r="BR60" i="3"/>
  <c r="BR13" i="3"/>
  <c r="BR67" i="3"/>
  <c r="BR65" i="3"/>
  <c r="BR88" i="3"/>
  <c r="BR87" i="3"/>
  <c r="BR6" i="3"/>
  <c r="BR3" i="3"/>
  <c r="BR90" i="3"/>
  <c r="BR81" i="3"/>
  <c r="BR77" i="3"/>
  <c r="BR39" i="3"/>
  <c r="BR95" i="3"/>
  <c r="BR44" i="3"/>
  <c r="BR49" i="3"/>
  <c r="BR43" i="3"/>
  <c r="BR4" i="3"/>
  <c r="BR23" i="3"/>
  <c r="BR66" i="3"/>
  <c r="BR93" i="3"/>
  <c r="BR84" i="3"/>
  <c r="BR91" i="3"/>
  <c r="BR94" i="3"/>
  <c r="BR48" i="3"/>
  <c r="BR33" i="3"/>
  <c r="BR15" i="3"/>
  <c r="BR32" i="3"/>
  <c r="BR26" i="3"/>
  <c r="BR50" i="3"/>
  <c r="BR31" i="3"/>
  <c r="BR75" i="3"/>
  <c r="BR34" i="3"/>
  <c r="BR57" i="3"/>
  <c r="BR42" i="3"/>
  <c r="BR74" i="3"/>
  <c r="BR45" i="3"/>
  <c r="BR22" i="3"/>
  <c r="BR21" i="3"/>
  <c r="BR30" i="3"/>
  <c r="BR55" i="3"/>
  <c r="BR40" i="3"/>
  <c r="BR16" i="3"/>
  <c r="BR69" i="3"/>
  <c r="BR80" i="3"/>
  <c r="BR78" i="3"/>
  <c r="BR27" i="3"/>
  <c r="BR41" i="3"/>
  <c r="BR12" i="3"/>
  <c r="BR8" i="3"/>
  <c r="BR62" i="3"/>
  <c r="BR79" i="3"/>
  <c r="BR46" i="3"/>
  <c r="BR37" i="3"/>
  <c r="BR35" i="3"/>
  <c r="BR53" i="3"/>
  <c r="BR24" i="3"/>
  <c r="BR63" i="3"/>
  <c r="BR72" i="3"/>
  <c r="BR5" i="3"/>
  <c r="BR92" i="3"/>
  <c r="BR76" i="3"/>
  <c r="BR14" i="3"/>
  <c r="BR9" i="3"/>
  <c r="BR29" i="3"/>
  <c r="BR59" i="3"/>
  <c r="BR36" i="3"/>
  <c r="BR47" i="3"/>
  <c r="BR10" i="3"/>
  <c r="BR18" i="3"/>
  <c r="BR52" i="3"/>
  <c r="BR68" i="3"/>
  <c r="BR11" i="3"/>
  <c r="BR58" i="3"/>
  <c r="AD97" i="3"/>
  <c r="T97" i="3"/>
  <c r="AB97" i="3"/>
  <c r="BJ97" i="3"/>
  <c r="AT97" i="3"/>
  <c r="AT98" i="3" s="1"/>
  <c r="AF97" i="3"/>
  <c r="AX97" i="3"/>
  <c r="P97" i="3"/>
  <c r="V97" i="3"/>
  <c r="AZ97" i="3"/>
  <c r="BD97" i="3"/>
  <c r="N97" i="3"/>
  <c r="AV97" i="3"/>
  <c r="Z97" i="3"/>
  <c r="BL97" i="3"/>
  <c r="BL98" i="3" s="1"/>
  <c r="H98" i="3"/>
  <c r="BQ96" i="3"/>
  <c r="BP97" i="3" s="1"/>
  <c r="BP98" i="3" s="1"/>
  <c r="BJ98" i="3"/>
  <c r="AL98" i="3"/>
  <c r="BU1" i="3"/>
  <c r="BS4" i="3"/>
  <c r="BS8" i="3"/>
  <c r="BS5" i="3"/>
  <c r="BS40" i="3"/>
  <c r="BS7" i="3"/>
  <c r="BS24" i="3"/>
  <c r="BS63" i="3"/>
  <c r="BS74" i="3"/>
  <c r="BS65" i="3"/>
  <c r="BS13" i="3"/>
  <c r="BS79" i="3"/>
  <c r="BS47" i="3"/>
  <c r="BS10" i="3"/>
  <c r="BS64" i="3"/>
  <c r="BS86" i="3"/>
  <c r="BS62" i="3"/>
  <c r="BS19" i="3"/>
  <c r="BS38" i="3"/>
  <c r="BS6" i="3"/>
  <c r="BS36" i="3"/>
  <c r="BS3" i="3"/>
  <c r="BS81" i="3"/>
  <c r="BS80" i="3"/>
  <c r="BS14" i="3"/>
  <c r="BS55" i="3"/>
  <c r="BS46" i="3"/>
  <c r="BS57" i="3"/>
  <c r="BS31" i="3"/>
  <c r="BS20" i="3"/>
  <c r="BS60" i="3"/>
  <c r="BS54" i="3"/>
  <c r="BS26" i="3"/>
  <c r="BS44" i="3"/>
  <c r="BS75" i="3"/>
  <c r="BS39" i="3"/>
  <c r="BS33" i="3"/>
  <c r="BS68" i="3"/>
  <c r="BS42" i="3"/>
  <c r="BS91" i="3"/>
  <c r="BS48" i="3"/>
  <c r="BS84" i="3"/>
  <c r="BS87" i="3"/>
  <c r="BS72" i="3"/>
  <c r="BS93" i="3"/>
  <c r="BS92" i="3"/>
  <c r="BS34" i="3"/>
  <c r="BS78" i="3"/>
  <c r="BS66" i="3"/>
  <c r="BS83" i="3"/>
  <c r="BS15" i="3"/>
  <c r="BS11" i="3"/>
  <c r="BS85" i="3"/>
  <c r="BS77" i="3"/>
  <c r="BS52" i="3"/>
  <c r="BS37" i="3"/>
  <c r="BS67" i="3"/>
  <c r="BS28" i="3"/>
  <c r="BS82" i="3"/>
  <c r="BS61" i="3"/>
  <c r="BS18" i="3"/>
  <c r="BS89" i="3"/>
  <c r="BS16" i="3"/>
  <c r="BS25" i="3"/>
  <c r="BS32" i="3"/>
  <c r="BS90" i="3"/>
  <c r="BS69" i="3"/>
  <c r="BS21" i="3"/>
  <c r="BS95" i="3"/>
  <c r="BS53" i="3"/>
  <c r="BS88" i="3"/>
  <c r="BS94" i="3"/>
  <c r="BS27" i="3"/>
  <c r="BS29" i="3"/>
  <c r="BS41" i="3"/>
  <c r="BS12" i="3"/>
  <c r="BS58" i="3"/>
  <c r="BS49" i="3"/>
  <c r="BS50" i="3"/>
  <c r="BS76" i="3"/>
  <c r="BS45" i="3"/>
  <c r="BS43" i="3"/>
  <c r="BS56" i="3"/>
  <c r="BS35" i="3"/>
  <c r="BS30" i="3"/>
  <c r="BS22" i="3"/>
  <c r="BS17" i="3"/>
  <c r="BS51" i="3"/>
  <c r="BS70" i="3"/>
  <c r="BS73" i="3"/>
  <c r="BS9" i="3"/>
  <c r="BS71" i="3"/>
  <c r="BS59" i="3"/>
  <c r="BS23" i="3"/>
  <c r="J98" i="3"/>
  <c r="BN98" i="3"/>
  <c r="X98" i="3"/>
  <c r="AT59" i="1"/>
  <c r="P59" i="1"/>
  <c r="AX59" i="1"/>
  <c r="AX60" i="1" s="1"/>
  <c r="X59" i="1"/>
  <c r="X60" i="1" s="1"/>
  <c r="AF59" i="1"/>
  <c r="BF59" i="1"/>
  <c r="AH59" i="1"/>
  <c r="AH60" i="1" s="1"/>
  <c r="L59" i="1"/>
  <c r="L60" i="1" s="1"/>
  <c r="AN59" i="1"/>
  <c r="AN60" i="1" s="1"/>
  <c r="AP59" i="1"/>
  <c r="AP60" i="1" s="1"/>
  <c r="P60" i="1"/>
  <c r="AD60" i="1"/>
  <c r="AZ60" i="1"/>
  <c r="AL59" i="1"/>
  <c r="AL60" i="1" s="1"/>
  <c r="AJ59" i="1"/>
  <c r="AT60" i="1"/>
  <c r="BF60" i="1"/>
  <c r="AF60" i="1"/>
  <c r="BB60" i="1"/>
  <c r="R60" i="1"/>
  <c r="V59" i="1"/>
  <c r="AR59" i="1"/>
  <c r="N59" i="1"/>
  <c r="BD59" i="1"/>
  <c r="AB59" i="1"/>
  <c r="T59" i="1"/>
  <c r="BH59" i="1"/>
  <c r="Z60" i="1"/>
  <c r="BT81" i="3" l="1"/>
  <c r="BT46" i="3"/>
  <c r="BT16" i="3"/>
  <c r="BT66" i="3"/>
  <c r="BT60" i="3"/>
  <c r="BT70" i="3"/>
  <c r="BT77" i="3"/>
  <c r="BT4" i="3"/>
  <c r="BT49" i="3"/>
  <c r="BT59" i="3"/>
  <c r="BT53" i="3"/>
  <c r="BT36" i="3"/>
  <c r="BT82" i="3"/>
  <c r="BT6" i="3"/>
  <c r="BT55" i="3"/>
  <c r="BT54" i="3"/>
  <c r="BT78" i="3"/>
  <c r="BT63" i="3"/>
  <c r="BT74" i="3"/>
  <c r="BT84" i="3"/>
  <c r="BT48" i="3"/>
  <c r="BT12" i="3"/>
  <c r="BT21" i="3"/>
  <c r="BT20" i="3"/>
  <c r="BT18" i="3"/>
  <c r="BT31" i="3"/>
  <c r="BT67" i="3"/>
  <c r="BT28" i="3"/>
  <c r="BT92" i="3"/>
  <c r="BT10" i="3"/>
  <c r="BT88" i="3"/>
  <c r="BT34" i="3"/>
  <c r="BT41" i="3"/>
  <c r="BT51" i="3"/>
  <c r="BV1" i="3"/>
  <c r="BT79" i="3"/>
  <c r="BT91" i="3"/>
  <c r="BT94" i="3"/>
  <c r="BT19" i="3"/>
  <c r="BT76" i="3"/>
  <c r="BT52" i="3"/>
  <c r="BT29" i="3"/>
  <c r="BT90" i="3"/>
  <c r="BT37" i="3"/>
  <c r="BT93" i="3"/>
  <c r="BT65" i="3"/>
  <c r="BT33" i="3"/>
  <c r="BT42" i="3"/>
  <c r="BT27" i="3"/>
  <c r="BT56" i="3"/>
  <c r="BT57" i="3"/>
  <c r="BT30" i="3"/>
  <c r="BT43" i="3"/>
  <c r="BT8" i="3"/>
  <c r="BT89" i="3"/>
  <c r="BT44" i="3"/>
  <c r="BT38" i="3"/>
  <c r="BT75" i="3"/>
  <c r="BT24" i="3"/>
  <c r="BT32" i="3"/>
  <c r="BT68" i="3"/>
  <c r="BT17" i="3"/>
  <c r="BT25" i="3"/>
  <c r="BT26" i="3"/>
  <c r="BT47" i="3"/>
  <c r="BT86" i="3"/>
  <c r="BT14" i="3"/>
  <c r="BT15" i="3"/>
  <c r="BT73" i="3"/>
  <c r="BT22" i="3"/>
  <c r="BT83" i="3"/>
  <c r="BT5" i="3"/>
  <c r="BT85" i="3"/>
  <c r="BT39" i="3"/>
  <c r="BT87" i="3"/>
  <c r="BT95" i="3"/>
  <c r="BT50" i="3"/>
  <c r="BT62" i="3"/>
  <c r="BT80" i="3"/>
  <c r="BT69" i="3"/>
  <c r="BT45" i="3"/>
  <c r="BT58" i="3"/>
  <c r="BT71" i="3"/>
  <c r="BT35" i="3"/>
  <c r="BT72" i="3"/>
  <c r="BT9" i="3"/>
  <c r="BT61" i="3"/>
  <c r="BT13" i="3"/>
  <c r="BT23" i="3"/>
  <c r="BT3" i="3"/>
  <c r="BT7" i="3"/>
  <c r="BT64" i="3"/>
  <c r="BT11" i="3"/>
  <c r="BT40" i="3"/>
  <c r="BR96" i="3"/>
  <c r="BS96" i="3"/>
  <c r="BU4" i="3"/>
  <c r="BW1" i="3"/>
  <c r="BY1" i="3" s="1"/>
  <c r="BU8" i="3"/>
  <c r="BU89" i="3"/>
  <c r="BU31" i="3"/>
  <c r="BU40" i="3"/>
  <c r="BU36" i="3"/>
  <c r="BU86" i="3"/>
  <c r="BU5" i="3"/>
  <c r="BU3" i="3"/>
  <c r="BU79" i="3"/>
  <c r="BU78" i="3"/>
  <c r="BU7" i="3"/>
  <c r="BU51" i="3"/>
  <c r="BU64" i="3"/>
  <c r="BU26" i="3"/>
  <c r="BU62" i="3"/>
  <c r="BU19" i="3"/>
  <c r="BU63" i="3"/>
  <c r="BU81" i="3"/>
  <c r="BU57" i="3"/>
  <c r="BU6" i="3"/>
  <c r="BU77" i="3"/>
  <c r="BU60" i="3"/>
  <c r="BU47" i="3"/>
  <c r="BU52" i="3"/>
  <c r="BU67" i="3"/>
  <c r="BU74" i="3"/>
  <c r="BU92" i="3"/>
  <c r="BU75" i="3"/>
  <c r="BU24" i="3"/>
  <c r="BU20" i="3"/>
  <c r="BU80" i="3"/>
  <c r="BU53" i="3"/>
  <c r="BU46" i="3"/>
  <c r="BU76" i="3"/>
  <c r="BU23" i="3"/>
  <c r="BU44" i="3"/>
  <c r="BU10" i="3"/>
  <c r="BU14" i="3"/>
  <c r="BU38" i="3"/>
  <c r="BU29" i="3"/>
  <c r="BU37" i="3"/>
  <c r="BU15" i="3"/>
  <c r="BU69" i="3"/>
  <c r="BU16" i="3"/>
  <c r="BU68" i="3"/>
  <c r="BU91" i="3"/>
  <c r="BU13" i="3"/>
  <c r="BU65" i="3"/>
  <c r="BU71" i="3"/>
  <c r="BU28" i="3"/>
  <c r="BU45" i="3"/>
  <c r="BU33" i="3"/>
  <c r="BU21" i="3"/>
  <c r="BU43" i="3"/>
  <c r="BU66" i="3"/>
  <c r="BU87" i="3"/>
  <c r="BU90" i="3"/>
  <c r="BU27" i="3"/>
  <c r="BU58" i="3"/>
  <c r="BU55" i="3"/>
  <c r="BU42" i="3"/>
  <c r="BU82" i="3"/>
  <c r="BU22" i="3"/>
  <c r="BU41" i="3"/>
  <c r="BU39" i="3"/>
  <c r="BU34" i="3"/>
  <c r="BU70" i="3"/>
  <c r="BU49" i="3"/>
  <c r="BU95" i="3"/>
  <c r="BU59" i="3"/>
  <c r="BU72" i="3"/>
  <c r="BU88" i="3"/>
  <c r="BU85" i="3"/>
  <c r="BU83" i="3"/>
  <c r="BU32" i="3"/>
  <c r="BU93" i="3"/>
  <c r="BU61" i="3"/>
  <c r="BU56" i="3"/>
  <c r="BU12" i="3"/>
  <c r="BU17" i="3"/>
  <c r="BU25" i="3"/>
  <c r="BU9" i="3"/>
  <c r="BU84" i="3"/>
  <c r="BU73" i="3"/>
  <c r="BU48" i="3"/>
  <c r="BU54" i="3"/>
  <c r="BU18" i="3"/>
  <c r="BU11" i="3"/>
  <c r="BU94" i="3"/>
  <c r="BU30" i="3"/>
  <c r="BU50" i="3"/>
  <c r="BU35" i="3"/>
  <c r="AB98" i="3"/>
  <c r="AD98" i="3"/>
  <c r="AP98" i="3"/>
  <c r="AH98" i="3"/>
  <c r="N98" i="3"/>
  <c r="AN98" i="3"/>
  <c r="P98" i="3"/>
  <c r="AV98" i="3"/>
  <c r="V98" i="3"/>
  <c r="AJ98" i="3"/>
  <c r="Z98" i="3"/>
  <c r="BH98" i="3"/>
  <c r="AZ98" i="3"/>
  <c r="T98" i="3"/>
  <c r="AF98" i="3"/>
  <c r="BB98" i="3"/>
  <c r="AX98" i="3"/>
  <c r="AR98" i="3"/>
  <c r="R98" i="3"/>
  <c r="BF98" i="3"/>
  <c r="BD98" i="3"/>
  <c r="L98" i="3"/>
  <c r="BH60" i="1"/>
  <c r="BD60" i="1"/>
  <c r="AR60" i="1"/>
  <c r="T60" i="1"/>
  <c r="AB60" i="1"/>
  <c r="N60" i="1"/>
  <c r="C60" i="1"/>
  <c r="V60" i="1"/>
  <c r="AJ60" i="1"/>
  <c r="BV13" i="3" l="1"/>
  <c r="BV12" i="3"/>
  <c r="BV70" i="3"/>
  <c r="BV37" i="3"/>
  <c r="BV51" i="3"/>
  <c r="BV90" i="3"/>
  <c r="BV19" i="3"/>
  <c r="BV16" i="3"/>
  <c r="BV3" i="3"/>
  <c r="BV20" i="3"/>
  <c r="BV45" i="3"/>
  <c r="BV29" i="3"/>
  <c r="BV9" i="3"/>
  <c r="BV14" i="3"/>
  <c r="BV50" i="3"/>
  <c r="BV59" i="3"/>
  <c r="BV4" i="3"/>
  <c r="BV46" i="3"/>
  <c r="BV42" i="3"/>
  <c r="BV40" i="3"/>
  <c r="BV87" i="3"/>
  <c r="BV11" i="3"/>
  <c r="BV31" i="3"/>
  <c r="BV21" i="3"/>
  <c r="BV71" i="3"/>
  <c r="BV79" i="3"/>
  <c r="BV84" i="3"/>
  <c r="BV64" i="3"/>
  <c r="BV57" i="3"/>
  <c r="BV44" i="3"/>
  <c r="BV41" i="3"/>
  <c r="BV95" i="3"/>
  <c r="BV8" i="3"/>
  <c r="BV36" i="3"/>
  <c r="BV73" i="3"/>
  <c r="BV22" i="3"/>
  <c r="BV27" i="3"/>
  <c r="BV5" i="3"/>
  <c r="BV48" i="3"/>
  <c r="BV78" i="3"/>
  <c r="BV17" i="3"/>
  <c r="BV7" i="3"/>
  <c r="BV25" i="3"/>
  <c r="BV32" i="3"/>
  <c r="BV86" i="3"/>
  <c r="BV26" i="3"/>
  <c r="BV43" i="3"/>
  <c r="BV66" i="3"/>
  <c r="BV83" i="3"/>
  <c r="BV28" i="3"/>
  <c r="BV85" i="3"/>
  <c r="BV89" i="3"/>
  <c r="BV72" i="3"/>
  <c r="BV82" i="3"/>
  <c r="BV94" i="3"/>
  <c r="BV58" i="3"/>
  <c r="BV60" i="3"/>
  <c r="BV92" i="3"/>
  <c r="BV47" i="3"/>
  <c r="BV69" i="3"/>
  <c r="BV67" i="3"/>
  <c r="BV93" i="3"/>
  <c r="BV74" i="3"/>
  <c r="BV15" i="3"/>
  <c r="BV35" i="3"/>
  <c r="BV75" i="3"/>
  <c r="BV62" i="3"/>
  <c r="BV6" i="3"/>
  <c r="BV81" i="3"/>
  <c r="BV54" i="3"/>
  <c r="BV65" i="3"/>
  <c r="BV10" i="3"/>
  <c r="BV38" i="3"/>
  <c r="BV76" i="3"/>
  <c r="BX1" i="3"/>
  <c r="BV56" i="3"/>
  <c r="BV61" i="3"/>
  <c r="BV88" i="3"/>
  <c r="BV18" i="3"/>
  <c r="BV91" i="3"/>
  <c r="BV33" i="3"/>
  <c r="BV63" i="3"/>
  <c r="BV34" i="3"/>
  <c r="BV80" i="3"/>
  <c r="BV24" i="3"/>
  <c r="BV77" i="3"/>
  <c r="BV53" i="3"/>
  <c r="BV55" i="3"/>
  <c r="BV39" i="3"/>
  <c r="BV23" i="3"/>
  <c r="BV49" i="3"/>
  <c r="BV30" i="3"/>
  <c r="BV52" i="3"/>
  <c r="BV68" i="3"/>
  <c r="BT96" i="3"/>
  <c r="BR97" i="3"/>
  <c r="BR98" i="3" s="1"/>
  <c r="BU96" i="3"/>
  <c r="BW3" i="3"/>
  <c r="BW40" i="3"/>
  <c r="BW86" i="3"/>
  <c r="BW79" i="3"/>
  <c r="BW7" i="3"/>
  <c r="BW26" i="3"/>
  <c r="BW63" i="3"/>
  <c r="BW31" i="3"/>
  <c r="BW44" i="3"/>
  <c r="BW60" i="3"/>
  <c r="BW5" i="3"/>
  <c r="BW91" i="3"/>
  <c r="BW87" i="3"/>
  <c r="BW89" i="3"/>
  <c r="BW81" i="3"/>
  <c r="BW76" i="3"/>
  <c r="BW62" i="3"/>
  <c r="BW68" i="3"/>
  <c r="BW4" i="3"/>
  <c r="BW88" i="3"/>
  <c r="BW55" i="3"/>
  <c r="BW74" i="3"/>
  <c r="BW59" i="3"/>
  <c r="BW67" i="3"/>
  <c r="BW95" i="3"/>
  <c r="BW75" i="3"/>
  <c r="BW83" i="3"/>
  <c r="BW8" i="3"/>
  <c r="BW36" i="3"/>
  <c r="BW46" i="3"/>
  <c r="BW14" i="3"/>
  <c r="BW19" i="3"/>
  <c r="BW10" i="3"/>
  <c r="BW69" i="3"/>
  <c r="BW16" i="3"/>
  <c r="BW80" i="3"/>
  <c r="BW66" i="3"/>
  <c r="BW13" i="3"/>
  <c r="BW92" i="3"/>
  <c r="BW32" i="3"/>
  <c r="BW33" i="3"/>
  <c r="BW20" i="3"/>
  <c r="BW47" i="3"/>
  <c r="BW85" i="3"/>
  <c r="BW42" i="3"/>
  <c r="BW18" i="3"/>
  <c r="BW28" i="3"/>
  <c r="BW37" i="3"/>
  <c r="BW15" i="3"/>
  <c r="BW39" i="3"/>
  <c r="BW64" i="3"/>
  <c r="BW65" i="3"/>
  <c r="BW38" i="3"/>
  <c r="BW72" i="3"/>
  <c r="BW54" i="3"/>
  <c r="BW6" i="3"/>
  <c r="BW52" i="3"/>
  <c r="BW23" i="3"/>
  <c r="BW53" i="3"/>
  <c r="BW84" i="3"/>
  <c r="BW77" i="3"/>
  <c r="BW57" i="3"/>
  <c r="BW24" i="3"/>
  <c r="BW56" i="3"/>
  <c r="BW45" i="3"/>
  <c r="BW29" i="3"/>
  <c r="BW58" i="3"/>
  <c r="BW25" i="3"/>
  <c r="BW48" i="3"/>
  <c r="BW41" i="3"/>
  <c r="BW21" i="3"/>
  <c r="BW78" i="3"/>
  <c r="BW17" i="3"/>
  <c r="BW82" i="3"/>
  <c r="BW73" i="3"/>
  <c r="BW11" i="3"/>
  <c r="BW35" i="3"/>
  <c r="BW61" i="3"/>
  <c r="BW30" i="3"/>
  <c r="BW90" i="3"/>
  <c r="BW34" i="3"/>
  <c r="BW27" i="3"/>
  <c r="BW12" i="3"/>
  <c r="BW43" i="3"/>
  <c r="BW9" i="3"/>
  <c r="BW93" i="3"/>
  <c r="BW22" i="3"/>
  <c r="BW50" i="3"/>
  <c r="BW70" i="3"/>
  <c r="BW51" i="3"/>
  <c r="BW71" i="3"/>
  <c r="BW49" i="3"/>
  <c r="BW94" i="3"/>
  <c r="AJ61" i="1"/>
  <c r="AJ62" i="1" s="1"/>
  <c r="AJ64" i="1" s="1"/>
  <c r="BH61" i="1"/>
  <c r="BH62" i="1" s="1"/>
  <c r="BH64" i="1" s="1"/>
  <c r="AL61" i="1"/>
  <c r="AL62" i="1" s="1"/>
  <c r="AL64" i="1" s="1"/>
  <c r="N61" i="1"/>
  <c r="N62" i="1" s="1"/>
  <c r="N64" i="1" s="1"/>
  <c r="AN61" i="1"/>
  <c r="AN62" i="1" s="1"/>
  <c r="AN64" i="1" s="1"/>
  <c r="P61" i="1"/>
  <c r="P62" i="1" s="1"/>
  <c r="P64" i="1" s="1"/>
  <c r="AP61" i="1"/>
  <c r="AP62" i="1" s="1"/>
  <c r="AP64" i="1" s="1"/>
  <c r="R61" i="1"/>
  <c r="R62" i="1" s="1"/>
  <c r="R64" i="1" s="1"/>
  <c r="T61" i="1"/>
  <c r="T62" i="1" s="1"/>
  <c r="T64" i="1" s="1"/>
  <c r="AR61" i="1"/>
  <c r="AR62" i="1" s="1"/>
  <c r="AR64" i="1" s="1"/>
  <c r="J61" i="1"/>
  <c r="J62" i="1" s="1"/>
  <c r="J64" i="1" s="1"/>
  <c r="V61" i="1"/>
  <c r="V62" i="1" s="1"/>
  <c r="V64" i="1" s="1"/>
  <c r="AT61" i="1"/>
  <c r="AT62" i="1" s="1"/>
  <c r="AT64" i="1" s="1"/>
  <c r="L61" i="1"/>
  <c r="L62" i="1" s="1"/>
  <c r="L64" i="1" s="1"/>
  <c r="X61" i="1"/>
  <c r="X62" i="1" s="1"/>
  <c r="X64" i="1" s="1"/>
  <c r="AV61" i="1"/>
  <c r="AV62" i="1" s="1"/>
  <c r="AV64" i="1" s="1"/>
  <c r="H64" i="1"/>
  <c r="Z61" i="1"/>
  <c r="Z62" i="1" s="1"/>
  <c r="Z64" i="1" s="1"/>
  <c r="AX61" i="1"/>
  <c r="AX62" i="1" s="1"/>
  <c r="AX64" i="1" s="1"/>
  <c r="AB61" i="1"/>
  <c r="AB62" i="1" s="1"/>
  <c r="AB64" i="1" s="1"/>
  <c r="AZ61" i="1"/>
  <c r="AZ62" i="1" s="1"/>
  <c r="AZ64" i="1" s="1"/>
  <c r="AD61" i="1"/>
  <c r="AD62" i="1" s="1"/>
  <c r="AD64" i="1" s="1"/>
  <c r="BB61" i="1"/>
  <c r="BB62" i="1" s="1"/>
  <c r="BB64" i="1" s="1"/>
  <c r="AF61" i="1"/>
  <c r="AF62" i="1" s="1"/>
  <c r="AF64" i="1" s="1"/>
  <c r="BD61" i="1"/>
  <c r="BD62" i="1" s="1"/>
  <c r="BD64" i="1" s="1"/>
  <c r="AH61" i="1"/>
  <c r="AH62" i="1" s="1"/>
  <c r="AH64" i="1" s="1"/>
  <c r="BF61" i="1"/>
  <c r="BF62" i="1" s="1"/>
  <c r="BF64" i="1" s="1"/>
  <c r="BV96" i="3" l="1"/>
  <c r="BX3" i="3"/>
  <c r="BX20" i="3"/>
  <c r="BX77" i="3"/>
  <c r="BX4" i="3"/>
  <c r="BX90" i="3"/>
  <c r="BX28" i="3"/>
  <c r="BX25" i="3"/>
  <c r="BX54" i="3"/>
  <c r="BZ1" i="3"/>
  <c r="BX93" i="3"/>
  <c r="BX83" i="3"/>
  <c r="BX16" i="3"/>
  <c r="BX37" i="3"/>
  <c r="BX48" i="3"/>
  <c r="BX50" i="3"/>
  <c r="BX43" i="3"/>
  <c r="BX29" i="3"/>
  <c r="BX18" i="3"/>
  <c r="BX27" i="3"/>
  <c r="BX94" i="3"/>
  <c r="BX14" i="3"/>
  <c r="BX12" i="3"/>
  <c r="BX15" i="3"/>
  <c r="BX91" i="3"/>
  <c r="BX23" i="3"/>
  <c r="BX45" i="3"/>
  <c r="BX74" i="3"/>
  <c r="BX72" i="3"/>
  <c r="BX44" i="3"/>
  <c r="BX52" i="3"/>
  <c r="BX73" i="3"/>
  <c r="BX87" i="3"/>
  <c r="BX53" i="3"/>
  <c r="BX58" i="3"/>
  <c r="BX7" i="3"/>
  <c r="BX86" i="3"/>
  <c r="BX78" i="3"/>
  <c r="BX66" i="3"/>
  <c r="BX80" i="3"/>
  <c r="BX17" i="3"/>
  <c r="BX9" i="3"/>
  <c r="BX61" i="3"/>
  <c r="BX5" i="3"/>
  <c r="BX13" i="3"/>
  <c r="BX69" i="3"/>
  <c r="BX81" i="3"/>
  <c r="BX33" i="3"/>
  <c r="BX82" i="3"/>
  <c r="BX71" i="3"/>
  <c r="BX59" i="3"/>
  <c r="BX88" i="3"/>
  <c r="BX68" i="3"/>
  <c r="BX84" i="3"/>
  <c r="BX92" i="3"/>
  <c r="BX22" i="3"/>
  <c r="BX79" i="3"/>
  <c r="BX6" i="3"/>
  <c r="BX34" i="3"/>
  <c r="BX75" i="3"/>
  <c r="BX35" i="3"/>
  <c r="BX19" i="3"/>
  <c r="BX42" i="3"/>
  <c r="BX60" i="3"/>
  <c r="BX41" i="3"/>
  <c r="BX57" i="3"/>
  <c r="BX62" i="3"/>
  <c r="BX76" i="3"/>
  <c r="BX24" i="3"/>
  <c r="BX26" i="3"/>
  <c r="BX65" i="3"/>
  <c r="BX47" i="3"/>
  <c r="BX64" i="3"/>
  <c r="BX31" i="3"/>
  <c r="BX36" i="3"/>
  <c r="BX38" i="3"/>
  <c r="BX32" i="3"/>
  <c r="BX30" i="3"/>
  <c r="BX89" i="3"/>
  <c r="BX10" i="3"/>
  <c r="BX11" i="3"/>
  <c r="BX46" i="3"/>
  <c r="BX95" i="3"/>
  <c r="BX67" i="3"/>
  <c r="BX39" i="3"/>
  <c r="BX55" i="3"/>
  <c r="BX56" i="3"/>
  <c r="BX8" i="3"/>
  <c r="BX70" i="3"/>
  <c r="BX85" i="3"/>
  <c r="BX40" i="3"/>
  <c r="BX21" i="3"/>
  <c r="BX51" i="3"/>
  <c r="BX63" i="3"/>
  <c r="BX49" i="3"/>
  <c r="BT97" i="3"/>
  <c r="BT98" i="3" s="1"/>
  <c r="BW96" i="3"/>
  <c r="BV97" i="3" s="1"/>
  <c r="CA1" i="3"/>
  <c r="BY7" i="3"/>
  <c r="BY36" i="3"/>
  <c r="BY26" i="3"/>
  <c r="BY55" i="3"/>
  <c r="BY62" i="3"/>
  <c r="BY95" i="3"/>
  <c r="BY6" i="3"/>
  <c r="BY63" i="3"/>
  <c r="BY38" i="3"/>
  <c r="BY8" i="3"/>
  <c r="BY77" i="3"/>
  <c r="BY44" i="3"/>
  <c r="BY46" i="3"/>
  <c r="BY82" i="3"/>
  <c r="BY89" i="3"/>
  <c r="BY64" i="3"/>
  <c r="BY40" i="3"/>
  <c r="BY4" i="3"/>
  <c r="BY19" i="3"/>
  <c r="BY66" i="3"/>
  <c r="BY80" i="3"/>
  <c r="BY5" i="3"/>
  <c r="BY75" i="3"/>
  <c r="BY84" i="3"/>
  <c r="BY86" i="3"/>
  <c r="BY47" i="3"/>
  <c r="BY57" i="3"/>
  <c r="BY14" i="3"/>
  <c r="BY74" i="3"/>
  <c r="BY79" i="3"/>
  <c r="BY16" i="3"/>
  <c r="BY90" i="3"/>
  <c r="BY67" i="3"/>
  <c r="BY52" i="3"/>
  <c r="BY34" i="3"/>
  <c r="BY13" i="3"/>
  <c r="BY29" i="3"/>
  <c r="BY53" i="3"/>
  <c r="BY54" i="3"/>
  <c r="BY65" i="3"/>
  <c r="BY32" i="3"/>
  <c r="BY87" i="3"/>
  <c r="BY20" i="3"/>
  <c r="BY39" i="3"/>
  <c r="BY68" i="3"/>
  <c r="BY3" i="3"/>
  <c r="BY23" i="3"/>
  <c r="BY33" i="3"/>
  <c r="BY93" i="3"/>
  <c r="BY35" i="3"/>
  <c r="BY25" i="3"/>
  <c r="BY11" i="3"/>
  <c r="BY10" i="3"/>
  <c r="BY76" i="3"/>
  <c r="BY69" i="3"/>
  <c r="BY58" i="3"/>
  <c r="BY37" i="3"/>
  <c r="BY88" i="3"/>
  <c r="BY15" i="3"/>
  <c r="BY91" i="3"/>
  <c r="BY94" i="3"/>
  <c r="BY85" i="3"/>
  <c r="BY27" i="3"/>
  <c r="BY60" i="3"/>
  <c r="BY73" i="3"/>
  <c r="BY50" i="3"/>
  <c r="BY81" i="3"/>
  <c r="BY48" i="3"/>
  <c r="BY43" i="3"/>
  <c r="BY18" i="3"/>
  <c r="BY61" i="3"/>
  <c r="BY51" i="3"/>
  <c r="BY78" i="3"/>
  <c r="BY41" i="3"/>
  <c r="BY71" i="3"/>
  <c r="BY28" i="3"/>
  <c r="BY31" i="3"/>
  <c r="BY24" i="3"/>
  <c r="BY59" i="3"/>
  <c r="BY70" i="3"/>
  <c r="BY92" i="3"/>
  <c r="BY12" i="3"/>
  <c r="BY21" i="3"/>
  <c r="BY42" i="3"/>
  <c r="BY30" i="3"/>
  <c r="BY56" i="3"/>
  <c r="BY17" i="3"/>
  <c r="BY45" i="3"/>
  <c r="BY72" i="3"/>
  <c r="BY83" i="3"/>
  <c r="BY9" i="3"/>
  <c r="BY22" i="3"/>
  <c r="BY49" i="3"/>
  <c r="CB1" i="3" l="1"/>
  <c r="BZ89" i="3"/>
  <c r="BZ31" i="3"/>
  <c r="BZ54" i="3"/>
  <c r="BZ34" i="3"/>
  <c r="BZ72" i="3"/>
  <c r="BZ45" i="3"/>
  <c r="BZ35" i="3"/>
  <c r="BZ3" i="3"/>
  <c r="BZ26" i="3"/>
  <c r="BZ63" i="3"/>
  <c r="BZ9" i="3"/>
  <c r="BZ85" i="3"/>
  <c r="BZ95" i="3"/>
  <c r="BZ84" i="3"/>
  <c r="BZ43" i="3"/>
  <c r="BZ40" i="3"/>
  <c r="BZ11" i="3"/>
  <c r="BZ60" i="3"/>
  <c r="BZ19" i="3"/>
  <c r="BZ68" i="3"/>
  <c r="BZ77" i="3"/>
  <c r="BZ87" i="3"/>
  <c r="BZ24" i="3"/>
  <c r="BZ21" i="3"/>
  <c r="BZ6" i="3"/>
  <c r="BZ79" i="3"/>
  <c r="BZ16" i="3"/>
  <c r="BZ46" i="3"/>
  <c r="BZ67" i="3"/>
  <c r="BZ94" i="3"/>
  <c r="BZ71" i="3"/>
  <c r="BZ18" i="3"/>
  <c r="BZ20" i="3"/>
  <c r="BZ80" i="3"/>
  <c r="BZ76" i="3"/>
  <c r="BZ44" i="3"/>
  <c r="BZ38" i="3"/>
  <c r="BZ53" i="3"/>
  <c r="BZ7" i="3"/>
  <c r="BZ39" i="3"/>
  <c r="BZ50" i="3"/>
  <c r="BZ15" i="3"/>
  <c r="BZ25" i="3"/>
  <c r="BZ29" i="3"/>
  <c r="BZ17" i="3"/>
  <c r="BZ23" i="3"/>
  <c r="BZ83" i="3"/>
  <c r="BZ5" i="3"/>
  <c r="BZ4" i="3"/>
  <c r="BZ75" i="3"/>
  <c r="BZ65" i="3"/>
  <c r="BZ57" i="3"/>
  <c r="BZ48" i="3"/>
  <c r="BZ22" i="3"/>
  <c r="BZ49" i="3"/>
  <c r="BZ93" i="3"/>
  <c r="BZ73" i="3"/>
  <c r="BZ62" i="3"/>
  <c r="BZ86" i="3"/>
  <c r="BZ82" i="3"/>
  <c r="BZ58" i="3"/>
  <c r="BZ55" i="3"/>
  <c r="BZ56" i="3"/>
  <c r="BZ36" i="3"/>
  <c r="BZ91" i="3"/>
  <c r="BZ81" i="3"/>
  <c r="BZ37" i="3"/>
  <c r="BZ10" i="3"/>
  <c r="BZ70" i="3"/>
  <c r="BZ42" i="3"/>
  <c r="BZ51" i="3"/>
  <c r="BZ90" i="3"/>
  <c r="BZ88" i="3"/>
  <c r="BZ32" i="3"/>
  <c r="BZ28" i="3"/>
  <c r="BZ30" i="3"/>
  <c r="BZ61" i="3"/>
  <c r="BZ92" i="3"/>
  <c r="BZ74" i="3"/>
  <c r="BZ13" i="3"/>
  <c r="BZ12" i="3"/>
  <c r="BZ64" i="3"/>
  <c r="BZ33" i="3"/>
  <c r="BZ66" i="3"/>
  <c r="BZ41" i="3"/>
  <c r="BZ47" i="3"/>
  <c r="BZ27" i="3"/>
  <c r="BZ59" i="3"/>
  <c r="BZ8" i="3"/>
  <c r="BZ69" i="3"/>
  <c r="BZ78" i="3"/>
  <c r="BZ14" i="3"/>
  <c r="BZ52" i="3"/>
  <c r="BX96" i="3"/>
  <c r="CC1" i="3"/>
  <c r="CA4" i="3"/>
  <c r="CA8" i="3"/>
  <c r="CA3" i="3"/>
  <c r="CA7" i="3"/>
  <c r="CA63" i="3"/>
  <c r="CA79" i="3"/>
  <c r="CA20" i="3"/>
  <c r="CA17" i="3"/>
  <c r="CA19" i="3"/>
  <c r="CA85" i="3"/>
  <c r="CA31" i="3"/>
  <c r="CA26" i="3"/>
  <c r="CA44" i="3"/>
  <c r="CA46" i="3"/>
  <c r="CA6" i="3"/>
  <c r="CA81" i="3"/>
  <c r="CA36" i="3"/>
  <c r="CA70" i="3"/>
  <c r="CA75" i="3"/>
  <c r="CA40" i="3"/>
  <c r="CA64" i="3"/>
  <c r="CA86" i="3"/>
  <c r="CA13" i="3"/>
  <c r="CA16" i="3"/>
  <c r="CA5" i="3"/>
  <c r="CA72" i="3"/>
  <c r="CA49" i="3"/>
  <c r="CA52" i="3"/>
  <c r="CA29" i="3"/>
  <c r="CA38" i="3"/>
  <c r="CA41" i="3"/>
  <c r="CA43" i="3"/>
  <c r="CA76" i="3"/>
  <c r="CA10" i="3"/>
  <c r="CA80" i="3"/>
  <c r="CA83" i="3"/>
  <c r="CA67" i="3"/>
  <c r="CA90" i="3"/>
  <c r="CA87" i="3"/>
  <c r="CA74" i="3"/>
  <c r="CA24" i="3"/>
  <c r="CA34" i="3"/>
  <c r="CA37" i="3"/>
  <c r="CA39" i="3"/>
  <c r="CA42" i="3"/>
  <c r="CA93" i="3"/>
  <c r="CA68" i="3"/>
  <c r="CA32" i="3"/>
  <c r="CA28" i="3"/>
  <c r="CA62" i="3"/>
  <c r="CA92" i="3"/>
  <c r="CA77" i="3"/>
  <c r="CA89" i="3"/>
  <c r="CA23" i="3"/>
  <c r="CA15" i="3"/>
  <c r="CA78" i="3"/>
  <c r="CA94" i="3"/>
  <c r="CA95" i="3"/>
  <c r="CA47" i="3"/>
  <c r="CA12" i="3"/>
  <c r="CA21" i="3"/>
  <c r="CA50" i="3"/>
  <c r="CA57" i="3"/>
  <c r="CA59" i="3"/>
  <c r="CA65" i="3"/>
  <c r="CA54" i="3"/>
  <c r="CA55" i="3"/>
  <c r="CA18" i="3"/>
  <c r="CA71" i="3"/>
  <c r="CA48" i="3"/>
  <c r="CA22" i="3"/>
  <c r="CA25" i="3"/>
  <c r="CA45" i="3"/>
  <c r="CA91" i="3"/>
  <c r="CA61" i="3"/>
  <c r="CA53" i="3"/>
  <c r="CA66" i="3"/>
  <c r="CA11" i="3"/>
  <c r="CA69" i="3"/>
  <c r="CA30" i="3"/>
  <c r="CA33" i="3"/>
  <c r="CA88" i="3"/>
  <c r="CA35" i="3"/>
  <c r="CA82" i="3"/>
  <c r="CA58" i="3"/>
  <c r="CA60" i="3"/>
  <c r="CA73" i="3"/>
  <c r="CA14" i="3"/>
  <c r="CA56" i="3"/>
  <c r="CA84" i="3"/>
  <c r="CA9" i="3"/>
  <c r="CA51" i="3"/>
  <c r="CA27" i="3"/>
  <c r="BV98" i="3"/>
  <c r="BY96" i="3"/>
  <c r="BX97" i="3" l="1"/>
  <c r="BZ96" i="3"/>
  <c r="CB7" i="3"/>
  <c r="CB26" i="3"/>
  <c r="CB46" i="3"/>
  <c r="CB54" i="3"/>
  <c r="CB64" i="3"/>
  <c r="CB39" i="3"/>
  <c r="CB78" i="3"/>
  <c r="CB41" i="3"/>
  <c r="CB55" i="3"/>
  <c r="CB40" i="3"/>
  <c r="CB53" i="3"/>
  <c r="CB65" i="3"/>
  <c r="CB38" i="3"/>
  <c r="CB89" i="3"/>
  <c r="CB57" i="3"/>
  <c r="CB13" i="3"/>
  <c r="CB4" i="3"/>
  <c r="CB88" i="3"/>
  <c r="CB59" i="3"/>
  <c r="CB30" i="3"/>
  <c r="CB49" i="3"/>
  <c r="CB15" i="3"/>
  <c r="CB5" i="3"/>
  <c r="CB21" i="3"/>
  <c r="CB51" i="3"/>
  <c r="CB12" i="3"/>
  <c r="CB25" i="3"/>
  <c r="CB16" i="3"/>
  <c r="CB87" i="3"/>
  <c r="CB66" i="3"/>
  <c r="CB47" i="3"/>
  <c r="CB36" i="3"/>
  <c r="CB35" i="3"/>
  <c r="CB34" i="3"/>
  <c r="CB80" i="3"/>
  <c r="CB24" i="3"/>
  <c r="CB11" i="3"/>
  <c r="CB95" i="3"/>
  <c r="CB86" i="3"/>
  <c r="CB29" i="3"/>
  <c r="CB18" i="3"/>
  <c r="CB23" i="3"/>
  <c r="CB48" i="3"/>
  <c r="CB9" i="3"/>
  <c r="CB6" i="3"/>
  <c r="CB76" i="3"/>
  <c r="CB28" i="3"/>
  <c r="CB75" i="3"/>
  <c r="CB31" i="3"/>
  <c r="CB14" i="3"/>
  <c r="CB94" i="3"/>
  <c r="CB17" i="3"/>
  <c r="CB91" i="3"/>
  <c r="CB42" i="3"/>
  <c r="CB56" i="3"/>
  <c r="CB85" i="3"/>
  <c r="CB52" i="3"/>
  <c r="CB90" i="3"/>
  <c r="CB33" i="3"/>
  <c r="CB22" i="3"/>
  <c r="CB8" i="3"/>
  <c r="CB67" i="3"/>
  <c r="CB43" i="3"/>
  <c r="CB58" i="3"/>
  <c r="CB92" i="3"/>
  <c r="CB84" i="3"/>
  <c r="CB50" i="3"/>
  <c r="CB63" i="3"/>
  <c r="CB3" i="3"/>
  <c r="CB71" i="3"/>
  <c r="CB32" i="3"/>
  <c r="CB68" i="3"/>
  <c r="CB60" i="3"/>
  <c r="CB72" i="3"/>
  <c r="CB62" i="3"/>
  <c r="CB44" i="3"/>
  <c r="CB74" i="3"/>
  <c r="CB45" i="3"/>
  <c r="CB93" i="3"/>
  <c r="CB73" i="3"/>
  <c r="CB79" i="3"/>
  <c r="CB82" i="3"/>
  <c r="CB20" i="3"/>
  <c r="CB83" i="3"/>
  <c r="CB27" i="3"/>
  <c r="CB69" i="3"/>
  <c r="CB81" i="3"/>
  <c r="CB77" i="3"/>
  <c r="CB61" i="3"/>
  <c r="CB10" i="3"/>
  <c r="CB37" i="3"/>
  <c r="CB19" i="3"/>
  <c r="CD1" i="3"/>
  <c r="CB70" i="3"/>
  <c r="BX98" i="3"/>
  <c r="CE1" i="3"/>
  <c r="CC55" i="3"/>
  <c r="CC13" i="3"/>
  <c r="CC76" i="3"/>
  <c r="CC7" i="3"/>
  <c r="CC40" i="3"/>
  <c r="CC6" i="3"/>
  <c r="CC19" i="3"/>
  <c r="CC5" i="3"/>
  <c r="CC8" i="3"/>
  <c r="CC31" i="3"/>
  <c r="CC74" i="3"/>
  <c r="CC61" i="3"/>
  <c r="CC62" i="3"/>
  <c r="CC36" i="3"/>
  <c r="CC77" i="3"/>
  <c r="CC38" i="3"/>
  <c r="CC4" i="3"/>
  <c r="CC83" i="3"/>
  <c r="CC90" i="3"/>
  <c r="CC45" i="3"/>
  <c r="CC95" i="3"/>
  <c r="CC70" i="3"/>
  <c r="CC44" i="3"/>
  <c r="CC84" i="3"/>
  <c r="CC94" i="3"/>
  <c r="CC79" i="3"/>
  <c r="CC69" i="3"/>
  <c r="CC80" i="3"/>
  <c r="CC59" i="3"/>
  <c r="CC67" i="3"/>
  <c r="CC73" i="3"/>
  <c r="CC92" i="3"/>
  <c r="CC56" i="3"/>
  <c r="CC24" i="3"/>
  <c r="CC58" i="3"/>
  <c r="CC63" i="3"/>
  <c r="CC53" i="3"/>
  <c r="CC14" i="3"/>
  <c r="CC20" i="3"/>
  <c r="CC52" i="3"/>
  <c r="CC29" i="3"/>
  <c r="CC54" i="3"/>
  <c r="CC28" i="3"/>
  <c r="CC39" i="3"/>
  <c r="CC87" i="3"/>
  <c r="CC64" i="3"/>
  <c r="CC33" i="3"/>
  <c r="CC15" i="3"/>
  <c r="CC88" i="3"/>
  <c r="CC46" i="3"/>
  <c r="CC93" i="3"/>
  <c r="CC18" i="3"/>
  <c r="CC26" i="3"/>
  <c r="CC66" i="3"/>
  <c r="CC34" i="3"/>
  <c r="CC11" i="3"/>
  <c r="CC72" i="3"/>
  <c r="CC32" i="3"/>
  <c r="CC86" i="3"/>
  <c r="CC42" i="3"/>
  <c r="CC22" i="3"/>
  <c r="CC25" i="3"/>
  <c r="CC23" i="3"/>
  <c r="CC82" i="3"/>
  <c r="CC27" i="3"/>
  <c r="CC35" i="3"/>
  <c r="CC81" i="3"/>
  <c r="CC16" i="3"/>
  <c r="CC3" i="3"/>
  <c r="CC43" i="3"/>
  <c r="CC50" i="3"/>
  <c r="CC60" i="3"/>
  <c r="CC68" i="3"/>
  <c r="CC41" i="3"/>
  <c r="CC12" i="3"/>
  <c r="CC71" i="3"/>
  <c r="CC9" i="3"/>
  <c r="CC48" i="3"/>
  <c r="CC17" i="3"/>
  <c r="CC51" i="3"/>
  <c r="CC37" i="3"/>
  <c r="CC91" i="3"/>
  <c r="CC10" i="3"/>
  <c r="CC65" i="3"/>
  <c r="CC78" i="3"/>
  <c r="CC47" i="3"/>
  <c r="CC75" i="3"/>
  <c r="CC85" i="3"/>
  <c r="CC21" i="3"/>
  <c r="CC89" i="3"/>
  <c r="CC30" i="3"/>
  <c r="CC57" i="3"/>
  <c r="CC49" i="3"/>
  <c r="CA96" i="3"/>
  <c r="BZ97" i="3" s="1"/>
  <c r="CB96" i="3" l="1"/>
  <c r="CD77" i="3"/>
  <c r="CD40" i="3"/>
  <c r="CD13" i="3"/>
  <c r="CD63" i="3"/>
  <c r="CD87" i="3"/>
  <c r="CD32" i="3"/>
  <c r="CD18" i="3"/>
  <c r="CD28" i="3"/>
  <c r="CF1" i="3"/>
  <c r="CD5" i="3"/>
  <c r="CD71" i="3"/>
  <c r="CD76" i="3"/>
  <c r="CD65" i="3"/>
  <c r="CD85" i="3"/>
  <c r="CD12" i="3"/>
  <c r="CD31" i="3"/>
  <c r="CD83" i="3"/>
  <c r="CD66" i="3"/>
  <c r="CD60" i="3"/>
  <c r="CD62" i="3"/>
  <c r="CD80" i="3"/>
  <c r="CD52" i="3"/>
  <c r="CD61" i="3"/>
  <c r="CD19" i="3"/>
  <c r="CD20" i="3"/>
  <c r="CD43" i="3"/>
  <c r="CD44" i="3"/>
  <c r="CD70" i="3"/>
  <c r="CD41" i="3"/>
  <c r="CD56" i="3"/>
  <c r="CD25" i="3"/>
  <c r="CD24" i="3"/>
  <c r="CD22" i="3"/>
  <c r="CD34" i="3"/>
  <c r="CD89" i="3"/>
  <c r="CD94" i="3"/>
  <c r="CD21" i="3"/>
  <c r="CD88" i="3"/>
  <c r="CD81" i="3"/>
  <c r="CD9" i="3"/>
  <c r="CD36" i="3"/>
  <c r="CD42" i="3"/>
  <c r="CD38" i="3"/>
  <c r="CD95" i="3"/>
  <c r="CD37" i="3"/>
  <c r="CD14" i="3"/>
  <c r="CD27" i="3"/>
  <c r="CD75" i="3"/>
  <c r="CD79" i="3"/>
  <c r="CD64" i="3"/>
  <c r="CD6" i="3"/>
  <c r="CD69" i="3"/>
  <c r="CD91" i="3"/>
  <c r="CD45" i="3"/>
  <c r="CD54" i="3"/>
  <c r="CD35" i="3"/>
  <c r="CD8" i="3"/>
  <c r="CD23" i="3"/>
  <c r="CD47" i="3"/>
  <c r="CD78" i="3"/>
  <c r="CD30" i="3"/>
  <c r="CD59" i="3"/>
  <c r="CD84" i="3"/>
  <c r="CD39" i="3"/>
  <c r="CD74" i="3"/>
  <c r="CD68" i="3"/>
  <c r="CD26" i="3"/>
  <c r="CD11" i="3"/>
  <c r="CD16" i="3"/>
  <c r="CD33" i="3"/>
  <c r="CD55" i="3"/>
  <c r="CD93" i="3"/>
  <c r="CD4" i="3"/>
  <c r="CD10" i="3"/>
  <c r="CD53" i="3"/>
  <c r="CD3" i="3"/>
  <c r="CD72" i="3"/>
  <c r="CD82" i="3"/>
  <c r="CD51" i="3"/>
  <c r="CD49" i="3"/>
  <c r="CD58" i="3"/>
  <c r="CD67" i="3"/>
  <c r="CD57" i="3"/>
  <c r="CD29" i="3"/>
  <c r="CD48" i="3"/>
  <c r="CD50" i="3"/>
  <c r="CD17" i="3"/>
  <c r="CD86" i="3"/>
  <c r="CD46" i="3"/>
  <c r="CD73" i="3"/>
  <c r="CD7" i="3"/>
  <c r="CD90" i="3"/>
  <c r="CD92" i="3"/>
  <c r="CD15" i="3"/>
  <c r="CC96" i="3"/>
  <c r="CG1" i="3"/>
  <c r="CE4" i="3"/>
  <c r="CE6" i="3"/>
  <c r="CE8" i="3"/>
  <c r="CE7" i="3"/>
  <c r="CE50" i="3"/>
  <c r="CE64" i="3"/>
  <c r="CE61" i="3"/>
  <c r="CE5" i="3"/>
  <c r="CE31" i="3"/>
  <c r="CE20" i="3"/>
  <c r="CE26" i="3"/>
  <c r="CE93" i="3"/>
  <c r="CE43" i="3"/>
  <c r="CE55" i="3"/>
  <c r="CE63" i="3"/>
  <c r="CE40" i="3"/>
  <c r="CE19" i="3"/>
  <c r="CE3" i="3"/>
  <c r="CE81" i="3"/>
  <c r="CE92" i="3"/>
  <c r="CE77" i="3"/>
  <c r="CE74" i="3"/>
  <c r="CE44" i="3"/>
  <c r="CE62" i="3"/>
  <c r="CE38" i="3"/>
  <c r="CE23" i="3"/>
  <c r="CE53" i="3"/>
  <c r="CE86" i="3"/>
  <c r="CE69" i="3"/>
  <c r="CE80" i="3"/>
  <c r="CE72" i="3"/>
  <c r="CE83" i="3"/>
  <c r="CE89" i="3"/>
  <c r="CE75" i="3"/>
  <c r="CE52" i="3"/>
  <c r="CE13" i="3"/>
  <c r="CE76" i="3"/>
  <c r="CE59" i="3"/>
  <c r="CE88" i="3"/>
  <c r="CE47" i="3"/>
  <c r="CE36" i="3"/>
  <c r="CE57" i="3"/>
  <c r="CE32" i="3"/>
  <c r="CE78" i="3"/>
  <c r="CE82" i="3"/>
  <c r="CE18" i="3"/>
  <c r="CE71" i="3"/>
  <c r="CE84" i="3"/>
  <c r="CE67" i="3"/>
  <c r="CE46" i="3"/>
  <c r="CE87" i="3"/>
  <c r="CE33" i="3"/>
  <c r="CE10" i="3"/>
  <c r="CE68" i="3"/>
  <c r="CE45" i="3"/>
  <c r="CE66" i="3"/>
  <c r="CE42" i="3"/>
  <c r="CE48" i="3"/>
  <c r="CE29" i="3"/>
  <c r="CE54" i="3"/>
  <c r="CE35" i="3"/>
  <c r="CE11" i="3"/>
  <c r="CE70" i="3"/>
  <c r="CE16" i="3"/>
  <c r="CE14" i="3"/>
  <c r="CE73" i="3"/>
  <c r="CE41" i="3"/>
  <c r="CE15" i="3"/>
  <c r="CE27" i="3"/>
  <c r="CE37" i="3"/>
  <c r="CE39" i="3"/>
  <c r="CE65" i="3"/>
  <c r="CE12" i="3"/>
  <c r="CE79" i="3"/>
  <c r="CE60" i="3"/>
  <c r="CE49" i="3"/>
  <c r="CE95" i="3"/>
  <c r="CE22" i="3"/>
  <c r="CE90" i="3"/>
  <c r="CE17" i="3"/>
  <c r="CE51" i="3"/>
  <c r="CE30" i="3"/>
  <c r="CE24" i="3"/>
  <c r="CE34" i="3"/>
  <c r="CE28" i="3"/>
  <c r="CE21" i="3"/>
  <c r="CE85" i="3"/>
  <c r="CE94" i="3"/>
  <c r="CE9" i="3"/>
  <c r="CE91" i="3"/>
  <c r="CE58" i="3"/>
  <c r="CE56" i="3"/>
  <c r="CE25" i="3"/>
  <c r="BZ98" i="3"/>
  <c r="CD96" i="3" l="1"/>
  <c r="CH1" i="3"/>
  <c r="CF3" i="3"/>
  <c r="CF86" i="3"/>
  <c r="CF64" i="3"/>
  <c r="CF14" i="3"/>
  <c r="CF87" i="3"/>
  <c r="CF7" i="3"/>
  <c r="CF44" i="3"/>
  <c r="CF22" i="3"/>
  <c r="CF6" i="3"/>
  <c r="CF53" i="3"/>
  <c r="CF54" i="3"/>
  <c r="CF27" i="3"/>
  <c r="CF35" i="3"/>
  <c r="CF34" i="3"/>
  <c r="CF36" i="3"/>
  <c r="CF72" i="3"/>
  <c r="CF10" i="3"/>
  <c r="CF60" i="3"/>
  <c r="CF40" i="3"/>
  <c r="CF21" i="3"/>
  <c r="CF11" i="3"/>
  <c r="CF93" i="3"/>
  <c r="CF66" i="3"/>
  <c r="CF69" i="3"/>
  <c r="CF78" i="3"/>
  <c r="CF71" i="3"/>
  <c r="CF57" i="3"/>
  <c r="CF85" i="3"/>
  <c r="CF32" i="3"/>
  <c r="CF46" i="3"/>
  <c r="CF59" i="3"/>
  <c r="CF76" i="3"/>
  <c r="CF24" i="3"/>
  <c r="CF17" i="3"/>
  <c r="CF90" i="3"/>
  <c r="CF23" i="3"/>
  <c r="CF77" i="3"/>
  <c r="CF75" i="3"/>
  <c r="CF74" i="3"/>
  <c r="CF52" i="3"/>
  <c r="CF80" i="3"/>
  <c r="CF95" i="3"/>
  <c r="CF5" i="3"/>
  <c r="CF39" i="3"/>
  <c r="CF38" i="3"/>
  <c r="CF91" i="3"/>
  <c r="CF55" i="3"/>
  <c r="CF68" i="3"/>
  <c r="CF4" i="3"/>
  <c r="CF30" i="3"/>
  <c r="CF20" i="3"/>
  <c r="CF41" i="3"/>
  <c r="CF29" i="3"/>
  <c r="CF33" i="3"/>
  <c r="CF19" i="3"/>
  <c r="CF15" i="3"/>
  <c r="CF9" i="3"/>
  <c r="CF82" i="3"/>
  <c r="CF26" i="3"/>
  <c r="CF43" i="3"/>
  <c r="CF42" i="3"/>
  <c r="CF25" i="3"/>
  <c r="CF49" i="3"/>
  <c r="CF8" i="3"/>
  <c r="CF18" i="3"/>
  <c r="CF70" i="3"/>
  <c r="CF63" i="3"/>
  <c r="CF94" i="3"/>
  <c r="CF62" i="3"/>
  <c r="CF28" i="3"/>
  <c r="CF73" i="3"/>
  <c r="CF79" i="3"/>
  <c r="CF45" i="3"/>
  <c r="CF67" i="3"/>
  <c r="CF84" i="3"/>
  <c r="CF61" i="3"/>
  <c r="CF88" i="3"/>
  <c r="CF51" i="3"/>
  <c r="CF65" i="3"/>
  <c r="CF48" i="3"/>
  <c r="CF50" i="3"/>
  <c r="CF56" i="3"/>
  <c r="CF13" i="3"/>
  <c r="CF89" i="3"/>
  <c r="CF83" i="3"/>
  <c r="CF81" i="3"/>
  <c r="CF16" i="3"/>
  <c r="CF47" i="3"/>
  <c r="CF58" i="3"/>
  <c r="CF37" i="3"/>
  <c r="CF92" i="3"/>
  <c r="CF31" i="3"/>
  <c r="CF12" i="3"/>
  <c r="CB97" i="3"/>
  <c r="CB98" i="3" s="1"/>
  <c r="CE96" i="3"/>
  <c r="CD97" i="3" s="1"/>
  <c r="CG4" i="3"/>
  <c r="CI1" i="3"/>
  <c r="CK1" i="3" s="1"/>
  <c r="CM1" i="3" s="1"/>
  <c r="CG6" i="3"/>
  <c r="CG8" i="3"/>
  <c r="CG50" i="3"/>
  <c r="CG3" i="3"/>
  <c r="CG89" i="3"/>
  <c r="CG31" i="3"/>
  <c r="CG90" i="3"/>
  <c r="CG44" i="3"/>
  <c r="CG38" i="3"/>
  <c r="CG55" i="3"/>
  <c r="CG86" i="3"/>
  <c r="CG47" i="3"/>
  <c r="CG20" i="3"/>
  <c r="CG62" i="3"/>
  <c r="CG5" i="3"/>
  <c r="CG40" i="3"/>
  <c r="CG74" i="3"/>
  <c r="CG79" i="3"/>
  <c r="CG51" i="3"/>
  <c r="CG81" i="3"/>
  <c r="CG67" i="3"/>
  <c r="CG7" i="3"/>
  <c r="CG19" i="3"/>
  <c r="CG77" i="3"/>
  <c r="CG26" i="3"/>
  <c r="CG60" i="3"/>
  <c r="CG72" i="3"/>
  <c r="CG66" i="3"/>
  <c r="CG24" i="3"/>
  <c r="CG75" i="3"/>
  <c r="CG92" i="3"/>
  <c r="CG10" i="3"/>
  <c r="CG69" i="3"/>
  <c r="CG63" i="3"/>
  <c r="CG46" i="3"/>
  <c r="CG76" i="3"/>
  <c r="CG93" i="3"/>
  <c r="CG84" i="3"/>
  <c r="CG23" i="3"/>
  <c r="CG68" i="3"/>
  <c r="CG80" i="3"/>
  <c r="CG88" i="3"/>
  <c r="CG39" i="3"/>
  <c r="CG16" i="3"/>
  <c r="CG29" i="3"/>
  <c r="CG15" i="3"/>
  <c r="CG64" i="3"/>
  <c r="CG36" i="3"/>
  <c r="CG32" i="3"/>
  <c r="CG18" i="3"/>
  <c r="CG34" i="3"/>
  <c r="CG71" i="3"/>
  <c r="CG91" i="3"/>
  <c r="CG13" i="3"/>
  <c r="CG14" i="3"/>
  <c r="CG54" i="3"/>
  <c r="CG42" i="3"/>
  <c r="CG52" i="3"/>
  <c r="CG61" i="3"/>
  <c r="CG56" i="3"/>
  <c r="CG21" i="3"/>
  <c r="CG87" i="3"/>
  <c r="CG70" i="3"/>
  <c r="CG27" i="3"/>
  <c r="CG12" i="3"/>
  <c r="CG17" i="3"/>
  <c r="CG59" i="3"/>
  <c r="CG57" i="3"/>
  <c r="CG95" i="3"/>
  <c r="CG53" i="3"/>
  <c r="CG33" i="3"/>
  <c r="CG45" i="3"/>
  <c r="CG11" i="3"/>
  <c r="CG35" i="3"/>
  <c r="CG41" i="3"/>
  <c r="CG85" i="3"/>
  <c r="CG83" i="3"/>
  <c r="CG58" i="3"/>
  <c r="CG25" i="3"/>
  <c r="CG9" i="3"/>
  <c r="CG65" i="3"/>
  <c r="CG48" i="3"/>
  <c r="CG78" i="3"/>
  <c r="CG73" i="3"/>
  <c r="CG22" i="3"/>
  <c r="CG30" i="3"/>
  <c r="CG43" i="3"/>
  <c r="CG28" i="3"/>
  <c r="CG82" i="3"/>
  <c r="CG49" i="3"/>
  <c r="CG94" i="3"/>
  <c r="CG37" i="3"/>
  <c r="CJ1" i="3" l="1"/>
  <c r="CH4" i="3"/>
  <c r="CH44" i="3"/>
  <c r="CH82" i="3"/>
  <c r="CH90" i="3"/>
  <c r="CH69" i="3"/>
  <c r="CH58" i="3"/>
  <c r="CH47" i="3"/>
  <c r="CH17" i="3"/>
  <c r="CH8" i="3"/>
  <c r="CH65" i="3"/>
  <c r="CH30" i="3"/>
  <c r="CH31" i="3"/>
  <c r="CH50" i="3"/>
  <c r="CH63" i="3"/>
  <c r="CH32" i="3"/>
  <c r="CH39" i="3"/>
  <c r="CH70" i="3"/>
  <c r="CH13" i="3"/>
  <c r="CH3" i="3"/>
  <c r="CH33" i="3"/>
  <c r="CH6" i="3"/>
  <c r="CH40" i="3"/>
  <c r="CH52" i="3"/>
  <c r="CH14" i="3"/>
  <c r="CH42" i="3"/>
  <c r="CH27" i="3"/>
  <c r="CH73" i="3"/>
  <c r="CH28" i="3"/>
  <c r="CH46" i="3"/>
  <c r="CH5" i="3"/>
  <c r="CH56" i="3"/>
  <c r="CH7" i="3"/>
  <c r="CH53" i="3"/>
  <c r="CH21" i="3"/>
  <c r="CH81" i="3"/>
  <c r="CH85" i="3"/>
  <c r="CH84" i="3"/>
  <c r="CH36" i="3"/>
  <c r="CH34" i="3"/>
  <c r="CH71" i="3"/>
  <c r="CH49" i="3"/>
  <c r="CH29" i="3"/>
  <c r="CH20" i="3"/>
  <c r="CH57" i="3"/>
  <c r="CH80" i="3"/>
  <c r="CH79" i="3"/>
  <c r="CH89" i="3"/>
  <c r="CH10" i="3"/>
  <c r="CH18" i="3"/>
  <c r="CH45" i="3"/>
  <c r="CH9" i="3"/>
  <c r="CH91" i="3"/>
  <c r="CH64" i="3"/>
  <c r="CH41" i="3"/>
  <c r="CH54" i="3"/>
  <c r="CH92" i="3"/>
  <c r="CH12" i="3"/>
  <c r="CH55" i="3"/>
  <c r="CH60" i="3"/>
  <c r="CH51" i="3"/>
  <c r="CH66" i="3"/>
  <c r="CH78" i="3"/>
  <c r="CH24" i="3"/>
  <c r="CH77" i="3"/>
  <c r="CH35" i="3"/>
  <c r="CH22" i="3"/>
  <c r="CH75" i="3"/>
  <c r="CH62" i="3"/>
  <c r="CH72" i="3"/>
  <c r="CH38" i="3"/>
  <c r="CH76" i="3"/>
  <c r="CH86" i="3"/>
  <c r="CH25" i="3"/>
  <c r="CH88" i="3"/>
  <c r="CH48" i="3"/>
  <c r="CH26" i="3"/>
  <c r="CH95" i="3"/>
  <c r="CH83" i="3"/>
  <c r="CH15" i="3"/>
  <c r="CH93" i="3"/>
  <c r="CH37" i="3"/>
  <c r="CH67" i="3"/>
  <c r="CH61" i="3"/>
  <c r="CH74" i="3"/>
  <c r="CH68" i="3"/>
  <c r="CH16" i="3"/>
  <c r="CH11" i="3"/>
  <c r="CH43" i="3"/>
  <c r="CH19" i="3"/>
  <c r="CH87" i="3"/>
  <c r="CH23" i="3"/>
  <c r="CH94" i="3"/>
  <c r="CH59" i="3"/>
  <c r="CF96" i="3"/>
  <c r="CG96" i="3"/>
  <c r="CF97" i="3" s="1"/>
  <c r="CI3" i="3"/>
  <c r="CI7" i="3"/>
  <c r="CI74" i="3"/>
  <c r="CI75" i="3"/>
  <c r="CI26" i="3"/>
  <c r="CI40" i="3"/>
  <c r="CI60" i="3"/>
  <c r="CI36" i="3"/>
  <c r="CI63" i="3"/>
  <c r="CI94" i="3"/>
  <c r="CI47" i="3"/>
  <c r="CI86" i="3"/>
  <c r="CI19" i="3"/>
  <c r="CI77" i="3"/>
  <c r="CI5" i="3"/>
  <c r="CI31" i="3"/>
  <c r="CI62" i="3"/>
  <c r="CI56" i="3"/>
  <c r="CI6" i="3"/>
  <c r="CI4" i="3"/>
  <c r="CI76" i="3"/>
  <c r="CI87" i="3"/>
  <c r="CI16" i="3"/>
  <c r="CI8" i="3"/>
  <c r="CI50" i="3"/>
  <c r="CI53" i="3"/>
  <c r="CI64" i="3"/>
  <c r="CI46" i="3"/>
  <c r="CI14" i="3"/>
  <c r="CI89" i="3"/>
  <c r="CI38" i="3"/>
  <c r="CI52" i="3"/>
  <c r="CI13" i="3"/>
  <c r="CI10" i="3"/>
  <c r="CI93" i="3"/>
  <c r="CI80" i="3"/>
  <c r="CI90" i="3"/>
  <c r="CI54" i="3"/>
  <c r="CI43" i="3"/>
  <c r="CI95" i="3"/>
  <c r="CI20" i="3"/>
  <c r="CI45" i="3"/>
  <c r="CI91" i="3"/>
  <c r="CI44" i="3"/>
  <c r="CI81" i="3"/>
  <c r="CI29" i="3"/>
  <c r="CI88" i="3"/>
  <c r="CI32" i="3"/>
  <c r="CI28" i="3"/>
  <c r="CI92" i="3"/>
  <c r="CI15" i="3"/>
  <c r="CI79" i="3"/>
  <c r="CI69" i="3"/>
  <c r="CI66" i="3"/>
  <c r="CI18" i="3"/>
  <c r="CI23" i="3"/>
  <c r="CI42" i="3"/>
  <c r="CI71" i="3"/>
  <c r="CI83" i="3"/>
  <c r="CI33" i="3"/>
  <c r="CI82" i="3"/>
  <c r="CI55" i="3"/>
  <c r="CI58" i="3"/>
  <c r="CI72" i="3"/>
  <c r="CI22" i="3"/>
  <c r="CI68" i="3"/>
  <c r="CI70" i="3"/>
  <c r="CI17" i="3"/>
  <c r="CI39" i="3"/>
  <c r="CI85" i="3"/>
  <c r="CI37" i="3"/>
  <c r="CI65" i="3"/>
  <c r="CI78" i="3"/>
  <c r="CI11" i="3"/>
  <c r="CI61" i="3"/>
  <c r="CI9" i="3"/>
  <c r="CI30" i="3"/>
  <c r="CI25" i="3"/>
  <c r="CI59" i="3"/>
  <c r="CI67" i="3"/>
  <c r="CI49" i="3"/>
  <c r="CI51" i="3"/>
  <c r="CI34" i="3"/>
  <c r="CI84" i="3"/>
  <c r="CI24" i="3"/>
  <c r="CI57" i="3"/>
  <c r="CI12" i="3"/>
  <c r="CI41" i="3"/>
  <c r="CI73" i="3"/>
  <c r="CI48" i="3"/>
  <c r="CI27" i="3"/>
  <c r="CI35" i="3"/>
  <c r="CI21" i="3"/>
  <c r="CD98" i="3"/>
  <c r="CH96" i="3" l="1"/>
  <c r="CL1" i="3"/>
  <c r="CJ5" i="3"/>
  <c r="CJ26" i="3"/>
  <c r="CJ20" i="3"/>
  <c r="CJ92" i="3"/>
  <c r="CJ61" i="3"/>
  <c r="CJ88" i="3"/>
  <c r="CJ77" i="3"/>
  <c r="CJ70" i="3"/>
  <c r="CJ9" i="3"/>
  <c r="CJ29" i="3"/>
  <c r="CJ43" i="3"/>
  <c r="CJ52" i="3"/>
  <c r="CJ87" i="3"/>
  <c r="CJ38" i="3"/>
  <c r="CJ44" i="3"/>
  <c r="CJ79" i="3"/>
  <c r="CJ45" i="3"/>
  <c r="CJ13" i="3"/>
  <c r="CJ59" i="3"/>
  <c r="CJ7" i="3"/>
  <c r="CJ12" i="3"/>
  <c r="CJ85" i="3"/>
  <c r="CJ60" i="3"/>
  <c r="CJ53" i="3"/>
  <c r="CJ18" i="3"/>
  <c r="CJ32" i="3"/>
  <c r="CJ36" i="3"/>
  <c r="CJ68" i="3"/>
  <c r="CJ74" i="3"/>
  <c r="CJ34" i="3"/>
  <c r="CJ42" i="3"/>
  <c r="CJ93" i="3"/>
  <c r="CJ17" i="3"/>
  <c r="CJ56" i="3"/>
  <c r="CJ41" i="3"/>
  <c r="CJ47" i="3"/>
  <c r="CJ83" i="3"/>
  <c r="CJ4" i="3"/>
  <c r="CJ73" i="3"/>
  <c r="CJ76" i="3"/>
  <c r="CJ75" i="3"/>
  <c r="CJ89" i="3"/>
  <c r="CJ30" i="3"/>
  <c r="CJ91" i="3"/>
  <c r="CJ39" i="3"/>
  <c r="CJ78" i="3"/>
  <c r="CJ63" i="3"/>
  <c r="CJ69" i="3"/>
  <c r="CJ64" i="3"/>
  <c r="CJ66" i="3"/>
  <c r="CJ19" i="3"/>
  <c r="CJ33" i="3"/>
  <c r="CJ22" i="3"/>
  <c r="CJ84" i="3"/>
  <c r="CJ55" i="3"/>
  <c r="CJ37" i="3"/>
  <c r="CJ71" i="3"/>
  <c r="CJ65" i="3"/>
  <c r="CJ23" i="3"/>
  <c r="CJ35" i="3"/>
  <c r="CJ80" i="3"/>
  <c r="CJ50" i="3"/>
  <c r="CJ16" i="3"/>
  <c r="CJ72" i="3"/>
  <c r="CJ14" i="3"/>
  <c r="CJ67" i="3"/>
  <c r="CJ46" i="3"/>
  <c r="CJ81" i="3"/>
  <c r="CJ10" i="3"/>
  <c r="CJ6" i="3"/>
  <c r="CJ62" i="3"/>
  <c r="CJ58" i="3"/>
  <c r="CJ51" i="3"/>
  <c r="CJ82" i="3"/>
  <c r="CJ48" i="3"/>
  <c r="CJ94" i="3"/>
  <c r="CJ21" i="3"/>
  <c r="CJ28" i="3"/>
  <c r="CJ95" i="3"/>
  <c r="CJ25" i="3"/>
  <c r="CJ86" i="3"/>
  <c r="CJ54" i="3"/>
  <c r="CJ8" i="3"/>
  <c r="CJ15" i="3"/>
  <c r="CJ3" i="3"/>
  <c r="CJ49" i="3"/>
  <c r="CJ11" i="3"/>
  <c r="CJ57" i="3"/>
  <c r="CJ40" i="3"/>
  <c r="CJ24" i="3"/>
  <c r="CJ31" i="3"/>
  <c r="CJ90" i="3"/>
  <c r="CJ27" i="3"/>
  <c r="CI96" i="3"/>
  <c r="CH97" i="3" s="1"/>
  <c r="CK7" i="3"/>
  <c r="CK39" i="3"/>
  <c r="CK64" i="3"/>
  <c r="CK62" i="3"/>
  <c r="CK13" i="3"/>
  <c r="CK38" i="3"/>
  <c r="CK76" i="3"/>
  <c r="CK5" i="3"/>
  <c r="CK59" i="3"/>
  <c r="CK8" i="3"/>
  <c r="CK32" i="3"/>
  <c r="CK6" i="3"/>
  <c r="CK63" i="3"/>
  <c r="CK86" i="3"/>
  <c r="CK10" i="3"/>
  <c r="CK41" i="3"/>
  <c r="CK90" i="3"/>
  <c r="CK91" i="3"/>
  <c r="CK55" i="3"/>
  <c r="CK40" i="3"/>
  <c r="CK19" i="3"/>
  <c r="CK16" i="3"/>
  <c r="CK54" i="3"/>
  <c r="CK75" i="3"/>
  <c r="CK68" i="3"/>
  <c r="CK72" i="3"/>
  <c r="CK80" i="3"/>
  <c r="CK31" i="3"/>
  <c r="CK36" i="3"/>
  <c r="CK77" i="3"/>
  <c r="CK93" i="3"/>
  <c r="CK67" i="3"/>
  <c r="CK29" i="3"/>
  <c r="CK14" i="3"/>
  <c r="CK20" i="3"/>
  <c r="CK81" i="3"/>
  <c r="CK46" i="3"/>
  <c r="CK88" i="3"/>
  <c r="CK28" i="3"/>
  <c r="CK33" i="3"/>
  <c r="CK34" i="3"/>
  <c r="CK47" i="3"/>
  <c r="CK79" i="3"/>
  <c r="CK15" i="3"/>
  <c r="CK94" i="3"/>
  <c r="CK74" i="3"/>
  <c r="CK44" i="3"/>
  <c r="CK53" i="3"/>
  <c r="CK65" i="3"/>
  <c r="CK11" i="3"/>
  <c r="CK3" i="3"/>
  <c r="CK87" i="3"/>
  <c r="CK95" i="3"/>
  <c r="CK66" i="3"/>
  <c r="CK60" i="3"/>
  <c r="CK45" i="3"/>
  <c r="CK18" i="3"/>
  <c r="CK82" i="3"/>
  <c r="CK70" i="3"/>
  <c r="CK78" i="3"/>
  <c r="CK21" i="3"/>
  <c r="CK25" i="3"/>
  <c r="CK89" i="3"/>
  <c r="CK23" i="3"/>
  <c r="CK37" i="3"/>
  <c r="CK42" i="3"/>
  <c r="CK58" i="3"/>
  <c r="CK61" i="3"/>
  <c r="CK56" i="3"/>
  <c r="CK35" i="3"/>
  <c r="CK69" i="3"/>
  <c r="CK73" i="3"/>
  <c r="CK27" i="3"/>
  <c r="CK52" i="3"/>
  <c r="CK84" i="3"/>
  <c r="CK51" i="3"/>
  <c r="CK92" i="3"/>
  <c r="CK85" i="3"/>
  <c r="CK48" i="3"/>
  <c r="CK49" i="3"/>
  <c r="CK71" i="3"/>
  <c r="CK30" i="3"/>
  <c r="CK4" i="3"/>
  <c r="CK26" i="3"/>
  <c r="CK17" i="3"/>
  <c r="CK9" i="3"/>
  <c r="CK83" i="3"/>
  <c r="CK24" i="3"/>
  <c r="CK50" i="3"/>
  <c r="CK12" i="3"/>
  <c r="CK43" i="3"/>
  <c r="CK57" i="3"/>
  <c r="CK22" i="3"/>
  <c r="CF98" i="3"/>
  <c r="CL19" i="3" l="1"/>
  <c r="CL10" i="3"/>
  <c r="CL83" i="3"/>
  <c r="CL94" i="3"/>
  <c r="CL22" i="3"/>
  <c r="CL65" i="3"/>
  <c r="CL95" i="3"/>
  <c r="CL3" i="3"/>
  <c r="CL31" i="3"/>
  <c r="CL29" i="3"/>
  <c r="CL54" i="3"/>
  <c r="CL21" i="3"/>
  <c r="CL45" i="3"/>
  <c r="CL6" i="3"/>
  <c r="CL47" i="3"/>
  <c r="CL38" i="3"/>
  <c r="CL61" i="3"/>
  <c r="CL59" i="3"/>
  <c r="CL88" i="3"/>
  <c r="CL15" i="3"/>
  <c r="CL62" i="3"/>
  <c r="CL50" i="3"/>
  <c r="CN1" i="3"/>
  <c r="CL42" i="3"/>
  <c r="CL23" i="3"/>
  <c r="CL63" i="3"/>
  <c r="CL69" i="3"/>
  <c r="CL28" i="3"/>
  <c r="CL34" i="3"/>
  <c r="CL56" i="3"/>
  <c r="CL60" i="3"/>
  <c r="CL70" i="3"/>
  <c r="CL55" i="3"/>
  <c r="CL33" i="3"/>
  <c r="CL73" i="3"/>
  <c r="CL75" i="3"/>
  <c r="CL51" i="3"/>
  <c r="CL26" i="3"/>
  <c r="CL18" i="3"/>
  <c r="CL41" i="3"/>
  <c r="CL5" i="3"/>
  <c r="CL13" i="3"/>
  <c r="CL16" i="3"/>
  <c r="CL66" i="3"/>
  <c r="CL77" i="3"/>
  <c r="CL25" i="3"/>
  <c r="CL71" i="3"/>
  <c r="CL49" i="3"/>
  <c r="CL7" i="3"/>
  <c r="CL4" i="3"/>
  <c r="CL74" i="3"/>
  <c r="CL24" i="3"/>
  <c r="CL67" i="3"/>
  <c r="CL39" i="3"/>
  <c r="CL58" i="3"/>
  <c r="CL78" i="3"/>
  <c r="CL35" i="3"/>
  <c r="CL44" i="3"/>
  <c r="CL87" i="3"/>
  <c r="CL11" i="3"/>
  <c r="CL14" i="3"/>
  <c r="CL30" i="3"/>
  <c r="CL80" i="3"/>
  <c r="CL17" i="3"/>
  <c r="CL81" i="3"/>
  <c r="CL85" i="3"/>
  <c r="CL86" i="3"/>
  <c r="CL93" i="3"/>
  <c r="CL36" i="3"/>
  <c r="CL52" i="3"/>
  <c r="CL32" i="3"/>
  <c r="CL82" i="3"/>
  <c r="CL43" i="3"/>
  <c r="CL9" i="3"/>
  <c r="CL40" i="3"/>
  <c r="CL20" i="3"/>
  <c r="CL90" i="3"/>
  <c r="CL68" i="3"/>
  <c r="CL12" i="3"/>
  <c r="CL27" i="3"/>
  <c r="CL84" i="3"/>
  <c r="CL8" i="3"/>
  <c r="CL76" i="3"/>
  <c r="CL91" i="3"/>
  <c r="CL48" i="3"/>
  <c r="CL72" i="3"/>
  <c r="CL89" i="3"/>
  <c r="CL92" i="3"/>
  <c r="CL57" i="3"/>
  <c r="CL53" i="3"/>
  <c r="CL46" i="3"/>
  <c r="CL64" i="3"/>
  <c r="CL79" i="3"/>
  <c r="CL37" i="3"/>
  <c r="CJ96" i="3"/>
  <c r="CK96" i="3"/>
  <c r="CJ97" i="3" s="1"/>
  <c r="CO1" i="3"/>
  <c r="CM8" i="3"/>
  <c r="CM4" i="3"/>
  <c r="CM55" i="3"/>
  <c r="CM7" i="3"/>
  <c r="CM3" i="3"/>
  <c r="CM51" i="3"/>
  <c r="CM92" i="3"/>
  <c r="CM87" i="3"/>
  <c r="CM20" i="3"/>
  <c r="CM62" i="3"/>
  <c r="CM74" i="3"/>
  <c r="CM60" i="3"/>
  <c r="CM47" i="3"/>
  <c r="CM10" i="3"/>
  <c r="CM63" i="3"/>
  <c r="CM89" i="3"/>
  <c r="CM13" i="3"/>
  <c r="CM75" i="3"/>
  <c r="CM23" i="3"/>
  <c r="CM14" i="3"/>
  <c r="CM6" i="3"/>
  <c r="CM26" i="3"/>
  <c r="CM40" i="3"/>
  <c r="CM66" i="3"/>
  <c r="CM16" i="3"/>
  <c r="CM5" i="3"/>
  <c r="CM56" i="3"/>
  <c r="CM86" i="3"/>
  <c r="CM19" i="3"/>
  <c r="CM67" i="3"/>
  <c r="CM76" i="3"/>
  <c r="CM81" i="3"/>
  <c r="CM69" i="3"/>
  <c r="CM95" i="3"/>
  <c r="CM79" i="3"/>
  <c r="CM38" i="3"/>
  <c r="CM32" i="3"/>
  <c r="CM59" i="3"/>
  <c r="CM80" i="3"/>
  <c r="CM90" i="3"/>
  <c r="CM42" i="3"/>
  <c r="CM46" i="3"/>
  <c r="CM37" i="3"/>
  <c r="CM54" i="3"/>
  <c r="CM24" i="3"/>
  <c r="CM44" i="3"/>
  <c r="CM34" i="3"/>
  <c r="CM64" i="3"/>
  <c r="CM29" i="3"/>
  <c r="CM28" i="3"/>
  <c r="CM68" i="3"/>
  <c r="CM77" i="3"/>
  <c r="CM93" i="3"/>
  <c r="CM91" i="3"/>
  <c r="CM52" i="3"/>
  <c r="CM41" i="3"/>
  <c r="CM12" i="3"/>
  <c r="CM21" i="3"/>
  <c r="CM73" i="3"/>
  <c r="CM71" i="3"/>
  <c r="CM11" i="3"/>
  <c r="CM78" i="3"/>
  <c r="CM94" i="3"/>
  <c r="CM58" i="3"/>
  <c r="CM31" i="3"/>
  <c r="CM15" i="3"/>
  <c r="CM18" i="3"/>
  <c r="CM45" i="3"/>
  <c r="CM57" i="3"/>
  <c r="CM33" i="3"/>
  <c r="CM30" i="3"/>
  <c r="CM49" i="3"/>
  <c r="CM53" i="3"/>
  <c r="CM70" i="3"/>
  <c r="CM61" i="3"/>
  <c r="CM27" i="3"/>
  <c r="CM65" i="3"/>
  <c r="CM88" i="3"/>
  <c r="CM85" i="3"/>
  <c r="CM43" i="3"/>
  <c r="CM25" i="3"/>
  <c r="CM48" i="3"/>
  <c r="CM84" i="3"/>
  <c r="CM39" i="3"/>
  <c r="CM72" i="3"/>
  <c r="CM9" i="3"/>
  <c r="CM35" i="3"/>
  <c r="CM36" i="3"/>
  <c r="CM50" i="3"/>
  <c r="CM83" i="3"/>
  <c r="CM17" i="3"/>
  <c r="CM82" i="3"/>
  <c r="CM22" i="3"/>
  <c r="CH98" i="3"/>
  <c r="CN4" i="3" l="1"/>
  <c r="CN20" i="3"/>
  <c r="CN90" i="3"/>
  <c r="CN8" i="3"/>
  <c r="CN45" i="3"/>
  <c r="CN56" i="3"/>
  <c r="CN14" i="3"/>
  <c r="CN68" i="3"/>
  <c r="CN12" i="3"/>
  <c r="CN42" i="3"/>
  <c r="CN23" i="3"/>
  <c r="CN93" i="3"/>
  <c r="CN84" i="3"/>
  <c r="CN76" i="3"/>
  <c r="CN5" i="3"/>
  <c r="CN63" i="3"/>
  <c r="CN91" i="3"/>
  <c r="CN61" i="3"/>
  <c r="CN43" i="3"/>
  <c r="CN21" i="3"/>
  <c r="CN81" i="3"/>
  <c r="CN36" i="3"/>
  <c r="CN3" i="3"/>
  <c r="CN74" i="3"/>
  <c r="CN57" i="3"/>
  <c r="CN37" i="3"/>
  <c r="CN71" i="3"/>
  <c r="CN35" i="3"/>
  <c r="CN89" i="3"/>
  <c r="CN79" i="3"/>
  <c r="CN40" i="3"/>
  <c r="CN88" i="3"/>
  <c r="CN24" i="3"/>
  <c r="CN18" i="3"/>
  <c r="CN28" i="3"/>
  <c r="CN58" i="3"/>
  <c r="CN62" i="3"/>
  <c r="CN92" i="3"/>
  <c r="CN69" i="3"/>
  <c r="CN70" i="3"/>
  <c r="CN59" i="3"/>
  <c r="CN38" i="3"/>
  <c r="CN64" i="3"/>
  <c r="CN7" i="3"/>
  <c r="CN77" i="3"/>
  <c r="CN46" i="3"/>
  <c r="CN73" i="3"/>
  <c r="CN86" i="3"/>
  <c r="CN55" i="3"/>
  <c r="CN66" i="3"/>
  <c r="CN39" i="3"/>
  <c r="CN33" i="3"/>
  <c r="CN82" i="3"/>
  <c r="CN83" i="3"/>
  <c r="CN51" i="3"/>
  <c r="CN19" i="3"/>
  <c r="CN25" i="3"/>
  <c r="CP1" i="3"/>
  <c r="CN53" i="3"/>
  <c r="CN30" i="3"/>
  <c r="CN48" i="3"/>
  <c r="CN13" i="3"/>
  <c r="CN16" i="3"/>
  <c r="CN10" i="3"/>
  <c r="CN47" i="3"/>
  <c r="CN80" i="3"/>
  <c r="CN9" i="3"/>
  <c r="CN22" i="3"/>
  <c r="CN75" i="3"/>
  <c r="CN29" i="3"/>
  <c r="CN52" i="3"/>
  <c r="CN67" i="3"/>
  <c r="CN85" i="3"/>
  <c r="CN6" i="3"/>
  <c r="CN17" i="3"/>
  <c r="CN50" i="3"/>
  <c r="CN65" i="3"/>
  <c r="CN87" i="3"/>
  <c r="CN44" i="3"/>
  <c r="CN54" i="3"/>
  <c r="CN78" i="3"/>
  <c r="CN15" i="3"/>
  <c r="CN32" i="3"/>
  <c r="CN27" i="3"/>
  <c r="CN26" i="3"/>
  <c r="CN34" i="3"/>
  <c r="CN11" i="3"/>
  <c r="CN95" i="3"/>
  <c r="CN72" i="3"/>
  <c r="CN60" i="3"/>
  <c r="CN49" i="3"/>
  <c r="CN31" i="3"/>
  <c r="CN94" i="3"/>
  <c r="CN41" i="3"/>
  <c r="CL96" i="3"/>
  <c r="CM96" i="3"/>
  <c r="CL97" i="3" s="1"/>
  <c r="CJ98" i="3"/>
  <c r="CO8" i="3"/>
  <c r="CQ1" i="3"/>
  <c r="CO67" i="3"/>
  <c r="CO55" i="3"/>
  <c r="CO7" i="3"/>
  <c r="CO26" i="3"/>
  <c r="CO17" i="3"/>
  <c r="CO39" i="3"/>
  <c r="CO86" i="3"/>
  <c r="CO65" i="3"/>
  <c r="CO19" i="3"/>
  <c r="CO6" i="3"/>
  <c r="CO48" i="3"/>
  <c r="CO40" i="3"/>
  <c r="CO92" i="3"/>
  <c r="CO5" i="3"/>
  <c r="CO64" i="3"/>
  <c r="CO95" i="3"/>
  <c r="CO60" i="3"/>
  <c r="CO13" i="3"/>
  <c r="CO10" i="3"/>
  <c r="CO72" i="3"/>
  <c r="CO29" i="3"/>
  <c r="CO14" i="3"/>
  <c r="CO62" i="3"/>
  <c r="CO79" i="3"/>
  <c r="CO31" i="3"/>
  <c r="CO46" i="3"/>
  <c r="CO16" i="3"/>
  <c r="CO76" i="3"/>
  <c r="CO36" i="3"/>
  <c r="CO75" i="3"/>
  <c r="CO69" i="3"/>
  <c r="CO66" i="3"/>
  <c r="CO87" i="3"/>
  <c r="CO38" i="3"/>
  <c r="CO23" i="3"/>
  <c r="CO52" i="3"/>
  <c r="CO53" i="3"/>
  <c r="CO74" i="3"/>
  <c r="CO59" i="3"/>
  <c r="CO44" i="3"/>
  <c r="CO47" i="3"/>
  <c r="CO81" i="3"/>
  <c r="CO18" i="3"/>
  <c r="CO84" i="3"/>
  <c r="CO78" i="3"/>
  <c r="CO24" i="3"/>
  <c r="CO80" i="3"/>
  <c r="CO63" i="3"/>
  <c r="CO4" i="3"/>
  <c r="CO37" i="3"/>
  <c r="CO33" i="3"/>
  <c r="CO32" i="3"/>
  <c r="CO42" i="3"/>
  <c r="CO88" i="3"/>
  <c r="CO77" i="3"/>
  <c r="CO22" i="3"/>
  <c r="CO11" i="3"/>
  <c r="CO25" i="3"/>
  <c r="CO93" i="3"/>
  <c r="CO45" i="3"/>
  <c r="CO21" i="3"/>
  <c r="CO54" i="3"/>
  <c r="CO94" i="3"/>
  <c r="CO89" i="3"/>
  <c r="CO91" i="3"/>
  <c r="CO43" i="3"/>
  <c r="CO27" i="3"/>
  <c r="CO3" i="3"/>
  <c r="CO15" i="3"/>
  <c r="CO50" i="3"/>
  <c r="CO73" i="3"/>
  <c r="CO30" i="3"/>
  <c r="CO58" i="3"/>
  <c r="CO82" i="3"/>
  <c r="CO41" i="3"/>
  <c r="CO12" i="3"/>
  <c r="CO61" i="3"/>
  <c r="CO9" i="3"/>
  <c r="CO35" i="3"/>
  <c r="CO83" i="3"/>
  <c r="CO68" i="3"/>
  <c r="CO70" i="3"/>
  <c r="CO56" i="3"/>
  <c r="CO49" i="3"/>
  <c r="CO51" i="3"/>
  <c r="CO34" i="3"/>
  <c r="CO71" i="3"/>
  <c r="CO20" i="3"/>
  <c r="CO28" i="3"/>
  <c r="CO57" i="3"/>
  <c r="CO85" i="3"/>
  <c r="CO90" i="3"/>
  <c r="CN96" i="3" l="1"/>
  <c r="CP4" i="3"/>
  <c r="CP30" i="3"/>
  <c r="CP60" i="3"/>
  <c r="CP33" i="3"/>
  <c r="CP69" i="3"/>
  <c r="CP23" i="3"/>
  <c r="CP75" i="3"/>
  <c r="CP42" i="3"/>
  <c r="CP64" i="3"/>
  <c r="CP40" i="3"/>
  <c r="CP84" i="3"/>
  <c r="CP61" i="3"/>
  <c r="CP13" i="3"/>
  <c r="CP14" i="3"/>
  <c r="CP68" i="3"/>
  <c r="CP16" i="3"/>
  <c r="CP95" i="3"/>
  <c r="CP83" i="3"/>
  <c r="CP12" i="3"/>
  <c r="CP45" i="3"/>
  <c r="CP53" i="3"/>
  <c r="CP35" i="3"/>
  <c r="CP8" i="3"/>
  <c r="CP62" i="3"/>
  <c r="CP31" i="3"/>
  <c r="CP87" i="3"/>
  <c r="CP48" i="3"/>
  <c r="CR1" i="3"/>
  <c r="CP74" i="3"/>
  <c r="CP46" i="3"/>
  <c r="CP80" i="3"/>
  <c r="CP65" i="3"/>
  <c r="CP21" i="3"/>
  <c r="CP51" i="3"/>
  <c r="CP49" i="3"/>
  <c r="CP29" i="3"/>
  <c r="CP52" i="3"/>
  <c r="CP66" i="3"/>
  <c r="CP56" i="3"/>
  <c r="CP79" i="3"/>
  <c r="CP37" i="3"/>
  <c r="CP58" i="3"/>
  <c r="CP10" i="3"/>
  <c r="CP86" i="3"/>
  <c r="CP94" i="3"/>
  <c r="CP43" i="3"/>
  <c r="CP6" i="3"/>
  <c r="CP55" i="3"/>
  <c r="CP7" i="3"/>
  <c r="CP47" i="3"/>
  <c r="CP3" i="3"/>
  <c r="CP28" i="3"/>
  <c r="CP11" i="3"/>
  <c r="CP70" i="3"/>
  <c r="CP71" i="3"/>
  <c r="CP59" i="3"/>
  <c r="CP89" i="3"/>
  <c r="CP63" i="3"/>
  <c r="CP93" i="3"/>
  <c r="CP25" i="3"/>
  <c r="CP9" i="3"/>
  <c r="CP76" i="3"/>
  <c r="CP92" i="3"/>
  <c r="CP18" i="3"/>
  <c r="CP27" i="3"/>
  <c r="CP88" i="3"/>
  <c r="CP20" i="3"/>
  <c r="CP32" i="3"/>
  <c r="CP90" i="3"/>
  <c r="CP44" i="3"/>
  <c r="CP38" i="3"/>
  <c r="CP36" i="3"/>
  <c r="CP78" i="3"/>
  <c r="CP19" i="3"/>
  <c r="CP67" i="3"/>
  <c r="CP73" i="3"/>
  <c r="CP22" i="3"/>
  <c r="CP85" i="3"/>
  <c r="CP57" i="3"/>
  <c r="CP24" i="3"/>
  <c r="CP54" i="3"/>
  <c r="CP34" i="3"/>
  <c r="CP26" i="3"/>
  <c r="CP15" i="3"/>
  <c r="CP81" i="3"/>
  <c r="CP91" i="3"/>
  <c r="CP5" i="3"/>
  <c r="CP39" i="3"/>
  <c r="CP82" i="3"/>
  <c r="CP41" i="3"/>
  <c r="CP72" i="3"/>
  <c r="CP50" i="3"/>
  <c r="CP77" i="3"/>
  <c r="CP17" i="3"/>
  <c r="CS1" i="3"/>
  <c r="CQ8" i="3"/>
  <c r="CQ4" i="3"/>
  <c r="CQ74" i="3"/>
  <c r="CQ64" i="3"/>
  <c r="CQ20" i="3"/>
  <c r="CQ92" i="3"/>
  <c r="CQ79" i="3"/>
  <c r="CQ6" i="3"/>
  <c r="CQ5" i="3"/>
  <c r="CQ31" i="3"/>
  <c r="CQ86" i="3"/>
  <c r="CQ51" i="3"/>
  <c r="CQ3" i="3"/>
  <c r="CQ40" i="3"/>
  <c r="CQ13" i="3"/>
  <c r="CQ77" i="3"/>
  <c r="CQ63" i="3"/>
  <c r="CQ44" i="3"/>
  <c r="CQ62" i="3"/>
  <c r="CQ81" i="3"/>
  <c r="CQ89" i="3"/>
  <c r="CQ53" i="3"/>
  <c r="CQ41" i="3"/>
  <c r="CQ16" i="3"/>
  <c r="CQ52" i="3"/>
  <c r="CQ36" i="3"/>
  <c r="CQ38" i="3"/>
  <c r="CQ58" i="3"/>
  <c r="CQ95" i="3"/>
  <c r="CQ76" i="3"/>
  <c r="CQ67" i="3"/>
  <c r="CQ29" i="3"/>
  <c r="CQ7" i="3"/>
  <c r="CQ55" i="3"/>
  <c r="CQ26" i="3"/>
  <c r="CQ80" i="3"/>
  <c r="CQ47" i="3"/>
  <c r="CQ48" i="3"/>
  <c r="CQ10" i="3"/>
  <c r="CQ14" i="3"/>
  <c r="CQ32" i="3"/>
  <c r="CQ71" i="3"/>
  <c r="CQ84" i="3"/>
  <c r="CQ78" i="3"/>
  <c r="CQ11" i="3"/>
  <c r="CQ82" i="3"/>
  <c r="CQ23" i="3"/>
  <c r="CQ39" i="3"/>
  <c r="CQ87" i="3"/>
  <c r="CQ65" i="3"/>
  <c r="CQ88" i="3"/>
  <c r="CQ75" i="3"/>
  <c r="CQ66" i="3"/>
  <c r="CQ33" i="3"/>
  <c r="CQ18" i="3"/>
  <c r="CQ19" i="3"/>
  <c r="CQ68" i="3"/>
  <c r="CQ91" i="3"/>
  <c r="CQ73" i="3"/>
  <c r="CQ69" i="3"/>
  <c r="CQ37" i="3"/>
  <c r="CQ12" i="3"/>
  <c r="CQ25" i="3"/>
  <c r="CQ83" i="3"/>
  <c r="CQ42" i="3"/>
  <c r="CQ17" i="3"/>
  <c r="CQ93" i="3"/>
  <c r="CQ21" i="3"/>
  <c r="CQ60" i="3"/>
  <c r="CQ45" i="3"/>
  <c r="CQ94" i="3"/>
  <c r="CQ70" i="3"/>
  <c r="CQ24" i="3"/>
  <c r="CQ28" i="3"/>
  <c r="CQ56" i="3"/>
  <c r="CQ57" i="3"/>
  <c r="CQ43" i="3"/>
  <c r="CQ85" i="3"/>
  <c r="CQ49" i="3"/>
  <c r="CQ54" i="3"/>
  <c r="CQ90" i="3"/>
  <c r="CQ15" i="3"/>
  <c r="CQ27" i="3"/>
  <c r="CQ34" i="3"/>
  <c r="CQ61" i="3"/>
  <c r="CQ50" i="3"/>
  <c r="CQ30" i="3"/>
  <c r="CQ22" i="3"/>
  <c r="CQ59" i="3"/>
  <c r="CQ46" i="3"/>
  <c r="CQ9" i="3"/>
  <c r="CQ35" i="3"/>
  <c r="CQ72" i="3"/>
  <c r="CO96" i="3"/>
  <c r="CL98" i="3"/>
  <c r="CR3" i="3" l="1"/>
  <c r="CR85" i="3"/>
  <c r="CR81" i="3"/>
  <c r="CR20" i="3"/>
  <c r="CR45" i="3"/>
  <c r="CR32" i="3"/>
  <c r="CR43" i="3"/>
  <c r="CR58" i="3"/>
  <c r="CR51" i="3"/>
  <c r="CR26" i="3"/>
  <c r="CR79" i="3"/>
  <c r="CR69" i="3"/>
  <c r="CR73" i="3"/>
  <c r="CR57" i="3"/>
  <c r="CR17" i="3"/>
  <c r="CR25" i="3"/>
  <c r="CR6" i="3"/>
  <c r="CR64" i="3"/>
  <c r="CR49" i="3"/>
  <c r="CR39" i="3"/>
  <c r="CR40" i="3"/>
  <c r="CR88" i="3"/>
  <c r="CR41" i="3"/>
  <c r="CR27" i="3"/>
  <c r="CR23" i="3"/>
  <c r="CR19" i="3"/>
  <c r="CR13" i="3"/>
  <c r="CR70" i="3"/>
  <c r="CR74" i="3"/>
  <c r="CR76" i="3"/>
  <c r="CR46" i="3"/>
  <c r="CR78" i="3"/>
  <c r="CR59" i="3"/>
  <c r="CR10" i="3"/>
  <c r="CR33" i="3"/>
  <c r="CR61" i="3"/>
  <c r="CR94" i="3"/>
  <c r="CR8" i="3"/>
  <c r="CR47" i="3"/>
  <c r="CR37" i="3"/>
  <c r="CR54" i="3"/>
  <c r="CR48" i="3"/>
  <c r="CR62" i="3"/>
  <c r="CR30" i="3"/>
  <c r="CR9" i="3"/>
  <c r="CR77" i="3"/>
  <c r="CR75" i="3"/>
  <c r="CR87" i="3"/>
  <c r="CR18" i="3"/>
  <c r="CR56" i="3"/>
  <c r="CR4" i="3"/>
  <c r="CR53" i="3"/>
  <c r="CR7" i="3"/>
  <c r="CR65" i="3"/>
  <c r="CR22" i="3"/>
  <c r="CR34" i="3"/>
  <c r="CR5" i="3"/>
  <c r="CR80" i="3"/>
  <c r="CR14" i="3"/>
  <c r="CR15" i="3"/>
  <c r="CR28" i="3"/>
  <c r="CR16" i="3"/>
  <c r="CR35" i="3"/>
  <c r="CR50" i="3"/>
  <c r="CR90" i="3"/>
  <c r="CR42" i="3"/>
  <c r="CR92" i="3"/>
  <c r="CR83" i="3"/>
  <c r="CR86" i="3"/>
  <c r="CR31" i="3"/>
  <c r="CR60" i="3"/>
  <c r="CR21" i="3"/>
  <c r="CR89" i="3"/>
  <c r="CR68" i="3"/>
  <c r="CR55" i="3"/>
  <c r="CR72" i="3"/>
  <c r="CR44" i="3"/>
  <c r="CR52" i="3"/>
  <c r="CR12" i="3"/>
  <c r="CR38" i="3"/>
  <c r="CR67" i="3"/>
  <c r="CR82" i="3"/>
  <c r="CR91" i="3"/>
  <c r="CR84" i="3"/>
  <c r="CR66" i="3"/>
  <c r="CR24" i="3"/>
  <c r="CR36" i="3"/>
  <c r="CR63" i="3"/>
  <c r="CR29" i="3"/>
  <c r="CR95" i="3"/>
  <c r="CT1" i="3"/>
  <c r="CR71" i="3"/>
  <c r="CR93" i="3"/>
  <c r="CR11" i="3"/>
  <c r="CN97" i="3"/>
  <c r="CN98" i="3" s="1"/>
  <c r="CP96" i="3"/>
  <c r="CQ96" i="3"/>
  <c r="CU1" i="3"/>
  <c r="CS4" i="3"/>
  <c r="CS8" i="3"/>
  <c r="CS6" i="3"/>
  <c r="CS3" i="3"/>
  <c r="CS64" i="3"/>
  <c r="CS44" i="3"/>
  <c r="CS13" i="3"/>
  <c r="CS7" i="3"/>
  <c r="CS89" i="3"/>
  <c r="CS31" i="3"/>
  <c r="CS86" i="3"/>
  <c r="CS36" i="3"/>
  <c r="CS5" i="3"/>
  <c r="CS79" i="3"/>
  <c r="CS47" i="3"/>
  <c r="CS26" i="3"/>
  <c r="CS76" i="3"/>
  <c r="CS20" i="3"/>
  <c r="CS24" i="3"/>
  <c r="CS61" i="3"/>
  <c r="CS81" i="3"/>
  <c r="CS10" i="3"/>
  <c r="CS55" i="3"/>
  <c r="CS77" i="3"/>
  <c r="CS52" i="3"/>
  <c r="CS66" i="3"/>
  <c r="CS84" i="3"/>
  <c r="CS75" i="3"/>
  <c r="CS57" i="3"/>
  <c r="CS74" i="3"/>
  <c r="CS38" i="3"/>
  <c r="CS69" i="3"/>
  <c r="CS53" i="3"/>
  <c r="CS50" i="3"/>
  <c r="CS46" i="3"/>
  <c r="CS93" i="3"/>
  <c r="CS23" i="3"/>
  <c r="CS58" i="3"/>
  <c r="CS65" i="3"/>
  <c r="CS39" i="3"/>
  <c r="CS19" i="3"/>
  <c r="CS29" i="3"/>
  <c r="CS37" i="3"/>
  <c r="CS15" i="3"/>
  <c r="CS71" i="3"/>
  <c r="CS78" i="3"/>
  <c r="CS16" i="3"/>
  <c r="CS34" i="3"/>
  <c r="CS92" i="3"/>
  <c r="CS91" i="3"/>
  <c r="CS94" i="3"/>
  <c r="CS12" i="3"/>
  <c r="CS43" i="3"/>
  <c r="CS33" i="3"/>
  <c r="CS42" i="3"/>
  <c r="CS14" i="3"/>
  <c r="CS54" i="3"/>
  <c r="CS51" i="3"/>
  <c r="CS59" i="3"/>
  <c r="CS87" i="3"/>
  <c r="CS45" i="3"/>
  <c r="CS63" i="3"/>
  <c r="CS40" i="3"/>
  <c r="CS27" i="3"/>
  <c r="CS17" i="3"/>
  <c r="CS35" i="3"/>
  <c r="CS88" i="3"/>
  <c r="CS82" i="3"/>
  <c r="CS60" i="3"/>
  <c r="CS72" i="3"/>
  <c r="CS95" i="3"/>
  <c r="CS90" i="3"/>
  <c r="CS62" i="3"/>
  <c r="CS67" i="3"/>
  <c r="CS49" i="3"/>
  <c r="CS21" i="3"/>
  <c r="CS11" i="3"/>
  <c r="CS18" i="3"/>
  <c r="CS70" i="3"/>
  <c r="CS85" i="3"/>
  <c r="CS32" i="3"/>
  <c r="CS22" i="3"/>
  <c r="CS83" i="3"/>
  <c r="CS48" i="3"/>
  <c r="CS30" i="3"/>
  <c r="CS80" i="3"/>
  <c r="CS68" i="3"/>
  <c r="CS73" i="3"/>
  <c r="CS41" i="3"/>
  <c r="CS25" i="3"/>
  <c r="CS9" i="3"/>
  <c r="CS28" i="3"/>
  <c r="CS56" i="3"/>
  <c r="CT61" i="3" l="1"/>
  <c r="CT69" i="3"/>
  <c r="CT94" i="3"/>
  <c r="CT37" i="3"/>
  <c r="CT93" i="3"/>
  <c r="CT89" i="3"/>
  <c r="CT35" i="3"/>
  <c r="CT19" i="3"/>
  <c r="CT50" i="3"/>
  <c r="CT59" i="3"/>
  <c r="CT58" i="3"/>
  <c r="CT46" i="3"/>
  <c r="CT18" i="3"/>
  <c r="CT5" i="3"/>
  <c r="CT78" i="3"/>
  <c r="CT6" i="3"/>
  <c r="CT79" i="3"/>
  <c r="CT42" i="3"/>
  <c r="CT56" i="3"/>
  <c r="CT34" i="3"/>
  <c r="CT71" i="3"/>
  <c r="CT70" i="3"/>
  <c r="CT26" i="3"/>
  <c r="CT81" i="3"/>
  <c r="CT75" i="3"/>
  <c r="CT66" i="3"/>
  <c r="CT3" i="3"/>
  <c r="CT63" i="3"/>
  <c r="CT53" i="3"/>
  <c r="CT74" i="3"/>
  <c r="CT72" i="3"/>
  <c r="CT27" i="3"/>
  <c r="CT68" i="3"/>
  <c r="CT48" i="3"/>
  <c r="CT4" i="3"/>
  <c r="CT24" i="3"/>
  <c r="CT25" i="3"/>
  <c r="CT90" i="3"/>
  <c r="CT8" i="3"/>
  <c r="CT36" i="3"/>
  <c r="CT92" i="3"/>
  <c r="CT54" i="3"/>
  <c r="CT51" i="3"/>
  <c r="CT88" i="3"/>
  <c r="CT28" i="3"/>
  <c r="CT62" i="3"/>
  <c r="CT80" i="3"/>
  <c r="CT52" i="3"/>
  <c r="CT91" i="3"/>
  <c r="CT60" i="3"/>
  <c r="CT86" i="3"/>
  <c r="CT40" i="3"/>
  <c r="CT82" i="3"/>
  <c r="CT13" i="3"/>
  <c r="CT31" i="3"/>
  <c r="CT43" i="3"/>
  <c r="CT45" i="3"/>
  <c r="CT47" i="3"/>
  <c r="CT15" i="3"/>
  <c r="CT14" i="3"/>
  <c r="CT41" i="3"/>
  <c r="CT21" i="3"/>
  <c r="CT16" i="3"/>
  <c r="CT87" i="3"/>
  <c r="CT85" i="3"/>
  <c r="CT67" i="3"/>
  <c r="CT83" i="3"/>
  <c r="CT64" i="3"/>
  <c r="CT33" i="3"/>
  <c r="CT95" i="3"/>
  <c r="CT38" i="3"/>
  <c r="CT10" i="3"/>
  <c r="CT12" i="3"/>
  <c r="CT73" i="3"/>
  <c r="CT55" i="3"/>
  <c r="CT84" i="3"/>
  <c r="CT11" i="3"/>
  <c r="CT57" i="3"/>
  <c r="CT23" i="3"/>
  <c r="CT77" i="3"/>
  <c r="CT20" i="3"/>
  <c r="CT39" i="3"/>
  <c r="CT65" i="3"/>
  <c r="CT17" i="3"/>
  <c r="CT76" i="3"/>
  <c r="CT44" i="3"/>
  <c r="CT22" i="3"/>
  <c r="CT9" i="3"/>
  <c r="CT7" i="3"/>
  <c r="CT30" i="3"/>
  <c r="CT32" i="3"/>
  <c r="CT29" i="3"/>
  <c r="CT49" i="3"/>
  <c r="CP97" i="3"/>
  <c r="CR96" i="3"/>
  <c r="CS96" i="3"/>
  <c r="CR97" i="3" s="1"/>
  <c r="CU3" i="3"/>
  <c r="CU16" i="3"/>
  <c r="CU63" i="3"/>
  <c r="CU66" i="3"/>
  <c r="CU46" i="3"/>
  <c r="CU62" i="3"/>
  <c r="CU44" i="3"/>
  <c r="CU79" i="3"/>
  <c r="CU10" i="3"/>
  <c r="CU40" i="3"/>
  <c r="CU37" i="3"/>
  <c r="CU74" i="3"/>
  <c r="CU64" i="3"/>
  <c r="CU5" i="3"/>
  <c r="CU81" i="3"/>
  <c r="CU77" i="3"/>
  <c r="CU19" i="3"/>
  <c r="CU69" i="3"/>
  <c r="CU68" i="3"/>
  <c r="CU6" i="3"/>
  <c r="CU8" i="3"/>
  <c r="CU90" i="3"/>
  <c r="CU14" i="3"/>
  <c r="CU38" i="3"/>
  <c r="CU67" i="3"/>
  <c r="CU31" i="3"/>
  <c r="CU13" i="3"/>
  <c r="CU36" i="3"/>
  <c r="CU52" i="3"/>
  <c r="CU7" i="3"/>
  <c r="CU51" i="3"/>
  <c r="CU91" i="3"/>
  <c r="CU4" i="3"/>
  <c r="CU60" i="3"/>
  <c r="CU88" i="3"/>
  <c r="CU75" i="3"/>
  <c r="CU20" i="3"/>
  <c r="CU24" i="3"/>
  <c r="CU39" i="3"/>
  <c r="CU32" i="3"/>
  <c r="CU42" i="3"/>
  <c r="CU95" i="3"/>
  <c r="CU86" i="3"/>
  <c r="CU72" i="3"/>
  <c r="CU29" i="3"/>
  <c r="CU28" i="3"/>
  <c r="CU92" i="3"/>
  <c r="CU80" i="3"/>
  <c r="CU93" i="3"/>
  <c r="CU94" i="3"/>
  <c r="CU53" i="3"/>
  <c r="CU34" i="3"/>
  <c r="CU45" i="3"/>
  <c r="CU65" i="3"/>
  <c r="CU58" i="3"/>
  <c r="CU41" i="3"/>
  <c r="CU78" i="3"/>
  <c r="CU61" i="3"/>
  <c r="CU27" i="3"/>
  <c r="CU12" i="3"/>
  <c r="CU82" i="3"/>
  <c r="CU70" i="3"/>
  <c r="CU26" i="3"/>
  <c r="CU11" i="3"/>
  <c r="CU83" i="3"/>
  <c r="CU48" i="3"/>
  <c r="CU56" i="3"/>
  <c r="CU55" i="3"/>
  <c r="CU76" i="3"/>
  <c r="CU23" i="3"/>
  <c r="CU33" i="3"/>
  <c r="CU84" i="3"/>
  <c r="CU18" i="3"/>
  <c r="CU85" i="3"/>
  <c r="CU57" i="3"/>
  <c r="CU50" i="3"/>
  <c r="CU21" i="3"/>
  <c r="CU9" i="3"/>
  <c r="CU59" i="3"/>
  <c r="CU47" i="3"/>
  <c r="CU22" i="3"/>
  <c r="CU73" i="3"/>
  <c r="CU15" i="3"/>
  <c r="CU87" i="3"/>
  <c r="CU35" i="3"/>
  <c r="CU89" i="3"/>
  <c r="CU43" i="3"/>
  <c r="CU49" i="3"/>
  <c r="CU54" i="3"/>
  <c r="CU30" i="3"/>
  <c r="CU71" i="3"/>
  <c r="CU25" i="3"/>
  <c r="CU17" i="3"/>
  <c r="CP98" i="3"/>
  <c r="CT96" i="3" l="1"/>
  <c r="CU96" i="3"/>
  <c r="CR98" i="3"/>
  <c r="CT97" i="3" l="1"/>
  <c r="C99" i="3"/>
  <c r="H99" i="3" s="1"/>
  <c r="H100" i="3" s="1"/>
  <c r="H102" i="3" s="1"/>
  <c r="C98" i="3"/>
  <c r="CT98" i="3"/>
  <c r="CT99" i="3"/>
  <c r="CT100" i="3" s="1"/>
  <c r="CT102" i="3" s="1"/>
  <c r="BL99" i="3" l="1"/>
  <c r="BL100" i="3" s="1"/>
  <c r="BL102" i="3" s="1"/>
  <c r="R99" i="3"/>
  <c r="R100" i="3" s="1"/>
  <c r="R102" i="3" s="1"/>
  <c r="BF99" i="3"/>
  <c r="BF100" i="3" s="1"/>
  <c r="BF102" i="3" s="1"/>
  <c r="BP99" i="3"/>
  <c r="BP100" i="3" s="1"/>
  <c r="BP102" i="3" s="1"/>
  <c r="AN99" i="3"/>
  <c r="AN100" i="3" s="1"/>
  <c r="AN102" i="3" s="1"/>
  <c r="BB99" i="3"/>
  <c r="BB100" i="3" s="1"/>
  <c r="BB102" i="3" s="1"/>
  <c r="BR99" i="3"/>
  <c r="BR100" i="3" s="1"/>
  <c r="BR102" i="3" s="1"/>
  <c r="AZ99" i="3"/>
  <c r="AZ100" i="3" s="1"/>
  <c r="AZ102" i="3" s="1"/>
  <c r="BN99" i="3"/>
  <c r="BN100" i="3" s="1"/>
  <c r="BN102" i="3" s="1"/>
  <c r="BH99" i="3"/>
  <c r="BH100" i="3" s="1"/>
  <c r="BH102" i="3" s="1"/>
  <c r="AL99" i="3"/>
  <c r="AL100" i="3" s="1"/>
  <c r="AL102" i="3" s="1"/>
  <c r="BT99" i="3"/>
  <c r="BT100" i="3" s="1"/>
  <c r="BT102" i="3" s="1"/>
  <c r="AH99" i="3"/>
  <c r="AH100" i="3" s="1"/>
  <c r="AH102" i="3" s="1"/>
  <c r="L99" i="3"/>
  <c r="L100" i="3" s="1"/>
  <c r="L102" i="3" s="1"/>
  <c r="BD99" i="3"/>
  <c r="BD100" i="3" s="1"/>
  <c r="BD102" i="3" s="1"/>
  <c r="X99" i="3"/>
  <c r="X100" i="3" s="1"/>
  <c r="X102" i="3" s="1"/>
  <c r="AT99" i="3"/>
  <c r="AT100" i="3" s="1"/>
  <c r="AT102" i="3" s="1"/>
  <c r="V99" i="3"/>
  <c r="V100" i="3" s="1"/>
  <c r="V102" i="3" s="1"/>
  <c r="AP99" i="3"/>
  <c r="AP100" i="3" s="1"/>
  <c r="AP102" i="3" s="1"/>
  <c r="P99" i="3"/>
  <c r="P100" i="3" s="1"/>
  <c r="P102" i="3" s="1"/>
  <c r="AJ99" i="3"/>
  <c r="AJ100" i="3" s="1"/>
  <c r="AJ102" i="3" s="1"/>
  <c r="AX99" i="3"/>
  <c r="AX100" i="3" s="1"/>
  <c r="AX102" i="3" s="1"/>
  <c r="AD99" i="3"/>
  <c r="AD100" i="3" s="1"/>
  <c r="AD102" i="3" s="1"/>
  <c r="Z99" i="3"/>
  <c r="Z100" i="3" s="1"/>
  <c r="Z102" i="3" s="1"/>
  <c r="AR99" i="3"/>
  <c r="AR100" i="3" s="1"/>
  <c r="AR102" i="3" s="1"/>
  <c r="AV99" i="3"/>
  <c r="AV100" i="3" s="1"/>
  <c r="AV102" i="3" s="1"/>
  <c r="AF99" i="3"/>
  <c r="AF100" i="3" s="1"/>
  <c r="AF102" i="3" s="1"/>
  <c r="AB99" i="3"/>
  <c r="AB100" i="3" s="1"/>
  <c r="AB102" i="3" s="1"/>
  <c r="T99" i="3"/>
  <c r="T100" i="3" s="1"/>
  <c r="T102" i="3" s="1"/>
  <c r="N99" i="3"/>
  <c r="N100" i="3" s="1"/>
  <c r="N102" i="3" s="1"/>
  <c r="BJ99" i="3"/>
  <c r="BJ100" i="3" s="1"/>
  <c r="BJ102" i="3" s="1"/>
  <c r="J99" i="3"/>
  <c r="J100" i="3" s="1"/>
  <c r="J102" i="3" s="1"/>
  <c r="BV99" i="3"/>
  <c r="BV100" i="3" s="1"/>
  <c r="BV102" i="3" s="1"/>
  <c r="BX99" i="3"/>
  <c r="BX100" i="3" s="1"/>
  <c r="BX102" i="3" s="1"/>
  <c r="CB99" i="3"/>
  <c r="CB100" i="3" s="1"/>
  <c r="CB102" i="3" s="1"/>
  <c r="BZ99" i="3"/>
  <c r="BZ100" i="3" s="1"/>
  <c r="BZ102" i="3" s="1"/>
  <c r="CD99" i="3"/>
  <c r="CD100" i="3" s="1"/>
  <c r="CD102" i="3" s="1"/>
  <c r="CF99" i="3"/>
  <c r="CF100" i="3" s="1"/>
  <c r="CF102" i="3" s="1"/>
  <c r="CH99" i="3"/>
  <c r="CH100" i="3" s="1"/>
  <c r="CH102" i="3" s="1"/>
  <c r="CJ99" i="3"/>
  <c r="CJ100" i="3" s="1"/>
  <c r="CJ102" i="3" s="1"/>
  <c r="CL99" i="3"/>
  <c r="CL100" i="3" s="1"/>
  <c r="CL102" i="3" s="1"/>
  <c r="CN99" i="3"/>
  <c r="CN100" i="3" s="1"/>
  <c r="CN102" i="3" s="1"/>
  <c r="CP99" i="3"/>
  <c r="CP100" i="3" s="1"/>
  <c r="CP102" i="3" s="1"/>
  <c r="CR99" i="3"/>
  <c r="CR100" i="3" s="1"/>
  <c r="CR102" i="3" s="1"/>
</calcChain>
</file>

<file path=xl/sharedStrings.xml><?xml version="1.0" encoding="utf-8"?>
<sst xmlns="http://schemas.openxmlformats.org/spreadsheetml/2006/main" count="179" uniqueCount="109">
  <si>
    <t>t</t>
  </si>
  <si>
    <t>Data</t>
  </si>
  <si>
    <t>Total</t>
  </si>
  <si>
    <t>ln(Data)</t>
  </si>
  <si>
    <t>P</t>
  </si>
  <si>
    <t>Omega</t>
  </si>
  <si>
    <t>a1</t>
  </si>
  <si>
    <t>b1</t>
  </si>
  <si>
    <t>a2</t>
  </si>
  <si>
    <t>b2</t>
  </si>
  <si>
    <t>a3</t>
  </si>
  <si>
    <t>b3</t>
  </si>
  <si>
    <t>a4</t>
  </si>
  <si>
    <t>b4</t>
  </si>
  <si>
    <t>a5</t>
  </si>
  <si>
    <t>b5</t>
  </si>
  <si>
    <t>a6</t>
  </si>
  <si>
    <t>b6</t>
  </si>
  <si>
    <t>a7</t>
  </si>
  <si>
    <t>b7</t>
  </si>
  <si>
    <t>a8</t>
  </si>
  <si>
    <t>b8</t>
  </si>
  <si>
    <t>a9</t>
  </si>
  <si>
    <t>b9</t>
  </si>
  <si>
    <t>a10</t>
  </si>
  <si>
    <t>b10</t>
  </si>
  <si>
    <t>a11</t>
  </si>
  <si>
    <t>b11</t>
  </si>
  <si>
    <t>a12</t>
  </si>
  <si>
    <t>b12</t>
  </si>
  <si>
    <t>a13</t>
  </si>
  <si>
    <t>b13</t>
  </si>
  <si>
    <t>a14</t>
  </si>
  <si>
    <t>b14</t>
  </si>
  <si>
    <t>a15</t>
  </si>
  <si>
    <t>b15</t>
  </si>
  <si>
    <t>a16</t>
  </si>
  <si>
    <t>b16</t>
  </si>
  <si>
    <t>a17</t>
  </si>
  <si>
    <t>b17</t>
  </si>
  <si>
    <t>a18</t>
  </si>
  <si>
    <t>b18</t>
  </si>
  <si>
    <t>a19</t>
  </si>
  <si>
    <t>b19</t>
  </si>
  <si>
    <t>a20</t>
  </si>
  <si>
    <t>b20</t>
  </si>
  <si>
    <t>a21</t>
  </si>
  <si>
    <t>b21</t>
  </si>
  <si>
    <t>a22</t>
  </si>
  <si>
    <t>b22</t>
  </si>
  <si>
    <t>a23</t>
  </si>
  <si>
    <t>b23</t>
  </si>
  <si>
    <t>a24</t>
  </si>
  <si>
    <t>b24</t>
  </si>
  <si>
    <t>a25</t>
  </si>
  <si>
    <t>b25</t>
  </si>
  <si>
    <t>a26</t>
  </si>
  <si>
    <t>b26</t>
  </si>
  <si>
    <t>a27</t>
  </si>
  <si>
    <t>b27</t>
  </si>
  <si>
    <t>Periodogram</t>
  </si>
  <si>
    <t>F-Bagi</t>
  </si>
  <si>
    <t>F-Hitung</t>
  </si>
  <si>
    <t>F-Tabel</t>
  </si>
  <si>
    <t xml:space="preserve">Periodogram </t>
  </si>
  <si>
    <t>a28</t>
  </si>
  <si>
    <t>b28</t>
  </si>
  <si>
    <t>a29</t>
  </si>
  <si>
    <t>a30</t>
  </si>
  <si>
    <t>a31</t>
  </si>
  <si>
    <t>b29</t>
  </si>
  <si>
    <t>b30</t>
  </si>
  <si>
    <t>b31</t>
  </si>
  <si>
    <t>a32</t>
  </si>
  <si>
    <t>b32</t>
  </si>
  <si>
    <t>a33</t>
  </si>
  <si>
    <t>b33</t>
  </si>
  <si>
    <t>a34</t>
  </si>
  <si>
    <t>b34</t>
  </si>
  <si>
    <t>a35</t>
  </si>
  <si>
    <t>b35</t>
  </si>
  <si>
    <t>a36</t>
  </si>
  <si>
    <t>b36</t>
  </si>
  <si>
    <t>a37</t>
  </si>
  <si>
    <t>b37</t>
  </si>
  <si>
    <t>a38</t>
  </si>
  <si>
    <t>b38</t>
  </si>
  <si>
    <t>a39</t>
  </si>
  <si>
    <t>b39</t>
  </si>
  <si>
    <t>a40</t>
  </si>
  <si>
    <t>b40</t>
  </si>
  <si>
    <t>a41</t>
  </si>
  <si>
    <t>b41</t>
  </si>
  <si>
    <t>a42</t>
  </si>
  <si>
    <t>b42</t>
  </si>
  <si>
    <t>a43</t>
  </si>
  <si>
    <t>b43</t>
  </si>
  <si>
    <t>a44</t>
  </si>
  <si>
    <t>b44</t>
  </si>
  <si>
    <t>a45</t>
  </si>
  <si>
    <t>b45</t>
  </si>
  <si>
    <t>a46</t>
  </si>
  <si>
    <t>b46</t>
  </si>
  <si>
    <t>T</t>
  </si>
  <si>
    <t>g</t>
  </si>
  <si>
    <t>Keputusan</t>
  </si>
  <si>
    <t>jika t = 6</t>
  </si>
  <si>
    <t>Periode</t>
  </si>
  <si>
    <t>jika t =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</si>
</sst>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sz val="11"/>
      <color theme="1"/>
      <name val="Calibri"/>
    </font>
    <font>
      <sz val="11"/>
      <name val="Calibri"/>
    </font>
    <font>
      <sz val="11"/>
      <color rgb="FFFF0000"/>
      <name val="Calibri"/>
    </font>
    <font>
      <sz val="11"/>
      <color theme="1"/>
      <name val="Calibri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3" xfId="0" applyFont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/>
    <xf numFmtId="0" fontId="1" fillId="0" borderId="7" xfId="0" applyFont="1" applyBorder="1"/>
    <xf numFmtId="0" fontId="3" fillId="2" borderId="7" xfId="0" applyFont="1" applyFill="1" applyBorder="1"/>
    <xf numFmtId="0" fontId="0" fillId="0" borderId="4" xfId="0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 vertical="center"/>
    </xf>
    <xf numFmtId="0" fontId="0" fillId="3" borderId="4" xfId="0" applyFill="1" applyBorder="1"/>
    <xf numFmtId="0" fontId="0" fillId="7" borderId="4" xfId="0" applyFill="1" applyBorder="1"/>
    <xf numFmtId="0" fontId="7" fillId="8" borderId="4" xfId="0" applyFont="1" applyFill="1" applyBorder="1"/>
    <xf numFmtId="0" fontId="7" fillId="9" borderId="4" xfId="0" applyFont="1" applyFill="1" applyBorder="1"/>
    <xf numFmtId="0" fontId="0" fillId="3" borderId="12" xfId="0" applyFill="1" applyBorder="1"/>
    <xf numFmtId="0" fontId="1" fillId="0" borderId="4" xfId="0" applyFont="1" applyBorder="1" applyAlignment="1">
      <alignment horizontal="center"/>
    </xf>
    <xf numFmtId="0" fontId="8" fillId="0" borderId="4" xfId="0" applyFont="1" applyBorder="1" applyAlignment="1">
      <alignment horizontal="center" wrapText="1"/>
    </xf>
    <xf numFmtId="0" fontId="9" fillId="2" borderId="4" xfId="0" applyFont="1" applyFill="1" applyBorder="1" applyAlignment="1">
      <alignment horizontal="center"/>
    </xf>
    <xf numFmtId="0" fontId="7" fillId="10" borderId="4" xfId="0" applyFont="1" applyFill="1" applyBorder="1"/>
    <xf numFmtId="0" fontId="10" fillId="10" borderId="4" xfId="0" applyFont="1" applyFill="1" applyBorder="1" applyAlignment="1">
      <alignment horizontal="center"/>
    </xf>
    <xf numFmtId="0" fontId="0" fillId="4" borderId="9" xfId="0" applyFill="1" applyBorder="1"/>
    <xf numFmtId="0" fontId="0" fillId="4" borderId="10" xfId="0" applyFill="1" applyBorder="1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1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4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 vertical="center" wrapText="1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6" fillId="5" borderId="10" xfId="0" applyFont="1" applyFill="1" applyBorder="1" applyAlignment="1">
      <alignment horizontal="center"/>
    </xf>
    <xf numFmtId="0" fontId="0" fillId="6" borderId="11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4" xfId="0" applyFill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10" fillId="1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0BAEF-8BA3-4D8D-B4F3-03B5B6BA857F}">
  <dimension ref="A1:XFD70"/>
  <sheetViews>
    <sheetView topLeftCell="A49" zoomScale="57" zoomScaleNormal="57" workbookViewId="0">
      <selection activeCell="D65" sqref="D65"/>
    </sheetView>
  </sheetViews>
  <sheetFormatPr defaultRowHeight="14.5"/>
  <cols>
    <col min="1" max="1" width="8.81640625" bestFit="1" customWidth="1"/>
    <col min="2" max="2" width="18.36328125" customWidth="1"/>
    <col min="3" max="3" width="18.26953125" customWidth="1"/>
    <col min="4" max="4" width="8.81640625" bestFit="1" customWidth="1"/>
    <col min="6" max="6" width="13.08984375" customWidth="1"/>
    <col min="7" max="7" width="12.54296875" customWidth="1"/>
    <col min="8" max="8" width="8.81640625" bestFit="1" customWidth="1"/>
    <col min="9" max="9" width="9.36328125" customWidth="1"/>
    <col min="10" max="10" width="8.81640625" bestFit="1" customWidth="1"/>
    <col min="11" max="11" width="11.90625" bestFit="1" customWidth="1"/>
    <col min="12" max="20" width="8.81640625" bestFit="1" customWidth="1"/>
  </cols>
  <sheetData>
    <row r="1" spans="1:66 16384:16384">
      <c r="A1" s="22" t="s">
        <v>0</v>
      </c>
      <c r="B1" s="24" t="s">
        <v>1</v>
      </c>
      <c r="C1" s="26" t="s">
        <v>3</v>
      </c>
      <c r="D1" s="26" t="s">
        <v>5</v>
      </c>
      <c r="E1" s="26" t="s">
        <v>4</v>
      </c>
      <c r="F1" s="29" t="s">
        <v>64</v>
      </c>
      <c r="G1" s="26" t="s">
        <v>62</v>
      </c>
      <c r="H1" s="9">
        <v>1</v>
      </c>
      <c r="I1" s="9">
        <v>1</v>
      </c>
      <c r="J1" s="9">
        <v>2</v>
      </c>
      <c r="K1" s="9">
        <v>2</v>
      </c>
      <c r="L1" s="9">
        <v>3</v>
      </c>
      <c r="M1" s="9">
        <v>3</v>
      </c>
      <c r="N1" s="9">
        <v>4</v>
      </c>
      <c r="O1" s="9">
        <v>4</v>
      </c>
      <c r="P1" s="9">
        <v>5</v>
      </c>
      <c r="Q1" s="9">
        <v>5</v>
      </c>
      <c r="R1" s="9">
        <v>6</v>
      </c>
      <c r="S1" s="9">
        <v>6</v>
      </c>
      <c r="T1" s="9">
        <v>7</v>
      </c>
      <c r="U1" s="9">
        <v>7</v>
      </c>
      <c r="V1" s="9">
        <v>8</v>
      </c>
      <c r="W1" s="9">
        <v>8</v>
      </c>
      <c r="X1" s="9">
        <v>9</v>
      </c>
      <c r="Y1" s="9">
        <v>9</v>
      </c>
      <c r="Z1" s="9">
        <v>10</v>
      </c>
      <c r="AA1" s="9">
        <v>10</v>
      </c>
      <c r="AB1" s="9">
        <v>11</v>
      </c>
      <c r="AC1" s="9">
        <v>11</v>
      </c>
      <c r="AD1" s="9">
        <v>12</v>
      </c>
      <c r="AE1" s="9">
        <v>12</v>
      </c>
      <c r="AF1" s="9">
        <v>13</v>
      </c>
      <c r="AG1" s="9">
        <v>13</v>
      </c>
      <c r="AH1" s="9">
        <v>14</v>
      </c>
      <c r="AI1" s="9">
        <v>14</v>
      </c>
      <c r="AJ1" s="9">
        <v>15</v>
      </c>
      <c r="AK1" s="9">
        <v>15</v>
      </c>
      <c r="AL1" s="9">
        <v>16</v>
      </c>
      <c r="AM1" s="9">
        <v>16</v>
      </c>
      <c r="AN1" s="9">
        <v>17</v>
      </c>
      <c r="AO1" s="9">
        <v>17</v>
      </c>
      <c r="AP1" s="9">
        <v>18</v>
      </c>
      <c r="AQ1" s="9">
        <v>18</v>
      </c>
      <c r="AR1" s="9">
        <v>19</v>
      </c>
      <c r="AS1" s="9">
        <v>19</v>
      </c>
      <c r="AT1" s="9">
        <v>20</v>
      </c>
      <c r="AU1" s="9">
        <v>20</v>
      </c>
      <c r="AV1" s="9">
        <v>21</v>
      </c>
      <c r="AW1" s="9">
        <v>21</v>
      </c>
      <c r="AX1" s="9">
        <v>22</v>
      </c>
      <c r="AY1" s="9">
        <v>22</v>
      </c>
      <c r="AZ1" s="9">
        <v>23</v>
      </c>
      <c r="BA1" s="9">
        <v>23</v>
      </c>
      <c r="BB1" s="9">
        <v>24</v>
      </c>
      <c r="BC1" s="9">
        <v>24</v>
      </c>
      <c r="BD1" s="9">
        <v>25</v>
      </c>
      <c r="BE1" s="9">
        <v>25</v>
      </c>
      <c r="BF1" s="9">
        <v>26</v>
      </c>
      <c r="BG1" s="9">
        <v>26</v>
      </c>
      <c r="BH1" s="9">
        <v>27</v>
      </c>
      <c r="BI1" s="9">
        <v>27</v>
      </c>
      <c r="XFD1" s="28"/>
    </row>
    <row r="2" spans="1:66 16384:16384">
      <c r="A2" s="23"/>
      <c r="B2" s="25"/>
      <c r="C2" s="26"/>
      <c r="D2" s="26"/>
      <c r="E2" s="26"/>
      <c r="F2" s="29"/>
      <c r="G2" s="26"/>
      <c r="H2" s="9" t="s">
        <v>6</v>
      </c>
      <c r="I2" s="9" t="s">
        <v>7</v>
      </c>
      <c r="J2" s="9" t="s">
        <v>8</v>
      </c>
      <c r="K2" s="9" t="s">
        <v>9</v>
      </c>
      <c r="L2" s="9" t="s">
        <v>10</v>
      </c>
      <c r="M2" s="9" t="s">
        <v>11</v>
      </c>
      <c r="N2" s="9" t="s">
        <v>12</v>
      </c>
      <c r="O2" s="9" t="s">
        <v>13</v>
      </c>
      <c r="P2" s="9" t="s">
        <v>14</v>
      </c>
      <c r="Q2" s="9" t="s">
        <v>15</v>
      </c>
      <c r="R2" s="9" t="s">
        <v>16</v>
      </c>
      <c r="S2" s="9" t="s">
        <v>17</v>
      </c>
      <c r="T2" s="9" t="s">
        <v>18</v>
      </c>
      <c r="U2" s="9" t="s">
        <v>19</v>
      </c>
      <c r="V2" s="9" t="s">
        <v>20</v>
      </c>
      <c r="W2" s="9" t="s">
        <v>21</v>
      </c>
      <c r="X2" s="9" t="s">
        <v>22</v>
      </c>
      <c r="Y2" s="9" t="s">
        <v>23</v>
      </c>
      <c r="Z2" s="9" t="s">
        <v>24</v>
      </c>
      <c r="AA2" s="9" t="s">
        <v>25</v>
      </c>
      <c r="AB2" s="9" t="s">
        <v>26</v>
      </c>
      <c r="AC2" s="9" t="s">
        <v>27</v>
      </c>
      <c r="AD2" s="9" t="s">
        <v>28</v>
      </c>
      <c r="AE2" s="9" t="s">
        <v>29</v>
      </c>
      <c r="AF2" s="9" t="s">
        <v>30</v>
      </c>
      <c r="AG2" s="9" t="s">
        <v>31</v>
      </c>
      <c r="AH2" s="9" t="s">
        <v>32</v>
      </c>
      <c r="AI2" s="9" t="s">
        <v>33</v>
      </c>
      <c r="AJ2" s="9" t="s">
        <v>34</v>
      </c>
      <c r="AK2" s="9" t="s">
        <v>35</v>
      </c>
      <c r="AL2" s="9" t="s">
        <v>36</v>
      </c>
      <c r="AM2" s="9" t="s">
        <v>37</v>
      </c>
      <c r="AN2" s="9" t="s">
        <v>38</v>
      </c>
      <c r="AO2" s="9" t="s">
        <v>39</v>
      </c>
      <c r="AP2" s="9" t="s">
        <v>40</v>
      </c>
      <c r="AQ2" s="9" t="s">
        <v>41</v>
      </c>
      <c r="AR2" s="9" t="s">
        <v>42</v>
      </c>
      <c r="AS2" s="9" t="s">
        <v>43</v>
      </c>
      <c r="AT2" s="9" t="s">
        <v>44</v>
      </c>
      <c r="AU2" s="9" t="s">
        <v>45</v>
      </c>
      <c r="AV2" s="9" t="s">
        <v>46</v>
      </c>
      <c r="AW2" s="9" t="s">
        <v>47</v>
      </c>
      <c r="AX2" s="9" t="s">
        <v>48</v>
      </c>
      <c r="AY2" s="9" t="s">
        <v>49</v>
      </c>
      <c r="AZ2" s="9" t="s">
        <v>50</v>
      </c>
      <c r="BA2" s="9" t="s">
        <v>51</v>
      </c>
      <c r="BB2" s="9" t="s">
        <v>52</v>
      </c>
      <c r="BC2" s="9" t="s">
        <v>53</v>
      </c>
      <c r="BD2" s="9" t="s">
        <v>54</v>
      </c>
      <c r="BE2" s="9" t="s">
        <v>55</v>
      </c>
      <c r="BF2" s="9" t="s">
        <v>56</v>
      </c>
      <c r="BG2" s="9" t="s">
        <v>57</v>
      </c>
      <c r="BH2" s="9" t="s">
        <v>58</v>
      </c>
      <c r="BI2" s="9" t="s">
        <v>59</v>
      </c>
      <c r="XFD2" s="28"/>
    </row>
    <row r="3" spans="1:66 16384:16384">
      <c r="A3" s="1">
        <v>1</v>
      </c>
      <c r="B3" s="5">
        <v>23362</v>
      </c>
      <c r="C3" s="8">
        <f>LN(B3)</f>
        <v>10.058866049715641</v>
      </c>
      <c r="D3" s="8">
        <f>(2*3.14*A3)/55</f>
        <v>0.11418181818181819</v>
      </c>
      <c r="E3" s="7">
        <f>2*3.14/D3</f>
        <v>55</v>
      </c>
      <c r="F3" s="8">
        <f>BM4</f>
        <v>0.97600775890375902</v>
      </c>
      <c r="G3" s="8">
        <f>BN4</f>
        <v>0.61154056363435016</v>
      </c>
      <c r="H3" s="8">
        <f>(2/55)*(C3*COS(D3))</f>
        <v>0.36339513048461486</v>
      </c>
      <c r="I3" s="8">
        <f>(2/55)*(C3*SIN(D3))</f>
        <v>4.1674384082560141E-2</v>
      </c>
      <c r="J3" s="8">
        <f>(2/55)*($C3*COS(J$1*$D3))</f>
        <v>0.35628069933501333</v>
      </c>
      <c r="K3" s="8">
        <f>(2/55)*($C3*SIN(K$1*$D3))</f>
        <v>8.2806028946839513E-2</v>
      </c>
      <c r="L3" s="8">
        <f>(2/55)*($C3*COS(L$1*$D3))</f>
        <v>0.34452630739168921</v>
      </c>
      <c r="M3" s="8">
        <f>(2/55)*($C3*SIN(M$1*$D3))</f>
        <v>0.12285926364600377</v>
      </c>
      <c r="N3" s="8">
        <f t="shared" ref="N3:N18" si="0">(2/55)*($C3*COS(N$1*$D3))</f>
        <v>0.32828503596910291</v>
      </c>
      <c r="O3" s="8">
        <f t="shared" ref="O3:O18" si="1">(2/55)*($C3*SIN(O$1*$D3))</f>
        <v>0.16131246172368646</v>
      </c>
      <c r="P3" s="8">
        <f t="shared" ref="P3:P18" si="2">(2/55)*($C3*COS(P$1*$D3))</f>
        <v>0.30776840048973353</v>
      </c>
      <c r="Q3" s="8">
        <f t="shared" ref="Q3:Q18" si="3">(2/55)*($C3*SIN(Q$1*$D3))</f>
        <v>0.19766483452698913</v>
      </c>
      <c r="R3" s="8">
        <f t="shared" ref="R3:R18" si="4">(2/55)*($C3*COS(R$1*$D3))</f>
        <v>0.28324359584912567</v>
      </c>
      <c r="S3" s="8">
        <f t="shared" ref="S3:S18" si="5">(2/55)*($C3*SIN(S$1*$D3))</f>
        <v>0.23144295314190963</v>
      </c>
      <c r="T3" s="8">
        <f t="shared" ref="T3:T18" si="6">(2/55)*($C3*COS(T$1*$D3))</f>
        <v>0.25503001664883507</v>
      </c>
      <c r="U3" s="8">
        <f t="shared" ref="U3:U18" si="7">(2/55)*($C3*SIN(U$1*$D3))</f>
        <v>0.26220691401388696</v>
      </c>
      <c r="V3" s="8">
        <f t="shared" ref="V3:V18" si="8">(2/55)*($C3*COS(V$1*$D3))</f>
        <v>0.22349509761542513</v>
      </c>
      <c r="W3" s="8">
        <f t="shared" ref="W3:W18" si="9">(2/55)*($C3*SIN(W$1*$D3))</f>
        <v>0.28955606795655758</v>
      </c>
      <c r="X3" s="8">
        <f t="shared" ref="X3:X18" si="10">(2/55)*($C3*COS(X$1*$D3))</f>
        <v>0.18904952837710562</v>
      </c>
      <c r="Y3" s="8">
        <f t="shared" ref="Y3:Y18" si="11">(2/55)*($C3*SIN(Y$1*$D3))</f>
        <v>0.31313423793795675</v>
      </c>
      <c r="Z3" s="8">
        <f t="shared" ref="Z3:Z18" si="12">(2/55)*($C3*COS(Z$1*$D3))</f>
        <v>0.15214190491755336</v>
      </c>
      <c r="AA3" s="8">
        <f t="shared" ref="AA3:AA18" si="13">(2/55)*($C3*SIN(AA$1*$D3))</f>
        <v>0.33263435769121796</v>
      </c>
      <c r="AB3" s="8">
        <f t="shared" ref="AB3:AB18" si="14">(2/55)*($C3*COS(AB$1*$D3))</f>
        <v>0.11325288736279103</v>
      </c>
      <c r="AC3" s="8">
        <f t="shared" ref="AC3:AC18" si="15">(2/55)*($C3*SIN(AC$1*$D3))</f>
        <v>0.34780247073961679</v>
      </c>
      <c r="AD3" s="8">
        <f t="shared" ref="AD3:AD18" si="16">(2/55)*($C3*COS(AD$1*$D3))</f>
        <v>7.2888940186188203E-2</v>
      </c>
      <c r="AE3" s="8">
        <f t="shared" ref="AE3:AE18" si="17">(2/55)*($C3*SIN(AE$1*$D3))</f>
        <v>0.35844103775534031</v>
      </c>
      <c r="AF3" s="8">
        <f t="shared" ref="AF3:AF18" si="18">(2/55)*($C3*COS(AF$1*$D3))</f>
        <v>3.1575736354955683E-2</v>
      </c>
      <c r="AG3" s="8">
        <f t="shared" ref="AG3:AG18" si="19">(2/55)*($C3*SIN(AG$1*$D3))</f>
        <v>0.36441150917916043</v>
      </c>
      <c r="AH3" s="8">
        <f t="shared" ref="AH3:AH18" si="20">(2/55)*($C3*COS(AH$1*$D3))</f>
        <v>-1.0148688681897495E-2</v>
      </c>
      <c r="AI3" s="8">
        <f t="shared" ref="AI3:AI18" si="21">(2/55)*($C3*SIN(AI$1*$D3))</f>
        <v>0.36563612959693814</v>
      </c>
      <c r="AJ3" s="8">
        <f t="shared" ref="AJ3:AJ18" si="22">(2/55)*($C3*COS(AJ$1*$D3))</f>
        <v>-5.1740944006275116E-2</v>
      </c>
      <c r="AK3" s="8">
        <f t="shared" ref="AK3:AK18" si="23">(2/55)*($C3*SIN(AK$1*$D3))</f>
        <v>0.36209895037396955</v>
      </c>
      <c r="AL3" s="8">
        <f t="shared" ref="AL3:AL18" si="24">(2/55)*($C3*COS(AL$1*$D3))</f>
        <v>-9.2659359989741452E-2</v>
      </c>
      <c r="AM3" s="8">
        <f t="shared" ref="AM3:AM18" si="25">(2/55)*($C3*SIN(AM$1*$D3))</f>
        <v>0.35384603735930475</v>
      </c>
      <c r="AN3" s="8">
        <f t="shared" ref="AN3:AN18" si="26">(2/55)*($C3*COS(AN$1*$D3))</f>
        <v>-0.13237104263534724</v>
      </c>
      <c r="AO3" s="8">
        <f t="shared" ref="AO3:AO18" si="27">(2/55)*($C3*SIN(AO$1*$D3))</f>
        <v>0.34098487095503532</v>
      </c>
      <c r="AP3" s="8">
        <f t="shared" ref="AP3:AP18" si="28">(2/55)*($C3*COS(AP$1*$D3))</f>
        <v>-0.17035881363151884</v>
      </c>
      <c r="AQ3" s="8">
        <f t="shared" ref="AQ3:AQ18" si="29">(2/55)*($C3*SIN(AQ$1*$D3))</f>
        <v>0.32368294636364825</v>
      </c>
      <c r="AR3" s="8">
        <f t="shared" ref="AR3:AR18" si="30">(2/55)*($C3*COS(AR$1*$D3))</f>
        <v>-0.20612794573540491</v>
      </c>
      <c r="AS3" s="8">
        <f t="shared" ref="AS3:AS18" si="31">(2/55)*($C3*SIN(AS$1*$D3))</f>
        <v>0.3021655922428842</v>
      </c>
      <c r="AT3" s="8">
        <f t="shared" ref="AT3:AT18" si="32">(2/55)*($C3*COS(AT$1*$D3))</f>
        <v>-0.23921260576856704</v>
      </c>
      <c r="AU3" s="8">
        <f t="shared" ref="AU3:AU18" si="33">(2/55)*($C3*SIN(AU$1*$D3))</f>
        <v>0.27671303617647497</v>
      </c>
      <c r="AV3" s="8">
        <f t="shared" ref="AV3:AV18" si="34">(2/55)*($C3*COS(AV$1*$D3))</f>
        <v>-0.26918192131576052</v>
      </c>
      <c r="AW3" s="8">
        <f t="shared" ref="AW3:AW18" si="35">(2/55)*($C3*SIN(AW$1*$D3))</f>
        <v>0.24765675517810276</v>
      </c>
      <c r="AX3" s="8">
        <f t="shared" ref="AX3:AX18" si="36">(2/55)*($C3*COS(AX$1*$D3))</f>
        <v>-0.29564559211819164</v>
      </c>
      <c r="AY3" s="8">
        <f t="shared" ref="AY3:AY18" si="37">(2/55)*($C3*SIN(AY$1*$D3))</f>
        <v>0.21537515875716698</v>
      </c>
      <c r="AZ3" s="8">
        <f t="shared" ref="AZ3:AZ18" si="38">(2/55)*($C3*COS(AZ$1*$D3))</f>
        <v>-0.31825897308222928</v>
      </c>
      <c r="BA3" s="8">
        <f t="shared" ref="BA3:BA18" si="39">(2/55)*($C3*SIN(BA$1*$D3))</f>
        <v>0.18028866076721481</v>
      </c>
      <c r="BB3" s="8">
        <f t="shared" ref="BB3:BB18" si="40">(2/55)*($C3*COS(BB$1*$D3))</f>
        <v>-0.33672756270587673</v>
      </c>
      <c r="BC3" s="8">
        <f t="shared" ref="BC3:BC18" si="41">(2/55)*($C3*SIN(BC$1*$D3))</f>
        <v>0.14285420421797487</v>
      </c>
      <c r="BD3" s="8">
        <f t="shared" ref="BD3:BD18" si="42">(2/55)*($C3*COS(BD$1*$D3))</f>
        <v>-0.35081083846874739</v>
      </c>
      <c r="BE3" s="8">
        <f t="shared" ref="BE3:BE18" si="43">(2/55)*($C3*SIN(BE$1*$D3))</f>
        <v>0.10355931035616939</v>
      </c>
      <c r="BF3" s="8">
        <f t="shared" ref="BF3:BF18" si="44">(2/55)*($C3*COS(BF$1*$D3))</f>
        <v>-0.36032538923600066</v>
      </c>
      <c r="BG3" s="8">
        <f t="shared" ref="BG3:BG18" si="45">(2/55)*($C3*SIN(BG$1*$D3))</f>
        <v>6.291572951588198E-2</v>
      </c>
      <c r="BH3" s="8">
        <f t="shared" ref="BH3:BH18" si="46">(2/55)*($C3*COS(BH$1*$D3))</f>
        <v>-0.36514730388190797</v>
      </c>
      <c r="BI3" s="8">
        <f t="shared" ref="BI3:BI57" si="47">(2/55)*($C3*SIN(BI$1*$D3))</f>
        <v>2.1452776425548405E-2</v>
      </c>
    </row>
    <row r="4" spans="1:66 16384:16384">
      <c r="A4" s="1">
        <v>2</v>
      </c>
      <c r="B4" s="5">
        <v>31642</v>
      </c>
      <c r="C4" s="8">
        <f t="shared" ref="C4:C57" si="48">LN(B4)</f>
        <v>10.362240631009008</v>
      </c>
      <c r="D4" s="8">
        <f t="shared" ref="D4:D57" si="49">(2*3.14*A4)/55</f>
        <v>0.22836363636363638</v>
      </c>
      <c r="E4" s="7">
        <f t="shared" ref="E4:E57" si="50">2*3.14/D4</f>
        <v>27.5</v>
      </c>
      <c r="F4" s="8">
        <f>BM6</f>
        <v>7.419237585617687E-2</v>
      </c>
      <c r="G4" s="8">
        <f>BN6</f>
        <v>4.549817002611526E-2</v>
      </c>
      <c r="H4" s="8">
        <f>(2/55)*(C4*COS(D4))</f>
        <v>0.36702609622661658</v>
      </c>
      <c r="I4" s="8">
        <f t="shared" ref="I4:I56" si="51">(2/55)*(C4*SIN(D4))</f>
        <v>8.53034520396765E-2</v>
      </c>
      <c r="J4" s="8">
        <f t="shared" ref="J4:J57" si="52">(2/55)*(C4*COS($J$1*D4))</f>
        <v>0.33818608593236593</v>
      </c>
      <c r="K4" s="8">
        <f t="shared" ref="K4:K57" si="53">(2/55)*(C4*SIN($J$1*D4))</f>
        <v>0.16617763243884967</v>
      </c>
      <c r="L4" s="8">
        <f>(2/55)*($C4*COS(L$1*$D4))</f>
        <v>0.2917861996446286</v>
      </c>
      <c r="M4" s="8">
        <f t="shared" ref="M4:M57" si="54">(2/55)*($C4*SIN(M$1*$D4))</f>
        <v>0.23842325376980317</v>
      </c>
      <c r="N4" s="8">
        <f t="shared" si="0"/>
        <v>0.23023569156757509</v>
      </c>
      <c r="O4" s="8">
        <f t="shared" si="1"/>
        <v>0.29828905539700151</v>
      </c>
      <c r="P4" s="8">
        <f t="shared" si="2"/>
        <v>0.15673049238590353</v>
      </c>
      <c r="Q4" s="8">
        <f t="shared" si="3"/>
        <v>0.3426665828435963</v>
      </c>
      <c r="R4" s="8">
        <f t="shared" si="4"/>
        <v>7.5087264689229688E-2</v>
      </c>
      <c r="S4" s="8">
        <f t="shared" si="5"/>
        <v>0.36925159027785454</v>
      </c>
      <c r="T4" s="8">
        <f t="shared" si="6"/>
        <v>-1.0454772306466131E-2</v>
      </c>
      <c r="U4" s="8">
        <f t="shared" si="7"/>
        <v>0.3766636855037328</v>
      </c>
      <c r="V4" s="8">
        <f t="shared" si="8"/>
        <v>-9.5453958744796355E-2</v>
      </c>
      <c r="W4" s="8">
        <f t="shared" si="9"/>
        <v>0.36451800504389587</v>
      </c>
      <c r="X4" s="8">
        <f t="shared" si="10"/>
        <v>-0.17549682158387225</v>
      </c>
      <c r="Y4" s="8">
        <f t="shared" si="11"/>
        <v>0.3334451976790091</v>
      </c>
      <c r="Z4" s="8">
        <f t="shared" si="12"/>
        <v>-0.24642723848725065</v>
      </c>
      <c r="AA4" s="8">
        <f t="shared" si="13"/>
        <v>0.28505867882382163</v>
      </c>
      <c r="AB4" s="8">
        <f t="shared" si="14"/>
        <v>-0.30456223911167868</v>
      </c>
      <c r="AC4" s="8">
        <f t="shared" si="15"/>
        <v>0.22187085601429421</v>
      </c>
      <c r="AD4" s="8">
        <f t="shared" si="16"/>
        <v>-0.34688323858832065</v>
      </c>
      <c r="AE4" s="8">
        <f t="shared" si="17"/>
        <v>0.1471626753892209</v>
      </c>
      <c r="AF4" s="8">
        <f t="shared" si="18"/>
        <v>-0.37119277364579023</v>
      </c>
      <c r="AG4" s="8">
        <f t="shared" si="19"/>
        <v>6.4813262796900972E-2</v>
      </c>
      <c r="AH4" s="8">
        <f t="shared" si="20"/>
        <v>-0.3762286030541101</v>
      </c>
      <c r="AI4" s="8">
        <f t="shared" si="21"/>
        <v>-2.0901494807497482E-2</v>
      </c>
      <c r="AJ4" s="8">
        <f t="shared" si="22"/>
        <v>-0.36172924787132255</v>
      </c>
      <c r="AK4" s="8">
        <f t="shared" si="23"/>
        <v>-0.10553096927292148</v>
      </c>
      <c r="AL4" s="8">
        <f t="shared" si="24"/>
        <v>-0.32844756840004258</v>
      </c>
      <c r="AM4" s="8">
        <f t="shared" si="25"/>
        <v>-0.18468088437446448</v>
      </c>
      <c r="AN4" s="8">
        <f t="shared" si="26"/>
        <v>-0.27811167288801042</v>
      </c>
      <c r="AO4" s="8">
        <f t="shared" si="27"/>
        <v>-0.25424148293436949</v>
      </c>
      <c r="AP4" s="8">
        <f t="shared" si="28"/>
        <v>-0.21333518773790752</v>
      </c>
      <c r="AQ4" s="8">
        <f t="shared" si="29"/>
        <v>-0.31060092065875583</v>
      </c>
      <c r="AR4" s="8">
        <f t="shared" si="30"/>
        <v>-0.13748154832997381</v>
      </c>
      <c r="AS4" s="8">
        <f t="shared" si="31"/>
        <v>-0.35083280649053911</v>
      </c>
      <c r="AT4" s="8">
        <f t="shared" si="32"/>
        <v>-5.4489356981290801E-2</v>
      </c>
      <c r="AU4" s="8">
        <f t="shared" si="33"/>
        <v>-0.3728481516877889</v>
      </c>
      <c r="AV4" s="8">
        <f t="shared" si="34"/>
        <v>3.1332123895724977E-2</v>
      </c>
      <c r="AW4" s="8">
        <f t="shared" si="35"/>
        <v>-0.37550383786776126</v>
      </c>
      <c r="AX4" s="8">
        <f t="shared" si="36"/>
        <v>0.11552672468184452</v>
      </c>
      <c r="AY4" s="8">
        <f t="shared" si="37"/>
        <v>-0.3586619719534262</v>
      </c>
      <c r="AZ4" s="8">
        <f t="shared" si="38"/>
        <v>0.19372274940663972</v>
      </c>
      <c r="BA4" s="8">
        <f t="shared" si="39"/>
        <v>-0.32319704609350508</v>
      </c>
      <c r="BB4" s="8">
        <f t="shared" si="40"/>
        <v>0.26185997041891867</v>
      </c>
      <c r="BC4" s="8">
        <f t="shared" si="41"/>
        <v>-0.27095053078641129</v>
      </c>
      <c r="BD4" s="8">
        <f t="shared" si="42"/>
        <v>0.31640045046671578</v>
      </c>
      <c r="BE4" s="8">
        <f t="shared" si="43"/>
        <v>-0.20463525890152548</v>
      </c>
      <c r="BF4" s="8">
        <f t="shared" si="44"/>
        <v>0.35451224552245786</v>
      </c>
      <c r="BG4" s="8">
        <f t="shared" si="45"/>
        <v>-0.12769456533407969</v>
      </c>
      <c r="BH4" s="8">
        <f t="shared" si="46"/>
        <v>0.37421644982122299</v>
      </c>
      <c r="BI4" s="8">
        <f t="shared" si="47"/>
        <v>-4.4123496285257462E-2</v>
      </c>
      <c r="BM4">
        <v>0.97600775890375902</v>
      </c>
      <c r="BN4">
        <v>0.61154056363435016</v>
      </c>
    </row>
    <row r="5" spans="1:66 16384:16384">
      <c r="A5" s="1">
        <v>3</v>
      </c>
      <c r="B5" s="5">
        <v>33757</v>
      </c>
      <c r="C5" s="8">
        <f t="shared" si="48"/>
        <v>10.42694308220214</v>
      </c>
      <c r="D5" s="8">
        <f t="shared" si="49"/>
        <v>0.34254545454545454</v>
      </c>
      <c r="E5" s="7">
        <f t="shared" si="50"/>
        <v>18.333333333333336</v>
      </c>
      <c r="F5" s="8">
        <f>BM8</f>
        <v>2.0494070080269577</v>
      </c>
      <c r="G5" s="8">
        <f>BN8</f>
        <v>1.3182030997667837</v>
      </c>
      <c r="H5" s="8">
        <f t="shared" ref="H5:H57" si="55">(2/55)*(C5*COS(D5))</f>
        <v>0.3571333169901369</v>
      </c>
      <c r="I5" s="8">
        <f t="shared" si="51"/>
        <v>0.12735496653664677</v>
      </c>
      <c r="J5" s="8">
        <f t="shared" si="52"/>
        <v>0.29360813015305925</v>
      </c>
      <c r="K5" s="8">
        <f t="shared" si="53"/>
        <v>0.23991198284777732</v>
      </c>
      <c r="L5" s="8">
        <f t="shared" ref="L5:L57" si="56">(2/55)*($C5*COS(L$1*$D5))</f>
        <v>0.19596728521511264</v>
      </c>
      <c r="M5" s="8">
        <f t="shared" si="54"/>
        <v>0.3245925395497356</v>
      </c>
      <c r="N5" s="8">
        <f t="shared" si="0"/>
        <v>7.5556114067639513E-2</v>
      </c>
      <c r="O5" s="8">
        <f t="shared" si="1"/>
        <v>0.37155721932553787</v>
      </c>
      <c r="P5" s="8">
        <f t="shared" si="2"/>
        <v>-5.3634264091635762E-2</v>
      </c>
      <c r="Q5" s="8">
        <f t="shared" si="3"/>
        <v>0.37534898337584011</v>
      </c>
      <c r="R5" s="8">
        <f t="shared" si="4"/>
        <v>-0.17659263425001515</v>
      </c>
      <c r="S5" s="8">
        <f t="shared" si="5"/>
        <v>0.33552724946652007</v>
      </c>
      <c r="T5" s="8">
        <f t="shared" si="6"/>
        <v>-0.27903190662297317</v>
      </c>
      <c r="U5" s="8">
        <f t="shared" si="7"/>
        <v>0.25671908517341752</v>
      </c>
      <c r="V5" s="8">
        <f t="shared" si="8"/>
        <v>-0.34904919830820125</v>
      </c>
      <c r="W5" s="8">
        <f t="shared" si="9"/>
        <v>0.14808156794932315</v>
      </c>
      <c r="X5" s="8">
        <f t="shared" si="10"/>
        <v>-0.37850888314631198</v>
      </c>
      <c r="Y5" s="8">
        <f t="shared" si="11"/>
        <v>2.2237782831467993E-2</v>
      </c>
      <c r="Z5" s="8">
        <f t="shared" si="12"/>
        <v>-0.36398790696243494</v>
      </c>
      <c r="AA5" s="8">
        <f t="shared" si="13"/>
        <v>-0.10618991096631453</v>
      </c>
      <c r="AB5" s="8">
        <f t="shared" si="14"/>
        <v>-0.30717352773039308</v>
      </c>
      <c r="AC5" s="8">
        <f t="shared" si="15"/>
        <v>-0.22227891818072498</v>
      </c>
      <c r="AD5" s="8">
        <f t="shared" si="16"/>
        <v>-0.2146672654288157</v>
      </c>
      <c r="AE5" s="8">
        <f t="shared" si="17"/>
        <v>-0.31254033141219129</v>
      </c>
      <c r="AF5" s="8">
        <f t="shared" si="18"/>
        <v>-9.7217841543122394E-2</v>
      </c>
      <c r="AG5" s="8">
        <f t="shared" si="19"/>
        <v>-0.36648626835343279</v>
      </c>
      <c r="AH5" s="8">
        <f t="shared" si="20"/>
        <v>3.1527763554108676E-2</v>
      </c>
      <c r="AI5" s="8">
        <f t="shared" si="21"/>
        <v>-0.37784850632390254</v>
      </c>
      <c r="AJ5" s="8">
        <f t="shared" si="22"/>
        <v>0.15661001504619129</v>
      </c>
      <c r="AK5" s="8">
        <f t="shared" si="23"/>
        <v>-0.34530681544556829</v>
      </c>
      <c r="AL5" s="8">
        <f t="shared" si="24"/>
        <v>0.26349503975949745</v>
      </c>
      <c r="AM5" s="8">
        <f t="shared" si="25"/>
        <v>-0.27264236213044529</v>
      </c>
      <c r="AN5" s="8">
        <f t="shared" si="26"/>
        <v>0.33976338269691486</v>
      </c>
      <c r="AO5" s="8">
        <f t="shared" si="27"/>
        <v>-0.16829835823405337</v>
      </c>
      <c r="AP5" s="8">
        <f t="shared" si="28"/>
        <v>0.3765530797492877</v>
      </c>
      <c r="AQ5" s="8">
        <f t="shared" si="29"/>
        <v>-4.4399006039038638E-2</v>
      </c>
      <c r="AR5" s="8">
        <f t="shared" si="30"/>
        <v>0.36958936943225584</v>
      </c>
      <c r="AS5" s="8">
        <f t="shared" si="31"/>
        <v>8.4659267706468352E-2</v>
      </c>
      <c r="AT5" s="8">
        <f t="shared" si="32"/>
        <v>0.31968139677925406</v>
      </c>
      <c r="AU5" s="8">
        <f t="shared" si="33"/>
        <v>0.2038805977997738</v>
      </c>
      <c r="AV5" s="8">
        <f t="shared" si="34"/>
        <v>0.23262819511626562</v>
      </c>
      <c r="AW5" s="8">
        <f t="shared" si="35"/>
        <v>0.29941211806284102</v>
      </c>
      <c r="AX5" s="8">
        <f t="shared" si="36"/>
        <v>0.11854487012163961</v>
      </c>
      <c r="AY5" s="8">
        <f t="shared" si="37"/>
        <v>0.36015358858932894</v>
      </c>
      <c r="AZ5" s="8">
        <f t="shared" si="38"/>
        <v>-9.3127201039035733E-3</v>
      </c>
      <c r="BA5" s="8">
        <f t="shared" si="39"/>
        <v>0.37904718288122702</v>
      </c>
      <c r="BB5" s="8">
        <f t="shared" si="40"/>
        <v>-0.13608822321255307</v>
      </c>
      <c r="BC5" s="8">
        <f t="shared" si="41"/>
        <v>0.35389756866751476</v>
      </c>
      <c r="BD5" s="8">
        <f t="shared" si="42"/>
        <v>-0.24705101945830354</v>
      </c>
      <c r="BE5" s="8">
        <f t="shared" si="43"/>
        <v>0.28762699350120269</v>
      </c>
      <c r="BF5" s="8">
        <f t="shared" si="44"/>
        <v>-0.32930783910552786</v>
      </c>
      <c r="BG5" s="8">
        <f t="shared" si="45"/>
        <v>0.18793573558420382</v>
      </c>
      <c r="BH5" s="8">
        <f t="shared" si="46"/>
        <v>-0.37330088982032023</v>
      </c>
      <c r="BI5" s="8">
        <f t="shared" si="47"/>
        <v>6.6407373576171033E-2</v>
      </c>
    </row>
    <row r="6" spans="1:66 16384:16384">
      <c r="A6" s="1">
        <v>4</v>
      </c>
      <c r="B6" s="5">
        <v>23226</v>
      </c>
      <c r="C6" s="8">
        <f t="shared" si="48"/>
        <v>10.053027619805704</v>
      </c>
      <c r="D6" s="8">
        <f t="shared" si="49"/>
        <v>0.45672727272727276</v>
      </c>
      <c r="E6" s="7">
        <f t="shared" si="50"/>
        <v>13.75</v>
      </c>
      <c r="F6" s="8">
        <f>BM10</f>
        <v>0.8873071391481937</v>
      </c>
      <c r="G6" s="8">
        <f>BN10</f>
        <v>0.55477722025630749</v>
      </c>
      <c r="H6" s="8">
        <f t="shared" si="55"/>
        <v>0.32809449071643587</v>
      </c>
      <c r="I6" s="8">
        <f t="shared" si="51"/>
        <v>0.16121883173629839</v>
      </c>
      <c r="J6" s="8">
        <f t="shared" si="52"/>
        <v>0.22336537519381289</v>
      </c>
      <c r="K6" s="8">
        <f t="shared" si="53"/>
        <v>0.28938800201359682</v>
      </c>
      <c r="L6" s="8">
        <f t="shared" si="56"/>
        <v>7.2846633531900989E-2</v>
      </c>
      <c r="M6" s="8">
        <f t="shared" si="54"/>
        <v>0.35823298916761315</v>
      </c>
      <c r="N6" s="8">
        <f t="shared" si="0"/>
        <v>-9.2605578064808181E-2</v>
      </c>
      <c r="O6" s="8">
        <f t="shared" si="1"/>
        <v>0.35364065583043053</v>
      </c>
      <c r="P6" s="8">
        <f t="shared" si="2"/>
        <v>-0.23907376049262336</v>
      </c>
      <c r="Q6" s="8">
        <f t="shared" si="3"/>
        <v>0.27655242466630098</v>
      </c>
      <c r="R6" s="8">
        <f t="shared" si="4"/>
        <v>-0.33653211718906739</v>
      </c>
      <c r="S6" s="8">
        <f t="shared" si="5"/>
        <v>0.1427712878877897</v>
      </c>
      <c r="T6" s="8">
        <f t="shared" si="6"/>
        <v>-0.36500180535718707</v>
      </c>
      <c r="U6" s="8">
        <f t="shared" si="7"/>
        <v>-2.027778663682096E-2</v>
      </c>
      <c r="V6" s="8">
        <f t="shared" si="8"/>
        <v>-0.31864657407228481</v>
      </c>
      <c r="W6" s="8">
        <f t="shared" si="9"/>
        <v>-0.17916993993661498</v>
      </c>
      <c r="X6" s="8">
        <f t="shared" si="10"/>
        <v>-0.20696918851582255</v>
      </c>
      <c r="Y6" s="8">
        <f t="shared" si="11"/>
        <v>-0.30133247675946945</v>
      </c>
      <c r="Z6" s="8">
        <f t="shared" si="12"/>
        <v>-5.2863374845699716E-2</v>
      </c>
      <c r="AA6" s="8">
        <f t="shared" si="13"/>
        <v>-0.36172222788324382</v>
      </c>
      <c r="AB6" s="8">
        <f t="shared" si="14"/>
        <v>0.11207936540064534</v>
      </c>
      <c r="AC6" s="8">
        <f t="shared" si="15"/>
        <v>-0.34795936888706264</v>
      </c>
      <c r="AD6" s="8">
        <f t="shared" si="16"/>
        <v>0.25404597411733332</v>
      </c>
      <c r="AE6" s="8">
        <f t="shared" si="17"/>
        <v>-0.26286526887299039</v>
      </c>
      <c r="AF6" s="8">
        <f t="shared" si="18"/>
        <v>0.34393347179485234</v>
      </c>
      <c r="AG6" s="8">
        <f t="shared" si="19"/>
        <v>-0.1238841132834788</v>
      </c>
      <c r="AH6" s="8">
        <f t="shared" si="20"/>
        <v>0.36331503238785695</v>
      </c>
      <c r="AI6" s="8">
        <f t="shared" si="21"/>
        <v>4.0493132577077297E-2</v>
      </c>
      <c r="AJ6" s="8">
        <f t="shared" si="22"/>
        <v>0.30821745990399785</v>
      </c>
      <c r="AK6" s="8">
        <f t="shared" si="23"/>
        <v>0.19656933625370412</v>
      </c>
      <c r="AL6" s="8">
        <f t="shared" si="24"/>
        <v>0.18993568867689392</v>
      </c>
      <c r="AM6" s="8">
        <f t="shared" si="25"/>
        <v>0.31234906869034895</v>
      </c>
      <c r="AN6" s="8">
        <f t="shared" si="26"/>
        <v>3.2717335772898856E-2</v>
      </c>
      <c r="AO6" s="8">
        <f t="shared" si="27"/>
        <v>0.36409762768358944</v>
      </c>
      <c r="AP6" s="8">
        <f t="shared" si="28"/>
        <v>-0.13120803057046526</v>
      </c>
      <c r="AQ6" s="8">
        <f t="shared" si="29"/>
        <v>0.34120662253056311</v>
      </c>
      <c r="AR6" s="8">
        <f t="shared" si="30"/>
        <v>-0.26823591264134128</v>
      </c>
      <c r="AS6" s="8">
        <f t="shared" si="31"/>
        <v>0.24836868102552909</v>
      </c>
      <c r="AT6" s="8">
        <f t="shared" si="32"/>
        <v>-0.35027576379506836</v>
      </c>
      <c r="AU6" s="8">
        <f t="shared" si="33"/>
        <v>0.104615466555743</v>
      </c>
      <c r="AV6" s="8">
        <f t="shared" si="34"/>
        <v>-0.36050951583467317</v>
      </c>
      <c r="AW6" s="8">
        <f t="shared" si="35"/>
        <v>-6.0583789395710672E-2</v>
      </c>
      <c r="AX6" s="8">
        <f t="shared" si="36"/>
        <v>-0.29683926222701884</v>
      </c>
      <c r="AY6" s="8">
        <f t="shared" si="37"/>
        <v>-0.21336344332010923</v>
      </c>
      <c r="AZ6" s="8">
        <f t="shared" si="38"/>
        <v>-0.17231732635194194</v>
      </c>
      <c r="BA6" s="8">
        <f t="shared" si="39"/>
        <v>-0.32240385479056022</v>
      </c>
      <c r="BB6" s="8">
        <f t="shared" si="40"/>
        <v>-1.2470551324283877E-2</v>
      </c>
      <c r="BC6" s="8">
        <f t="shared" si="41"/>
        <v>-0.36535187408108738</v>
      </c>
      <c r="BD6" s="8">
        <f t="shared" si="42"/>
        <v>0.14993267132823176</v>
      </c>
      <c r="BE6" s="8">
        <f t="shared" si="43"/>
        <v>-0.33340321026240094</v>
      </c>
      <c r="BF6" s="8">
        <f t="shared" si="44"/>
        <v>0.28159988147107545</v>
      </c>
      <c r="BG6" s="8">
        <f t="shared" si="45"/>
        <v>-0.23310729997228866</v>
      </c>
      <c r="BH6" s="8">
        <f t="shared" si="46"/>
        <v>0.3555394635863422</v>
      </c>
      <c r="BI6" s="8">
        <f t="shared" si="47"/>
        <v>-8.5024680991053203E-2</v>
      </c>
      <c r="BM6">
        <v>7.419237585617687E-2</v>
      </c>
      <c r="BN6">
        <v>4.549817002611526E-2</v>
      </c>
    </row>
    <row r="7" spans="1:66 16384:16384">
      <c r="A7" s="1">
        <v>5</v>
      </c>
      <c r="B7" s="5">
        <v>15178</v>
      </c>
      <c r="C7" s="8">
        <f t="shared" si="48"/>
        <v>9.6276022899638587</v>
      </c>
      <c r="D7" s="8">
        <f t="shared" si="49"/>
        <v>0.57090909090909092</v>
      </c>
      <c r="E7" s="7">
        <f t="shared" si="50"/>
        <v>11</v>
      </c>
      <c r="F7" s="8">
        <f>BM12</f>
        <v>0.83978470684159712</v>
      </c>
      <c r="G7" s="8">
        <f>BN12</f>
        <v>0.52446508072729559</v>
      </c>
      <c r="H7" s="8">
        <f t="shared" si="55"/>
        <v>0.29457314002279977</v>
      </c>
      <c r="I7" s="8">
        <f t="shared" si="51"/>
        <v>0.18919015365466227</v>
      </c>
      <c r="J7" s="8">
        <f t="shared" si="52"/>
        <v>0.14561897384299183</v>
      </c>
      <c r="K7" s="8">
        <f t="shared" si="53"/>
        <v>0.31837299433161848</v>
      </c>
      <c r="L7" s="8">
        <f t="shared" si="56"/>
        <v>-4.9522603098366966E-2</v>
      </c>
      <c r="M7" s="8">
        <f t="shared" si="54"/>
        <v>0.34657432225300294</v>
      </c>
      <c r="N7" s="8">
        <f t="shared" si="0"/>
        <v>-0.2289566060133372</v>
      </c>
      <c r="O7" s="8">
        <f t="shared" si="1"/>
        <v>0.26484924320378977</v>
      </c>
      <c r="P7" s="8">
        <f t="shared" si="2"/>
        <v>-0.33577017678661036</v>
      </c>
      <c r="Q7" s="8">
        <f t="shared" si="3"/>
        <v>9.9119309135279859E-2</v>
      </c>
      <c r="R7" s="8">
        <f t="shared" si="4"/>
        <v>-0.33608419830854069</v>
      </c>
      <c r="S7" s="8">
        <f t="shared" si="5"/>
        <v>-9.8049276948237785E-2</v>
      </c>
      <c r="T7" s="8">
        <f t="shared" si="6"/>
        <v>-0.22979906926592983</v>
      </c>
      <c r="U7" s="8">
        <f t="shared" si="7"/>
        <v>-0.26411860371295148</v>
      </c>
      <c r="V7" s="8">
        <f t="shared" si="8"/>
        <v>-5.0626295676039622E-2</v>
      </c>
      <c r="W7" s="8">
        <f t="shared" si="9"/>
        <v>-0.3464148196149941</v>
      </c>
      <c r="X7" s="8">
        <f t="shared" si="10"/>
        <v>0.14460412103559217</v>
      </c>
      <c r="Y7" s="8">
        <f t="shared" si="11"/>
        <v>-0.3188352195763362</v>
      </c>
      <c r="Z7" s="8">
        <f t="shared" si="12"/>
        <v>0.29396901789206281</v>
      </c>
      <c r="AA7" s="8">
        <f t="shared" si="13"/>
        <v>-0.19012749822774921</v>
      </c>
      <c r="AB7" s="8">
        <f t="shared" si="14"/>
        <v>0.35009285266558005</v>
      </c>
      <c r="AC7" s="8">
        <f t="shared" si="15"/>
        <v>-1.1151570486487745E-3</v>
      </c>
      <c r="AD7" s="8">
        <f t="shared" si="16"/>
        <v>0.29517427336342328</v>
      </c>
      <c r="AE7" s="8">
        <f t="shared" si="17"/>
        <v>0.1882508895254994</v>
      </c>
      <c r="AF7" s="8">
        <f t="shared" si="18"/>
        <v>0.1466323491750546</v>
      </c>
      <c r="AG7" s="8">
        <f t="shared" si="19"/>
        <v>0.31790753881934225</v>
      </c>
      <c r="AH7" s="8">
        <f t="shared" si="20"/>
        <v>-4.8418408055783485E-2</v>
      </c>
      <c r="AI7" s="8">
        <f t="shared" si="21"/>
        <v>0.34673030848789432</v>
      </c>
      <c r="AJ7" s="8">
        <f t="shared" si="22"/>
        <v>-0.22811181972735342</v>
      </c>
      <c r="AK7" s="8">
        <f t="shared" si="23"/>
        <v>0.26557719548832148</v>
      </c>
      <c r="AL7" s="8">
        <f t="shared" si="24"/>
        <v>-0.33545274848229417</v>
      </c>
      <c r="AM7" s="8">
        <f t="shared" si="25"/>
        <v>0.10018833564063907</v>
      </c>
      <c r="AN7" s="8">
        <f t="shared" si="26"/>
        <v>-0.33639480986196857</v>
      </c>
      <c r="AO7" s="8">
        <f t="shared" si="27"/>
        <v>-9.6978249936244473E-2</v>
      </c>
      <c r="AP7" s="8">
        <f t="shared" si="28"/>
        <v>-0.23063920093735299</v>
      </c>
      <c r="AQ7" s="8">
        <f t="shared" si="29"/>
        <v>-0.2633852844290015</v>
      </c>
      <c r="AR7" s="8">
        <f t="shared" si="30"/>
        <v>-5.1729474590545381E-2</v>
      </c>
      <c r="AS7" s="8">
        <f t="shared" si="31"/>
        <v>-0.3462518021922093</v>
      </c>
      <c r="AT7" s="8">
        <f t="shared" si="32"/>
        <v>0.14358780104972751</v>
      </c>
      <c r="AU7" s="8">
        <f t="shared" si="33"/>
        <v>-0.31929420986367824</v>
      </c>
      <c r="AV7" s="8">
        <f t="shared" si="34"/>
        <v>0.29336191310074056</v>
      </c>
      <c r="AW7" s="8">
        <f t="shared" si="35"/>
        <v>-0.19106291373429932</v>
      </c>
      <c r="AX7" s="8">
        <f t="shared" si="36"/>
        <v>0.35008752450246511</v>
      </c>
      <c r="AY7" s="8">
        <f t="shared" si="37"/>
        <v>-2.2303027827209328E-3</v>
      </c>
      <c r="AZ7" s="8">
        <f t="shared" si="38"/>
        <v>0.29577241181473068</v>
      </c>
      <c r="BA7" s="8">
        <f t="shared" si="39"/>
        <v>0.18730971537019664</v>
      </c>
      <c r="BB7" s="8">
        <f t="shared" si="40"/>
        <v>0.14764423674989827</v>
      </c>
      <c r="BC7" s="8">
        <f t="shared" si="41"/>
        <v>0.31743885776209996</v>
      </c>
      <c r="BD7" s="8">
        <f t="shared" si="42"/>
        <v>-4.7313721751643396E-2</v>
      </c>
      <c r="BE7" s="8">
        <f t="shared" si="43"/>
        <v>0.34688277673700491</v>
      </c>
      <c r="BF7" s="8">
        <f t="shared" si="44"/>
        <v>-0.22726471897932607</v>
      </c>
      <c r="BG7" s="8">
        <f t="shared" si="45"/>
        <v>0.2663024531806169</v>
      </c>
      <c r="BH7" s="8">
        <f t="shared" si="46"/>
        <v>-0.33513191661627489</v>
      </c>
      <c r="BI7" s="8">
        <f t="shared" si="47"/>
        <v>0.1012563456177876</v>
      </c>
    </row>
    <row r="8" spans="1:66 16384:16384">
      <c r="A8" s="2">
        <v>6</v>
      </c>
      <c r="B8" s="6">
        <v>7272</v>
      </c>
      <c r="C8" s="8">
        <f t="shared" si="48"/>
        <v>8.891786635857315</v>
      </c>
      <c r="D8" s="8">
        <f t="shared" si="49"/>
        <v>0.68509090909090908</v>
      </c>
      <c r="E8" s="7">
        <f t="shared" si="50"/>
        <v>9.1666666666666679</v>
      </c>
      <c r="F8" s="8">
        <f>BM14</f>
        <v>32.105766686106954</v>
      </c>
      <c r="G8" s="8">
        <f>BN14</f>
        <v>80.529434252854841</v>
      </c>
      <c r="H8" s="8">
        <f t="shared" si="55"/>
        <v>0.25038027227081167</v>
      </c>
      <c r="I8" s="8">
        <f t="shared" si="51"/>
        <v>0.20458979645809675</v>
      </c>
      <c r="J8" s="8">
        <f t="shared" si="52"/>
        <v>6.4432004665940845E-2</v>
      </c>
      <c r="K8" s="8">
        <f t="shared" si="53"/>
        <v>0.31685293486395133</v>
      </c>
      <c r="L8" s="8">
        <f t="shared" si="56"/>
        <v>-0.15059294107928484</v>
      </c>
      <c r="M8" s="8">
        <f t="shared" si="54"/>
        <v>0.28612764923065764</v>
      </c>
      <c r="N8" s="8">
        <f t="shared" si="0"/>
        <v>-0.29765876463555863</v>
      </c>
      <c r="O8" s="8">
        <f t="shared" si="1"/>
        <v>0.12627955255228104</v>
      </c>
      <c r="P8" s="8">
        <f t="shared" si="2"/>
        <v>-0.310398050629688</v>
      </c>
      <c r="Q8" s="8">
        <f t="shared" si="3"/>
        <v>-9.0555594650252716E-2</v>
      </c>
      <c r="R8" s="8">
        <f t="shared" si="4"/>
        <v>-0.18306185301366878</v>
      </c>
      <c r="S8" s="8">
        <f t="shared" si="5"/>
        <v>-0.2665250898665511</v>
      </c>
      <c r="T8" s="8">
        <f t="shared" si="6"/>
        <v>2.6885938133430976E-2</v>
      </c>
      <c r="U8" s="8">
        <f t="shared" si="7"/>
        <v>-0.32221795711576434</v>
      </c>
      <c r="V8" s="8">
        <f t="shared" si="8"/>
        <v>0.22470072529190105</v>
      </c>
      <c r="W8" s="8">
        <f t="shared" si="9"/>
        <v>-0.23250128948129481</v>
      </c>
      <c r="X8" s="8">
        <f t="shared" si="10"/>
        <v>0.3211132558995895</v>
      </c>
      <c r="Y8" s="8">
        <f t="shared" si="11"/>
        <v>-3.7862150529730743E-2</v>
      </c>
      <c r="Z8" s="8">
        <f t="shared" si="12"/>
        <v>0.27261477781210208</v>
      </c>
      <c r="AA8" s="8">
        <f t="shared" si="13"/>
        <v>0.1738633039937682</v>
      </c>
      <c r="AB8" s="8">
        <f t="shared" si="14"/>
        <v>0.10109153599354054</v>
      </c>
      <c r="AC8" s="8">
        <f t="shared" si="15"/>
        <v>0.30712825807411132</v>
      </c>
      <c r="AD8" s="8">
        <f t="shared" si="16"/>
        <v>-0.11605198521937111</v>
      </c>
      <c r="AE8" s="8">
        <f t="shared" si="17"/>
        <v>0.30179331053523056</v>
      </c>
      <c r="AF8" s="8">
        <f t="shared" si="18"/>
        <v>-0.28082392123532818</v>
      </c>
      <c r="AG8" s="8">
        <f t="shared" si="19"/>
        <v>0.16026600019712675</v>
      </c>
      <c r="AH8" s="8">
        <f t="shared" si="20"/>
        <v>-0.31886649636600645</v>
      </c>
      <c r="AI8" s="8">
        <f t="shared" si="21"/>
        <v>-5.3585660884594856E-2</v>
      </c>
      <c r="AJ8" s="8">
        <f t="shared" si="22"/>
        <v>-0.213011973576992</v>
      </c>
      <c r="AK8" s="8">
        <f t="shared" si="23"/>
        <v>-0.24325534869763105</v>
      </c>
      <c r="AL8" s="8">
        <f t="shared" si="24"/>
        <v>-1.1030058386449455E-2</v>
      </c>
      <c r="AM8" s="8">
        <f t="shared" si="25"/>
        <v>-0.32314950621834898</v>
      </c>
      <c r="AN8" s="8">
        <f t="shared" si="26"/>
        <v>0.19592946784126214</v>
      </c>
      <c r="AO8" s="8">
        <f t="shared" si="27"/>
        <v>-0.25721374222348825</v>
      </c>
      <c r="AP8" s="8">
        <f t="shared" si="28"/>
        <v>0.31447054264613822</v>
      </c>
      <c r="AQ8" s="8">
        <f t="shared" si="29"/>
        <v>-7.5203346767378693E-2</v>
      </c>
      <c r="AR8" s="8">
        <f t="shared" si="30"/>
        <v>0.29109831209055059</v>
      </c>
      <c r="AS8" s="8">
        <f t="shared" si="31"/>
        <v>0.14074458517187668</v>
      </c>
      <c r="AT8" s="8">
        <f t="shared" si="32"/>
        <v>0.13636012494644004</v>
      </c>
      <c r="AU8" s="8">
        <f t="shared" si="33"/>
        <v>0.29317773087627663</v>
      </c>
      <c r="AV8" s="8">
        <f t="shared" si="34"/>
        <v>-7.9914242622336096E-2</v>
      </c>
      <c r="AW8" s="8">
        <f t="shared" si="35"/>
        <v>0.31330652623791549</v>
      </c>
      <c r="AX8" s="8">
        <f t="shared" si="36"/>
        <v>-0.2601251550245805</v>
      </c>
      <c r="AY8" s="8">
        <f t="shared" si="37"/>
        <v>0.19204731000617839</v>
      </c>
      <c r="AZ8" s="8">
        <f t="shared" si="38"/>
        <v>-0.32294758249492944</v>
      </c>
      <c r="BA8" s="8">
        <f t="shared" si="39"/>
        <v>-1.5878429325722442E-2</v>
      </c>
      <c r="BB8" s="8">
        <f t="shared" si="40"/>
        <v>-0.24003121197045954</v>
      </c>
      <c r="BC8" s="8">
        <f t="shared" si="41"/>
        <v>-0.21663859960118731</v>
      </c>
      <c r="BD8" s="8">
        <f t="shared" si="42"/>
        <v>-4.8794289721891829E-2</v>
      </c>
      <c r="BE8" s="8">
        <f t="shared" si="43"/>
        <v>-0.31963476476708114</v>
      </c>
      <c r="BF8" s="8">
        <f t="shared" si="44"/>
        <v>0.16446237046105347</v>
      </c>
      <c r="BG8" s="8">
        <f t="shared" si="45"/>
        <v>-0.27838713019732508</v>
      </c>
      <c r="BH8" s="8">
        <f t="shared" si="46"/>
        <v>0.30350095475315819</v>
      </c>
      <c r="BI8" s="8">
        <f t="shared" si="47"/>
        <v>-0.11150980235428913</v>
      </c>
      <c r="BM8">
        <v>2.0494070080269577</v>
      </c>
      <c r="BN8">
        <v>1.3182030997667837</v>
      </c>
    </row>
    <row r="9" spans="1:66 16384:16384">
      <c r="A9" s="1">
        <v>7</v>
      </c>
      <c r="B9" s="5">
        <v>4448</v>
      </c>
      <c r="C9" s="8">
        <f t="shared" si="48"/>
        <v>8.4002098359304185</v>
      </c>
      <c r="D9" s="8">
        <f t="shared" si="49"/>
        <v>0.79927272727272725</v>
      </c>
      <c r="E9" s="7">
        <f t="shared" si="50"/>
        <v>7.8571428571428577</v>
      </c>
      <c r="F9" s="8">
        <f>BM16</f>
        <v>1.7963563279400203</v>
      </c>
      <c r="G9" s="8">
        <f>BN16</f>
        <v>1.1482496024639883</v>
      </c>
      <c r="H9" s="8">
        <f t="shared" si="55"/>
        <v>0.21297685481870043</v>
      </c>
      <c r="I9" s="8">
        <f t="shared" si="51"/>
        <v>0.2189703180519717</v>
      </c>
      <c r="J9" s="8">
        <f t="shared" si="52"/>
        <v>-8.4752211696745242E-3</v>
      </c>
      <c r="K9" s="8">
        <f t="shared" si="53"/>
        <v>0.30534457830846212</v>
      </c>
      <c r="L9" s="8">
        <f t="shared" si="56"/>
        <v>-0.22479518187392722</v>
      </c>
      <c r="M9" s="8">
        <f t="shared" si="54"/>
        <v>0.20681940692912609</v>
      </c>
      <c r="N9" s="8">
        <f t="shared" si="0"/>
        <v>-0.30499187622375812</v>
      </c>
      <c r="O9" s="8">
        <f t="shared" si="1"/>
        <v>-1.6943916718375893E-2</v>
      </c>
      <c r="P9" s="8">
        <f t="shared" si="2"/>
        <v>-0.20050271540065526</v>
      </c>
      <c r="Q9" s="8">
        <f t="shared" si="3"/>
        <v>-0.2304469613451462</v>
      </c>
      <c r="R9" s="8">
        <f t="shared" si="4"/>
        <v>2.5399566049628699E-2</v>
      </c>
      <c r="S9" s="8">
        <f t="shared" si="5"/>
        <v>-0.30440434116605175</v>
      </c>
      <c r="T9" s="8">
        <f t="shared" si="6"/>
        <v>0.23592130479504522</v>
      </c>
      <c r="U9" s="8">
        <f t="shared" si="7"/>
        <v>-0.19403164386267213</v>
      </c>
      <c r="V9" s="8">
        <f t="shared" si="8"/>
        <v>0.30358242551658676</v>
      </c>
      <c r="W9" s="8">
        <f t="shared" si="9"/>
        <v>3.3835658612083923E-2</v>
      </c>
      <c r="X9" s="8">
        <f t="shared" si="10"/>
        <v>0.18741117481171571</v>
      </c>
      <c r="Y9" s="8">
        <f t="shared" si="11"/>
        <v>0.24121399717251069</v>
      </c>
      <c r="Z9" s="8">
        <f t="shared" si="12"/>
        <v>-4.2245698912414177E-2</v>
      </c>
      <c r="AA9" s="8">
        <f t="shared" si="13"/>
        <v>0.30252676212138507</v>
      </c>
      <c r="AB9" s="8">
        <f t="shared" si="14"/>
        <v>-0.24632096329133862</v>
      </c>
      <c r="AC9" s="8">
        <f t="shared" si="15"/>
        <v>0.18064640577513427</v>
      </c>
      <c r="AD9" s="8">
        <f t="shared" si="16"/>
        <v>-0.30123816380397689</v>
      </c>
      <c r="AE9" s="8">
        <f t="shared" si="17"/>
        <v>-5.0623211516613899E-2</v>
      </c>
      <c r="AF9" s="8">
        <f t="shared" si="18"/>
        <v>-0.17374254538616768</v>
      </c>
      <c r="AG9" s="8">
        <f t="shared" si="19"/>
        <v>-0.25123827096798557</v>
      </c>
      <c r="AH9" s="8">
        <f t="shared" si="20"/>
        <v>5.896174603585369E-2</v>
      </c>
      <c r="AI9" s="8">
        <f t="shared" si="21"/>
        <v>-0.29971762273955621</v>
      </c>
      <c r="AJ9" s="8">
        <f t="shared" si="22"/>
        <v>0.25596213404920914</v>
      </c>
      <c r="AK9" s="8">
        <f t="shared" si="23"/>
        <v>-0.16670490937348589</v>
      </c>
      <c r="AL9" s="8">
        <f t="shared" si="24"/>
        <v>0.29796630969103999</v>
      </c>
      <c r="AM9" s="8">
        <f t="shared" si="25"/>
        <v>6.7254882093054802E-2</v>
      </c>
      <c r="AN9" s="8">
        <f t="shared" si="26"/>
        <v>0.15953891646826282</v>
      </c>
      <c r="AO9" s="8">
        <f t="shared" si="27"/>
        <v>0.26048891532727475</v>
      </c>
      <c r="AP9" s="8">
        <f t="shared" si="28"/>
        <v>-7.5496234266349271E-2</v>
      </c>
      <c r="AQ9" s="8">
        <f t="shared" si="29"/>
        <v>0.29598557310762291</v>
      </c>
      <c r="AR9" s="8">
        <f t="shared" si="30"/>
        <v>-0.2648151293404743</v>
      </c>
      <c r="AS9" s="8">
        <f t="shared" si="31"/>
        <v>0.15225008423194825</v>
      </c>
      <c r="AT9" s="8">
        <f t="shared" si="32"/>
        <v>-0.29377693808651872</v>
      </c>
      <c r="AU9" s="8">
        <f t="shared" si="33"/>
        <v>-8.3679457005630856E-2</v>
      </c>
      <c r="AV9" s="8">
        <f t="shared" si="34"/>
        <v>-0.14484402480793596</v>
      </c>
      <c r="AW9" s="8">
        <f t="shared" si="35"/>
        <v>-0.26893744505681144</v>
      </c>
      <c r="AX9" s="8">
        <f t="shared" si="36"/>
        <v>9.179824951840608E-2</v>
      </c>
      <c r="AY9" s="8">
        <f t="shared" si="37"/>
        <v>-0.29134210519868892</v>
      </c>
      <c r="AZ9" s="8">
        <f t="shared" si="38"/>
        <v>0.27285268843877519</v>
      </c>
      <c r="BA9" s="8">
        <f t="shared" si="39"/>
        <v>-0.13732644060041801</v>
      </c>
      <c r="BB9" s="8">
        <f t="shared" si="40"/>
        <v>0.28868294917946397</v>
      </c>
      <c r="BC9" s="8">
        <f t="shared" si="41"/>
        <v>9.9846360621178715E-2</v>
      </c>
      <c r="BD9" s="8">
        <f t="shared" si="42"/>
        <v>0.12970311988372607</v>
      </c>
      <c r="BE9" s="8">
        <f t="shared" si="43"/>
        <v>0.276557844887241</v>
      </c>
      <c r="BF9" s="8">
        <f t="shared" si="44"/>
        <v>-0.10781759355264249</v>
      </c>
      <c r="BG9" s="8">
        <f t="shared" si="45"/>
        <v>0.28580151748506277</v>
      </c>
      <c r="BH9" s="8">
        <f t="shared" si="46"/>
        <v>-0.28005006156260159</v>
      </c>
      <c r="BI9" s="8">
        <f t="shared" si="47"/>
        <v>0.12197993234557281</v>
      </c>
    </row>
    <row r="10" spans="1:66 16384:16384">
      <c r="A10" s="1">
        <v>8</v>
      </c>
      <c r="B10" s="5">
        <v>4926</v>
      </c>
      <c r="C10" s="8">
        <f t="shared" si="48"/>
        <v>8.5022825786804841</v>
      </c>
      <c r="D10" s="8">
        <f t="shared" si="49"/>
        <v>0.91345454545454552</v>
      </c>
      <c r="E10" s="7">
        <f t="shared" si="50"/>
        <v>6.875</v>
      </c>
      <c r="F10" s="8">
        <f>BM18</f>
        <v>0.6661572907582457</v>
      </c>
      <c r="G10" s="8">
        <f>BN18</f>
        <v>0.41430284954409152</v>
      </c>
      <c r="H10" s="8">
        <f t="shared" si="55"/>
        <v>0.18890981006053276</v>
      </c>
      <c r="I10" s="8">
        <f t="shared" si="51"/>
        <v>0.24474801632415197</v>
      </c>
      <c r="J10" s="8">
        <f t="shared" si="52"/>
        <v>-7.8320563997840834E-2</v>
      </c>
      <c r="K10" s="8">
        <f t="shared" si="53"/>
        <v>0.29908927945811437</v>
      </c>
      <c r="L10" s="8">
        <f t="shared" si="56"/>
        <v>-0.28461984442437721</v>
      </c>
      <c r="M10" s="8">
        <f t="shared" si="54"/>
        <v>0.12074788607490082</v>
      </c>
      <c r="N10" s="8">
        <f t="shared" si="0"/>
        <v>-0.26949326292046627</v>
      </c>
      <c r="O10" s="8">
        <f t="shared" si="1"/>
        <v>-0.15153180878018438</v>
      </c>
      <c r="P10" s="8">
        <f t="shared" si="2"/>
        <v>-4.4708854685265011E-2</v>
      </c>
      <c r="Q10" s="8">
        <f t="shared" si="3"/>
        <v>-0.30592421634196559</v>
      </c>
      <c r="R10" s="8">
        <f t="shared" si="4"/>
        <v>0.21485772660828142</v>
      </c>
      <c r="S10" s="8">
        <f t="shared" si="5"/>
        <v>-0.22231658765920934</v>
      </c>
      <c r="T10" s="8">
        <f t="shared" si="6"/>
        <v>0.30727132036902871</v>
      </c>
      <c r="U10" s="8">
        <f t="shared" si="7"/>
        <v>3.4246802922136756E-2</v>
      </c>
      <c r="V10" s="8">
        <f t="shared" si="8"/>
        <v>0.16063687060062473</v>
      </c>
      <c r="W10" s="8">
        <f t="shared" si="9"/>
        <v>0.26416718879405154</v>
      </c>
      <c r="X10" s="8">
        <f t="shared" si="10"/>
        <v>-0.11096833657399262</v>
      </c>
      <c r="Y10" s="8">
        <f t="shared" si="11"/>
        <v>0.28857327684613315</v>
      </c>
      <c r="Z10" s="8">
        <f t="shared" si="12"/>
        <v>-0.29624344395329227</v>
      </c>
      <c r="AA10" s="8">
        <f t="shared" si="13"/>
        <v>8.8477848902459827E-2</v>
      </c>
      <c r="AB10" s="8">
        <f t="shared" si="14"/>
        <v>-0.25104987107853266</v>
      </c>
      <c r="AC10" s="8">
        <f t="shared" si="15"/>
        <v>-0.18045074137604988</v>
      </c>
      <c r="AD10" s="8">
        <f t="shared" si="16"/>
        <v>-1.0546887493088263E-2</v>
      </c>
      <c r="AE10" s="8">
        <f t="shared" si="17"/>
        <v>-0.30899396595390349</v>
      </c>
      <c r="AF10" s="8">
        <f t="shared" si="18"/>
        <v>0.23816126414226327</v>
      </c>
      <c r="AG10" s="8">
        <f t="shared" si="19"/>
        <v>-0.19714897943908571</v>
      </c>
      <c r="AH10" s="8">
        <f t="shared" si="20"/>
        <v>0.30158696192131967</v>
      </c>
      <c r="AI10" s="8">
        <f t="shared" si="21"/>
        <v>6.8072110520993767E-2</v>
      </c>
      <c r="AJ10" s="8">
        <f t="shared" si="22"/>
        <v>0.13038687973949839</v>
      </c>
      <c r="AK10" s="8">
        <f t="shared" si="23"/>
        <v>0.28033510201812317</v>
      </c>
      <c r="AL10" s="8">
        <f t="shared" si="24"/>
        <v>-0.14225035728698782</v>
      </c>
      <c r="AM10" s="8">
        <f t="shared" si="25"/>
        <v>0.27450563506682013</v>
      </c>
      <c r="AN10" s="8">
        <f t="shared" si="26"/>
        <v>-0.30422100310692074</v>
      </c>
      <c r="AO10" s="8">
        <f t="shared" si="27"/>
        <v>5.5118863380269681E-2</v>
      </c>
      <c r="AP10" s="8">
        <f t="shared" si="28"/>
        <v>-0.22951666244960819</v>
      </c>
      <c r="AQ10" s="8">
        <f t="shared" si="29"/>
        <v>-0.20714876173828925</v>
      </c>
      <c r="AR10" s="8">
        <f t="shared" si="30"/>
        <v>2.3744886378081954E-2</v>
      </c>
      <c r="AS10" s="8">
        <f t="shared" si="31"/>
        <v>-0.30826074709992823</v>
      </c>
      <c r="AT10" s="8">
        <f t="shared" si="32"/>
        <v>0.25853361247150103</v>
      </c>
      <c r="AU10" s="8">
        <f t="shared" si="33"/>
        <v>-0.16955494405693292</v>
      </c>
      <c r="AV10" s="8">
        <f t="shared" si="34"/>
        <v>0.2921907973146245</v>
      </c>
      <c r="AW10" s="8">
        <f t="shared" si="35"/>
        <v>0.10105961506139795</v>
      </c>
      <c r="AX10" s="8">
        <f t="shared" si="36"/>
        <v>9.853214170964604E-2</v>
      </c>
      <c r="AY10" s="8">
        <f t="shared" si="37"/>
        <v>0.29305276808422087</v>
      </c>
      <c r="AZ10" s="8">
        <f t="shared" si="38"/>
        <v>-0.17178162011266515</v>
      </c>
      <c r="BA10" s="8">
        <f t="shared" si="39"/>
        <v>0.25705949277002382</v>
      </c>
      <c r="BB10" s="8">
        <f t="shared" si="40"/>
        <v>-0.30845433742459677</v>
      </c>
      <c r="BC10" s="8">
        <f t="shared" si="41"/>
        <v>2.1081497946467975E-2</v>
      </c>
      <c r="BD10" s="8">
        <f t="shared" si="42"/>
        <v>-0.20515865875711986</v>
      </c>
      <c r="BE10" s="8">
        <f t="shared" si="43"/>
        <v>-0.23129728180135101</v>
      </c>
      <c r="BF10" s="8">
        <f t="shared" si="44"/>
        <v>5.774441812134061E-2</v>
      </c>
      <c r="BG10" s="8">
        <f t="shared" si="45"/>
        <v>-0.30373358393095373</v>
      </c>
      <c r="BH10" s="8">
        <f t="shared" si="46"/>
        <v>0.27572403725549322</v>
      </c>
      <c r="BI10" s="8">
        <f t="shared" si="47"/>
        <v>-0.13987409735632009</v>
      </c>
      <c r="BM10">
        <v>0.8873071391481937</v>
      </c>
      <c r="BN10">
        <v>0.55477722025630749</v>
      </c>
    </row>
    <row r="11" spans="1:66 16384:16384">
      <c r="A11" s="1">
        <v>9</v>
      </c>
      <c r="B11" s="5">
        <v>5437</v>
      </c>
      <c r="C11" s="8">
        <f t="shared" si="48"/>
        <v>8.6009827171459214</v>
      </c>
      <c r="D11" s="8">
        <f t="shared" si="49"/>
        <v>1.0276363636363637</v>
      </c>
      <c r="E11" s="7">
        <f t="shared" si="50"/>
        <v>6.1111111111111107</v>
      </c>
      <c r="F11" s="8">
        <f>BM20</f>
        <v>0.40202437207396063</v>
      </c>
      <c r="G11" s="8">
        <f>BN20</f>
        <v>0.24846098871881839</v>
      </c>
      <c r="H11" s="8">
        <f t="shared" si="55"/>
        <v>0.16164960525565794</v>
      </c>
      <c r="I11" s="8">
        <f t="shared" si="51"/>
        <v>0.26775007792525102</v>
      </c>
      <c r="J11" s="8">
        <f t="shared" si="52"/>
        <v>-0.14566783219064722</v>
      </c>
      <c r="K11" s="8">
        <f t="shared" si="53"/>
        <v>0.27676990763658804</v>
      </c>
      <c r="L11" s="8">
        <f t="shared" si="56"/>
        <v>-0.31222462197809103</v>
      </c>
      <c r="M11" s="8">
        <f t="shared" si="54"/>
        <v>1.8343514901081201E-2</v>
      </c>
      <c r="N11" s="8">
        <f t="shared" si="0"/>
        <v>-0.17707485552901631</v>
      </c>
      <c r="O11" s="8">
        <f t="shared" si="1"/>
        <v>-0.25780844564844269</v>
      </c>
      <c r="P11" s="8">
        <f t="shared" si="2"/>
        <v>0.12918455794042508</v>
      </c>
      <c r="Q11" s="8">
        <f t="shared" si="3"/>
        <v>-0.28483688156210563</v>
      </c>
      <c r="R11" s="8">
        <f t="shared" si="4"/>
        <v>0.3106113177638718</v>
      </c>
      <c r="S11" s="8">
        <f t="shared" si="5"/>
        <v>-3.6623877256226268E-2</v>
      </c>
      <c r="T11" s="8">
        <f t="shared" si="6"/>
        <v>0.19189047738556181</v>
      </c>
      <c r="U11" s="8">
        <f t="shared" si="7"/>
        <v>0.2469792375828973</v>
      </c>
      <c r="V11" s="8">
        <f t="shared" si="8"/>
        <v>-0.11225653066584697</v>
      </c>
      <c r="W11" s="8">
        <f t="shared" si="9"/>
        <v>0.29192322694701051</v>
      </c>
      <c r="X11" s="8">
        <f t="shared" si="10"/>
        <v>-0.30792864949270121</v>
      </c>
      <c r="Y11" s="8">
        <f t="shared" si="11"/>
        <v>5.4778151939338167E-2</v>
      </c>
      <c r="Z11" s="8">
        <f t="shared" si="12"/>
        <v>-0.20604546401199186</v>
      </c>
      <c r="AA11" s="8">
        <f t="shared" si="13"/>
        <v>-0.23529973622673489</v>
      </c>
      <c r="AB11" s="8">
        <f t="shared" si="14"/>
        <v>9.4942029711184331E-2</v>
      </c>
      <c r="AC11" s="8">
        <f t="shared" si="15"/>
        <v>-0.29800454711733615</v>
      </c>
      <c r="AD11" s="8">
        <f t="shared" si="16"/>
        <v>0.30418585298073236</v>
      </c>
      <c r="AE11" s="8">
        <f t="shared" si="17"/>
        <v>-7.2743837915470996E-2</v>
      </c>
      <c r="AF11" s="8">
        <f t="shared" si="18"/>
        <v>0.21949108301170936</v>
      </c>
      <c r="AG11" s="8">
        <f t="shared" si="19"/>
        <v>0.22281015144430685</v>
      </c>
      <c r="AH11" s="8">
        <f t="shared" si="20"/>
        <v>-7.7300664961609006E-2</v>
      </c>
      <c r="AI11" s="8">
        <f t="shared" si="21"/>
        <v>0.30305990547213779</v>
      </c>
      <c r="AJ11" s="8">
        <f t="shared" si="22"/>
        <v>-0.29939581382431524</v>
      </c>
      <c r="AK11" s="8">
        <f t="shared" si="23"/>
        <v>9.0459083417664662E-2</v>
      </c>
      <c r="AL11" s="8">
        <f t="shared" si="24"/>
        <v>-0.23218104417936919</v>
      </c>
      <c r="AM11" s="8">
        <f t="shared" si="25"/>
        <v>-0.20955348203278765</v>
      </c>
      <c r="AN11" s="8">
        <f t="shared" si="26"/>
        <v>5.93931716199292E-2</v>
      </c>
      <c r="AO11" s="8">
        <f t="shared" si="27"/>
        <v>-0.30707189756344311</v>
      </c>
      <c r="AP11" s="8">
        <f t="shared" si="28"/>
        <v>0.29357502303782096</v>
      </c>
      <c r="AQ11" s="8">
        <f t="shared" si="29"/>
        <v>-0.10786289888850058</v>
      </c>
      <c r="AR11" s="8">
        <f t="shared" si="30"/>
        <v>0.24407165886751797</v>
      </c>
      <c r="AS11" s="8">
        <f t="shared" si="31"/>
        <v>0.19557536768710415</v>
      </c>
      <c r="AT11" s="8">
        <f t="shared" si="32"/>
        <v>-4.1281201109110495E-2</v>
      </c>
      <c r="AU11" s="8">
        <f t="shared" si="33"/>
        <v>0.31002671101580459</v>
      </c>
      <c r="AV11" s="8">
        <f t="shared" si="34"/>
        <v>-0.28674352027883554</v>
      </c>
      <c r="AW11" s="8">
        <f t="shared" si="35"/>
        <v>0.12489536695325844</v>
      </c>
      <c r="AX11" s="8">
        <f t="shared" si="36"/>
        <v>-0.2551219903966615</v>
      </c>
      <c r="AY11" s="8">
        <f t="shared" si="37"/>
        <v>-0.18092393187285583</v>
      </c>
      <c r="AZ11" s="8">
        <f t="shared" si="38"/>
        <v>2.3027108820464579E-2</v>
      </c>
      <c r="BA11" s="8">
        <f t="shared" si="39"/>
        <v>-0.31191417307916375</v>
      </c>
      <c r="BB11" s="8">
        <f t="shared" si="40"/>
        <v>0.27892482485617842</v>
      </c>
      <c r="BC11" s="8">
        <f t="shared" si="41"/>
        <v>-0.14149784870180265</v>
      </c>
      <c r="BD11" s="8">
        <f t="shared" si="42"/>
        <v>0.26529399499093326</v>
      </c>
      <c r="BE11" s="8">
        <f t="shared" si="43"/>
        <v>0.16564961614817805</v>
      </c>
      <c r="BF11" s="8">
        <f t="shared" si="44"/>
        <v>-4.6937394382298428E-3</v>
      </c>
      <c r="BG11" s="8">
        <f t="shared" si="45"/>
        <v>0.31272778565131376</v>
      </c>
      <c r="BH11" s="8">
        <f t="shared" si="46"/>
        <v>-0.27014585475827851</v>
      </c>
      <c r="BI11" s="8">
        <f t="shared" si="47"/>
        <v>0.1576131855689972</v>
      </c>
    </row>
    <row r="12" spans="1:66 16384:16384">
      <c r="A12" s="1">
        <v>10</v>
      </c>
      <c r="B12" s="5">
        <v>16498</v>
      </c>
      <c r="C12" s="8">
        <f t="shared" si="48"/>
        <v>9.7109944404206772</v>
      </c>
      <c r="D12" s="8">
        <f t="shared" si="49"/>
        <v>1.1418181818181818</v>
      </c>
      <c r="E12" s="7">
        <f t="shared" si="50"/>
        <v>5.5</v>
      </c>
      <c r="F12" s="8">
        <f>BM22</f>
        <v>0.35680717328571776</v>
      </c>
      <c r="G12" s="8">
        <f>BN22</f>
        <v>0.22027888300176141</v>
      </c>
      <c r="H12" s="8">
        <f t="shared" si="55"/>
        <v>0.14688029301783365</v>
      </c>
      <c r="I12" s="8">
        <f t="shared" si="51"/>
        <v>0.321130670422203</v>
      </c>
      <c r="J12" s="8">
        <f t="shared" si="52"/>
        <v>-0.23093977722894196</v>
      </c>
      <c r="K12" s="8">
        <f t="shared" si="53"/>
        <v>0.26714330846245221</v>
      </c>
      <c r="L12" s="8">
        <f t="shared" si="56"/>
        <v>-0.33899528491010511</v>
      </c>
      <c r="M12" s="8">
        <f t="shared" si="54"/>
        <v>-9.8898557985113711E-2</v>
      </c>
      <c r="N12" s="8">
        <f t="shared" si="0"/>
        <v>-5.1064809393051872E-2</v>
      </c>
      <c r="O12" s="8">
        <f t="shared" si="1"/>
        <v>-0.34941538776142855</v>
      </c>
      <c r="P12" s="8">
        <f t="shared" si="2"/>
        <v>0.2965153121646516</v>
      </c>
      <c r="Q12" s="8">
        <f t="shared" si="3"/>
        <v>-0.1917743403448893</v>
      </c>
      <c r="R12" s="8">
        <f t="shared" si="4"/>
        <v>0.29773100729093133</v>
      </c>
      <c r="S12" s="8">
        <f t="shared" si="5"/>
        <v>0.18988147687530144</v>
      </c>
      <c r="T12" s="8">
        <f t="shared" si="6"/>
        <v>-4.8837797541125702E-2</v>
      </c>
      <c r="U12" s="8">
        <f t="shared" si="7"/>
        <v>0.34973360932880082</v>
      </c>
      <c r="V12" s="8">
        <f t="shared" si="8"/>
        <v>-0.3383583656058588</v>
      </c>
      <c r="W12" s="8">
        <f t="shared" si="9"/>
        <v>0.10105614472831523</v>
      </c>
      <c r="X12" s="8">
        <f t="shared" si="10"/>
        <v>-0.23263694641608529</v>
      </c>
      <c r="Y12" s="8">
        <f t="shared" si="11"/>
        <v>-0.26566666920224991</v>
      </c>
      <c r="Z12" s="8">
        <f t="shared" si="12"/>
        <v>0.14483152665744034</v>
      </c>
      <c r="AA12" s="8">
        <f t="shared" si="13"/>
        <v>-0.32205986531838049</v>
      </c>
      <c r="AB12" s="8">
        <f t="shared" si="14"/>
        <v>0.35311990480205413</v>
      </c>
      <c r="AC12" s="8">
        <f t="shared" si="15"/>
        <v>-2.2496211695444942E-3</v>
      </c>
      <c r="AD12" s="8">
        <f t="shared" si="16"/>
        <v>0.14892309830174746</v>
      </c>
      <c r="AE12" s="8">
        <f t="shared" si="17"/>
        <v>0.32018844256941298</v>
      </c>
      <c r="AF12" s="8">
        <f t="shared" si="18"/>
        <v>-0.22923323544561247</v>
      </c>
      <c r="AG12" s="8">
        <f t="shared" si="19"/>
        <v>0.26860910582099529</v>
      </c>
      <c r="AH12" s="8">
        <f t="shared" si="20"/>
        <v>-0.33961844622968324</v>
      </c>
      <c r="AI12" s="8">
        <f t="shared" si="21"/>
        <v>-9.6736957484479497E-2</v>
      </c>
      <c r="AJ12" s="8">
        <f t="shared" si="22"/>
        <v>-5.3289748800622372E-2</v>
      </c>
      <c r="AK12" s="8">
        <f t="shared" si="23"/>
        <v>-0.34908298531378584</v>
      </c>
      <c r="AL12" s="8">
        <f t="shared" si="24"/>
        <v>0.29528758308598313</v>
      </c>
      <c r="AM12" s="8">
        <f t="shared" si="25"/>
        <v>-0.19365942073149151</v>
      </c>
      <c r="AN12" s="8">
        <f t="shared" si="26"/>
        <v>0.29893461912633429</v>
      </c>
      <c r="AO12" s="8">
        <f t="shared" si="27"/>
        <v>0.18798090714381532</v>
      </c>
      <c r="AP12" s="8">
        <f t="shared" si="28"/>
        <v>-4.6608803627207512E-2</v>
      </c>
      <c r="AQ12" s="8">
        <f t="shared" si="29"/>
        <v>0.35003763710101038</v>
      </c>
      <c r="AR12" s="8">
        <f t="shared" si="30"/>
        <v>-0.33770771416605327</v>
      </c>
      <c r="AS12" s="8">
        <f t="shared" si="31"/>
        <v>0.10320963014931056</v>
      </c>
      <c r="AT12" s="8">
        <f t="shared" si="32"/>
        <v>-0.23432467412812771</v>
      </c>
      <c r="AU12" s="8">
        <f t="shared" si="33"/>
        <v>-0.26417924796918663</v>
      </c>
      <c r="AV12" s="8">
        <f t="shared" si="34"/>
        <v>0.14277688236891162</v>
      </c>
      <c r="AW12" s="8">
        <f t="shared" si="35"/>
        <v>-0.322975989546951</v>
      </c>
      <c r="AX12" s="8">
        <f t="shared" si="36"/>
        <v>0.35309840781678026</v>
      </c>
      <c r="AY12" s="8">
        <f t="shared" si="37"/>
        <v>-4.4991510391360467E-3</v>
      </c>
      <c r="AZ12" s="8">
        <f t="shared" si="38"/>
        <v>0.15095985960276798</v>
      </c>
      <c r="BA12" s="8">
        <f t="shared" si="39"/>
        <v>0.31923321999994114</v>
      </c>
      <c r="BB12" s="8">
        <f t="shared" si="40"/>
        <v>-0.22751739032539636</v>
      </c>
      <c r="BC12" s="8">
        <f t="shared" si="41"/>
        <v>0.27006400178909346</v>
      </c>
      <c r="BD12" s="8">
        <f t="shared" si="42"/>
        <v>-0.34022782427384657</v>
      </c>
      <c r="BE12" s="8">
        <f t="shared" si="43"/>
        <v>-9.4571430954082741E-2</v>
      </c>
      <c r="BF12" s="8">
        <f t="shared" si="44"/>
        <v>-5.5512525465584661E-2</v>
      </c>
      <c r="BG12" s="8">
        <f t="shared" si="45"/>
        <v>-0.34873641547628925</v>
      </c>
      <c r="BH12" s="8">
        <f t="shared" si="46"/>
        <v>0.29404786988180687</v>
      </c>
      <c r="BI12" s="8">
        <f t="shared" si="47"/>
        <v>-0.19553664152989389</v>
      </c>
      <c r="BM12">
        <v>0.83978470684159712</v>
      </c>
      <c r="BN12">
        <v>0.52446508072729559</v>
      </c>
    </row>
    <row r="13" spans="1:66 16384:16384">
      <c r="A13" s="1">
        <v>11</v>
      </c>
      <c r="B13" s="5">
        <v>35971</v>
      </c>
      <c r="C13" s="8">
        <f t="shared" si="48"/>
        <v>10.490468337248462</v>
      </c>
      <c r="D13" s="8">
        <f t="shared" si="49"/>
        <v>1.256</v>
      </c>
      <c r="E13" s="7">
        <f t="shared" si="50"/>
        <v>5</v>
      </c>
      <c r="F13" s="8">
        <f>BM24</f>
        <v>0.29604778731711728</v>
      </c>
      <c r="G13" s="8">
        <f>BN24</f>
        <v>0.18250509716304222</v>
      </c>
      <c r="H13" s="8">
        <f t="shared" si="55"/>
        <v>0.11811230243143679</v>
      </c>
      <c r="I13" s="8">
        <f t="shared" si="51"/>
        <v>0.36272585685877368</v>
      </c>
      <c r="J13" s="8">
        <f t="shared" si="52"/>
        <v>-0.30833104922901711</v>
      </c>
      <c r="K13" s="8">
        <f t="shared" si="53"/>
        <v>0.22461640033826602</v>
      </c>
      <c r="L13" s="8">
        <f t="shared" si="56"/>
        <v>-0.30904495606166099</v>
      </c>
      <c r="M13" s="8">
        <f t="shared" si="54"/>
        <v>-0.22363313339582033</v>
      </c>
      <c r="N13" s="8">
        <f t="shared" si="0"/>
        <v>0.11695631191522528</v>
      </c>
      <c r="O13" s="8">
        <f t="shared" si="1"/>
        <v>-0.36310024004780733</v>
      </c>
      <c r="P13" s="8">
        <f t="shared" si="2"/>
        <v>0.38146964066159461</v>
      </c>
      <c r="Q13" s="8">
        <f t="shared" si="3"/>
        <v>-1.2151020947452668E-3</v>
      </c>
      <c r="R13" s="8">
        <f t="shared" si="4"/>
        <v>0.11926709455976514</v>
      </c>
      <c r="S13" s="8">
        <f t="shared" si="5"/>
        <v>0.36234779339035422</v>
      </c>
      <c r="T13" s="8">
        <f t="shared" si="6"/>
        <v>-0.30761401401612948</v>
      </c>
      <c r="U13" s="8">
        <f t="shared" si="7"/>
        <v>0.22559738828379919</v>
      </c>
      <c r="V13" s="8">
        <f t="shared" si="8"/>
        <v>-0.30975572727063877</v>
      </c>
      <c r="W13" s="8">
        <f t="shared" si="9"/>
        <v>-0.22264759743285895</v>
      </c>
      <c r="X13" s="8">
        <f t="shared" si="10"/>
        <v>0.1157991347400105</v>
      </c>
      <c r="Y13" s="8">
        <f t="shared" si="11"/>
        <v>-0.3634709391588985</v>
      </c>
      <c r="Z13" s="8">
        <f t="shared" si="12"/>
        <v>0.38146383496618158</v>
      </c>
      <c r="AA13" s="8">
        <f t="shared" si="13"/>
        <v>-2.4301918608541644E-3</v>
      </c>
      <c r="AB13" s="8">
        <f t="shared" si="14"/>
        <v>0.12042067658348851</v>
      </c>
      <c r="AC13" s="8">
        <f t="shared" si="15"/>
        <v>0.36196605347844657</v>
      </c>
      <c r="AD13" s="8">
        <f t="shared" si="16"/>
        <v>-0.30689385769816152</v>
      </c>
      <c r="AE13" s="8">
        <f t="shared" si="17"/>
        <v>0.22657608727914635</v>
      </c>
      <c r="AF13" s="8">
        <f t="shared" si="18"/>
        <v>-0.31046335564434274</v>
      </c>
      <c r="AG13" s="8">
        <f t="shared" si="19"/>
        <v>-0.22165980244880015</v>
      </c>
      <c r="AH13" s="8">
        <f t="shared" si="20"/>
        <v>0.11464078264671217</v>
      </c>
      <c r="AI13" s="8">
        <f t="shared" si="21"/>
        <v>-0.36383795043086981</v>
      </c>
      <c r="AJ13" s="8">
        <f t="shared" si="22"/>
        <v>0.38145415887261053</v>
      </c>
      <c r="AK13" s="8">
        <f t="shared" si="23"/>
        <v>-3.6452569698157506E-3</v>
      </c>
      <c r="AL13" s="8">
        <f t="shared" si="24"/>
        <v>0.12157303679816507</v>
      </c>
      <c r="AM13" s="8">
        <f t="shared" si="25"/>
        <v>0.36158064099624965</v>
      </c>
      <c r="AN13" s="8">
        <f t="shared" si="26"/>
        <v>-0.3061705875819446</v>
      </c>
      <c r="AO13" s="8">
        <f t="shared" si="27"/>
        <v>0.22755248739425721</v>
      </c>
      <c r="AP13" s="8">
        <f t="shared" si="28"/>
        <v>-0.31116783400305226</v>
      </c>
      <c r="AQ13" s="8">
        <f t="shared" si="29"/>
        <v>-0.22066975846598386</v>
      </c>
      <c r="AR13" s="8">
        <f t="shared" si="30"/>
        <v>0.11348126738817231</v>
      </c>
      <c r="AS13" s="8">
        <f t="shared" si="31"/>
        <v>-0.36420127013996112</v>
      </c>
      <c r="AT13" s="8">
        <f t="shared" si="32"/>
        <v>0.38144061247905681</v>
      </c>
      <c r="AU13" s="8">
        <f t="shared" si="33"/>
        <v>-4.8602850933679043E-3</v>
      </c>
      <c r="AV13" s="8">
        <f t="shared" si="34"/>
        <v>0.1227241635117472</v>
      </c>
      <c r="AW13" s="8">
        <f t="shared" si="35"/>
        <v>0.36119155985422574</v>
      </c>
      <c r="AX13" s="8">
        <f t="shared" si="36"/>
        <v>-0.30544421100590208</v>
      </c>
      <c r="AY13" s="8">
        <f t="shared" si="37"/>
        <v>0.22852657872240759</v>
      </c>
      <c r="AZ13" s="8">
        <f t="shared" si="38"/>
        <v>-0.31186915519900837</v>
      </c>
      <c r="BA13" s="8">
        <f t="shared" si="39"/>
        <v>-0.21967747552956718</v>
      </c>
      <c r="BB13" s="8">
        <f t="shared" si="40"/>
        <v>0.11232060072903162</v>
      </c>
      <c r="BC13" s="8">
        <f t="shared" si="41"/>
        <v>-0.36456089459986823</v>
      </c>
      <c r="BD13" s="8">
        <f t="shared" si="42"/>
        <v>0.38142319592296436</v>
      </c>
      <c r="BE13" s="8">
        <f t="shared" si="43"/>
        <v>-6.075263903626814E-3</v>
      </c>
      <c r="BF13" s="8">
        <f t="shared" si="44"/>
        <v>0.12387404504470567</v>
      </c>
      <c r="BG13" s="8">
        <f t="shared" si="45"/>
        <v>0.36079881400005875</v>
      </c>
      <c r="BH13" s="8">
        <f t="shared" si="46"/>
        <v>-0.30471473533997584</v>
      </c>
      <c r="BI13" s="8">
        <f t="shared" si="47"/>
        <v>0.2294983513802992</v>
      </c>
    </row>
    <row r="14" spans="1:66 16384:16384">
      <c r="A14" s="1">
        <v>12</v>
      </c>
      <c r="B14" s="5">
        <v>76556</v>
      </c>
      <c r="C14" s="8">
        <f t="shared" si="48"/>
        <v>11.245777778157963</v>
      </c>
      <c r="D14" s="8">
        <f t="shared" si="49"/>
        <v>1.3701818181818182</v>
      </c>
      <c r="E14" s="7">
        <f t="shared" si="50"/>
        <v>4.5833333333333339</v>
      </c>
      <c r="F14" s="8">
        <f>BM26</f>
        <v>0.40846837706829059</v>
      </c>
      <c r="G14" s="8">
        <f>BN26</f>
        <v>0.25248221692492628</v>
      </c>
      <c r="H14" s="8">
        <f t="shared" si="55"/>
        <v>8.1489585383482999E-2</v>
      </c>
      <c r="I14" s="8">
        <f t="shared" si="51"/>
        <v>0.40073585205788059</v>
      </c>
      <c r="J14" s="8">
        <f t="shared" si="52"/>
        <v>-0.37646026135103861</v>
      </c>
      <c r="K14" s="8">
        <f t="shared" si="53"/>
        <v>0.15971051084394924</v>
      </c>
      <c r="L14" s="8">
        <f t="shared" si="56"/>
        <v>-0.23152522692657318</v>
      </c>
      <c r="M14" s="8">
        <f t="shared" si="54"/>
        <v>-0.33708432913312109</v>
      </c>
      <c r="N14" s="8">
        <f t="shared" si="0"/>
        <v>0.28418747847968351</v>
      </c>
      <c r="O14" s="8">
        <f t="shared" si="1"/>
        <v>-0.29405314609078226</v>
      </c>
      <c r="P14" s="8">
        <f t="shared" si="2"/>
        <v>0.34478618705870667</v>
      </c>
      <c r="Q14" s="8">
        <f t="shared" si="3"/>
        <v>0.2198914751963934</v>
      </c>
      <c r="R14" s="8">
        <f t="shared" si="4"/>
        <v>-0.14677532085938177</v>
      </c>
      <c r="S14" s="8">
        <f t="shared" si="5"/>
        <v>0.38168937742247044</v>
      </c>
      <c r="T14" s="8">
        <f t="shared" si="6"/>
        <v>-0.4032824792006699</v>
      </c>
      <c r="U14" s="8">
        <f t="shared" si="7"/>
        <v>-6.777180549674576E-2</v>
      </c>
      <c r="V14" s="8">
        <f t="shared" si="8"/>
        <v>-1.3950130673840499E-2</v>
      </c>
      <c r="W14" s="8">
        <f t="shared" si="9"/>
        <v>-0.40869936323012579</v>
      </c>
      <c r="X14" s="8">
        <f t="shared" si="10"/>
        <v>0.39772275080397756</v>
      </c>
      <c r="Y14" s="8">
        <f t="shared" si="11"/>
        <v>-9.5112507818081879E-2</v>
      </c>
      <c r="Z14" s="8">
        <f t="shared" si="12"/>
        <v>0.17245979078777868</v>
      </c>
      <c r="AA14" s="8">
        <f t="shared" si="13"/>
        <v>0.37079292902098759</v>
      </c>
      <c r="AB14" s="8">
        <f t="shared" si="14"/>
        <v>-0.3289900902613454</v>
      </c>
      <c r="AC14" s="8">
        <f t="shared" si="15"/>
        <v>0.2428894731361558</v>
      </c>
      <c r="AD14" s="8">
        <f t="shared" si="16"/>
        <v>-0.30357652294042664</v>
      </c>
      <c r="AE14" s="8">
        <f t="shared" si="17"/>
        <v>-0.27399100417701328</v>
      </c>
      <c r="AF14" s="8">
        <f t="shared" si="18"/>
        <v>0.20800176014297436</v>
      </c>
      <c r="AG14" s="8">
        <f t="shared" si="19"/>
        <v>-0.35208669873761506</v>
      </c>
      <c r="AH14" s="8">
        <f t="shared" si="20"/>
        <v>0.3864741903147873</v>
      </c>
      <c r="AI14" s="8">
        <f t="shared" si="21"/>
        <v>0.13366927796265338</v>
      </c>
      <c r="AJ14" s="8">
        <f t="shared" si="22"/>
        <v>-5.3975136255423335E-2</v>
      </c>
      <c r="AK14" s="8">
        <f t="shared" si="23"/>
        <v>0.40535966784663718</v>
      </c>
      <c r="AL14" s="8">
        <f t="shared" si="24"/>
        <v>-0.40798560872159473</v>
      </c>
      <c r="AM14" s="8">
        <f t="shared" si="25"/>
        <v>2.7884022783617957E-2</v>
      </c>
      <c r="AN14" s="8">
        <f t="shared" si="26"/>
        <v>-0.10862471512122271</v>
      </c>
      <c r="AO14" s="8">
        <f t="shared" si="27"/>
        <v>-0.39424668282099817</v>
      </c>
      <c r="AP14" s="8">
        <f t="shared" si="28"/>
        <v>0.36469397745576199</v>
      </c>
      <c r="AQ14" s="8">
        <f t="shared" si="29"/>
        <v>-0.18500831996973457</v>
      </c>
      <c r="AR14" s="8">
        <f t="shared" si="30"/>
        <v>0.25397098534402984</v>
      </c>
      <c r="AS14" s="8">
        <f t="shared" si="31"/>
        <v>0.32051289249250198</v>
      </c>
      <c r="AT14" s="8">
        <f t="shared" si="32"/>
        <v>-0.2634755923261537</v>
      </c>
      <c r="AU14" s="8">
        <f t="shared" si="33"/>
        <v>0.3127465234001971</v>
      </c>
      <c r="AV14" s="8">
        <f t="shared" si="34"/>
        <v>-0.35897736605399544</v>
      </c>
      <c r="AW14" s="8">
        <f t="shared" si="35"/>
        <v>-0.19586992191621277</v>
      </c>
      <c r="AX14" s="8">
        <f t="shared" si="36"/>
        <v>0.12040763816262594</v>
      </c>
      <c r="AY14" s="8">
        <f t="shared" si="37"/>
        <v>-0.39080913029588454</v>
      </c>
      <c r="AZ14" s="8">
        <f t="shared" si="38"/>
        <v>0.40696500005707681</v>
      </c>
      <c r="BA14" s="8">
        <f t="shared" si="39"/>
        <v>4.0115637587741608E-2</v>
      </c>
      <c r="BB14" s="8">
        <f t="shared" si="40"/>
        <v>4.1785456667669529E-2</v>
      </c>
      <c r="BC14" s="8">
        <f t="shared" si="41"/>
        <v>0.40679694106716419</v>
      </c>
      <c r="BD14" s="8">
        <f t="shared" si="42"/>
        <v>-0.3903116944045612</v>
      </c>
      <c r="BE14" s="8">
        <f t="shared" si="43"/>
        <v>0.12201047849085737</v>
      </c>
      <c r="BF14" s="8">
        <f t="shared" si="44"/>
        <v>-0.19734149135137621</v>
      </c>
      <c r="BG14" s="8">
        <f t="shared" si="45"/>
        <v>-0.35817050610252965</v>
      </c>
      <c r="BH14" s="8">
        <f t="shared" si="46"/>
        <v>0.31166260365666643</v>
      </c>
      <c r="BI14" s="8">
        <f t="shared" si="47"/>
        <v>-0.26475686418386818</v>
      </c>
      <c r="BM14">
        <v>32.105766686106954</v>
      </c>
      <c r="BN14">
        <v>80.529434252854841</v>
      </c>
    </row>
    <row r="15" spans="1:66 16384:16384">
      <c r="A15" s="1">
        <v>13</v>
      </c>
      <c r="B15" s="5">
        <v>68392</v>
      </c>
      <c r="C15" s="8">
        <f t="shared" si="48"/>
        <v>11.13301113770607</v>
      </c>
      <c r="D15" s="8">
        <f t="shared" si="49"/>
        <v>1.4843636363636363</v>
      </c>
      <c r="E15" s="7">
        <f t="shared" si="50"/>
        <v>4.2307692307692308</v>
      </c>
      <c r="F15" s="8">
        <f>BM28</f>
        <v>0.22630624712852668</v>
      </c>
      <c r="G15" s="8">
        <f>BN28</f>
        <v>0.13928109222979831</v>
      </c>
      <c r="H15" s="8">
        <f t="shared" si="55"/>
        <v>3.4947579854782009E-2</v>
      </c>
      <c r="I15" s="8">
        <f t="shared" si="51"/>
        <v>0.40332552102277575</v>
      </c>
      <c r="J15" s="8">
        <f t="shared" si="52"/>
        <v>-0.39880306107427216</v>
      </c>
      <c r="K15" s="8">
        <f t="shared" si="53"/>
        <v>6.9634242465831372E-2</v>
      </c>
      <c r="L15" s="8">
        <f t="shared" si="56"/>
        <v>-0.10380101858719855</v>
      </c>
      <c r="M15" s="8">
        <f t="shared" si="54"/>
        <v>-0.39130315330477461</v>
      </c>
      <c r="N15" s="8">
        <f t="shared" si="0"/>
        <v>0.38088179172793424</v>
      </c>
      <c r="O15" s="8">
        <f t="shared" si="1"/>
        <v>-0.13719282042482539</v>
      </c>
      <c r="P15" s="8">
        <f t="shared" si="2"/>
        <v>0.16956034611188917</v>
      </c>
      <c r="Q15" s="8">
        <f t="shared" si="3"/>
        <v>0.36761678181554258</v>
      </c>
      <c r="R15" s="8">
        <f t="shared" si="4"/>
        <v>-0.35160715960496758</v>
      </c>
      <c r="S15" s="8">
        <f t="shared" si="5"/>
        <v>0.20066194098664231</v>
      </c>
      <c r="T15" s="8">
        <f t="shared" si="6"/>
        <v>-0.23026540177652169</v>
      </c>
      <c r="U15" s="8">
        <f t="shared" si="7"/>
        <v>-0.33297245230003175</v>
      </c>
      <c r="V15" s="8">
        <f t="shared" si="8"/>
        <v>0.31185178588565143</v>
      </c>
      <c r="W15" s="8">
        <f t="shared" si="9"/>
        <v>-0.25814971021856625</v>
      </c>
      <c r="X15" s="8">
        <f t="shared" si="10"/>
        <v>0.28410668317298926</v>
      </c>
      <c r="Y15" s="8">
        <f t="shared" si="11"/>
        <v>0.28840284641875952</v>
      </c>
      <c r="Z15" s="8">
        <f t="shared" si="12"/>
        <v>-0.26280070275046385</v>
      </c>
      <c r="AA15" s="8">
        <f t="shared" si="13"/>
        <v>0.30794252691023727</v>
      </c>
      <c r="AB15" s="8">
        <f t="shared" si="14"/>
        <v>-0.32947928396728221</v>
      </c>
      <c r="AC15" s="8">
        <f t="shared" si="15"/>
        <v>-0.23523649946895331</v>
      </c>
      <c r="AD15" s="8">
        <f t="shared" si="16"/>
        <v>0.20591602982159452</v>
      </c>
      <c r="AE15" s="8">
        <f t="shared" si="17"/>
        <v>-0.34855616177097209</v>
      </c>
      <c r="AF15" s="8">
        <f t="shared" si="18"/>
        <v>0.36503073310900086</v>
      </c>
      <c r="AG15" s="8">
        <f t="shared" si="19"/>
        <v>0.1750581992707147</v>
      </c>
      <c r="AH15" s="8">
        <f t="shared" si="20"/>
        <v>-0.14289339115411329</v>
      </c>
      <c r="AI15" s="8">
        <f t="shared" si="21"/>
        <v>0.37877999948581953</v>
      </c>
      <c r="AJ15" s="8">
        <f t="shared" si="22"/>
        <v>-0.38970130942452325</v>
      </c>
      <c r="AK15" s="8">
        <f t="shared" si="23"/>
        <v>-0.10966174665220246</v>
      </c>
      <c r="AL15" s="8">
        <f t="shared" si="24"/>
        <v>7.5611371903496497E-2</v>
      </c>
      <c r="AM15" s="8">
        <f t="shared" si="25"/>
        <v>-0.39771312485869886</v>
      </c>
      <c r="AN15" s="8">
        <f t="shared" si="26"/>
        <v>0.402755629892394</v>
      </c>
      <c r="AO15" s="8">
        <f t="shared" si="27"/>
        <v>4.09964856540262E-2</v>
      </c>
      <c r="AP15" s="8">
        <f t="shared" si="28"/>
        <v>-6.0755212702753485E-3</v>
      </c>
      <c r="AQ15" s="8">
        <f t="shared" si="29"/>
        <v>0.40479117738322101</v>
      </c>
      <c r="AR15" s="8">
        <f t="shared" si="30"/>
        <v>-0.40380457001442721</v>
      </c>
      <c r="AS15" s="8">
        <f t="shared" si="31"/>
        <v>2.8890802714072069E-2</v>
      </c>
      <c r="AT15" s="8">
        <f t="shared" si="32"/>
        <v>-6.3641429112359107E-2</v>
      </c>
      <c r="AU15" s="8">
        <f t="shared" si="33"/>
        <v>-0.39980317375745833</v>
      </c>
      <c r="AV15" s="8">
        <f t="shared" si="34"/>
        <v>0.39281686287790851</v>
      </c>
      <c r="AW15" s="8">
        <f t="shared" si="35"/>
        <v>-9.7916911127538572E-2</v>
      </c>
      <c r="AX15" s="8">
        <f t="shared" si="36"/>
        <v>0.13146134937166518</v>
      </c>
      <c r="AY15" s="8">
        <f t="shared" si="37"/>
        <v>0.38289779689543896</v>
      </c>
      <c r="AZ15" s="8">
        <f t="shared" si="38"/>
        <v>-0.37012003116287601</v>
      </c>
      <c r="BA15" s="8">
        <f t="shared" si="39"/>
        <v>0.16402430240056362</v>
      </c>
      <c r="BB15" s="8">
        <f t="shared" si="40"/>
        <v>-0.1953626564997146</v>
      </c>
      <c r="BC15" s="8">
        <f t="shared" si="41"/>
        <v>-0.35457896397188365</v>
      </c>
      <c r="BD15" s="8">
        <f t="shared" si="42"/>
        <v>0.33639062431311245</v>
      </c>
      <c r="BE15" s="8">
        <f t="shared" si="43"/>
        <v>-0.22524244076158093</v>
      </c>
      <c r="BF15" s="8">
        <f t="shared" si="44"/>
        <v>0.25344057390313379</v>
      </c>
      <c r="BG15" s="8">
        <f t="shared" si="45"/>
        <v>0.31569080560835161</v>
      </c>
      <c r="BH15" s="8">
        <f t="shared" si="46"/>
        <v>-0.29263405188224528</v>
      </c>
      <c r="BI15" s="8">
        <f t="shared" si="47"/>
        <v>0.27974652978183528</v>
      </c>
    </row>
    <row r="16" spans="1:66 16384:16384">
      <c r="A16" s="1">
        <v>14</v>
      </c>
      <c r="B16" s="5">
        <v>37447</v>
      </c>
      <c r="C16" s="8">
        <f t="shared" si="48"/>
        <v>10.530681878927565</v>
      </c>
      <c r="D16" s="8">
        <f t="shared" si="49"/>
        <v>1.5985454545454545</v>
      </c>
      <c r="E16" s="7">
        <f t="shared" si="50"/>
        <v>3.9285714285714288</v>
      </c>
      <c r="F16" s="8">
        <f>BM30</f>
        <v>8.4860985231250442E-3</v>
      </c>
      <c r="G16" s="8">
        <f>BN30</f>
        <v>5.1960124532040271E-3</v>
      </c>
      <c r="H16" s="8">
        <f t="shared" si="55"/>
        <v>-1.0624717683794546E-2</v>
      </c>
      <c r="I16" s="8">
        <f t="shared" si="51"/>
        <v>0.38278646372237313</v>
      </c>
      <c r="J16" s="8">
        <f t="shared" si="52"/>
        <v>-0.38234430888045889</v>
      </c>
      <c r="K16" s="8">
        <f t="shared" si="53"/>
        <v>-2.1241254710215887E-2</v>
      </c>
      <c r="L16" s="8">
        <f t="shared" si="56"/>
        <v>3.1841436720708161E-2</v>
      </c>
      <c r="M16" s="8">
        <f t="shared" si="54"/>
        <v>-0.38160776242432642</v>
      </c>
      <c r="N16" s="8">
        <f t="shared" si="0"/>
        <v>0.38057739146873365</v>
      </c>
      <c r="O16" s="8">
        <f t="shared" si="1"/>
        <v>4.2417101949499804E-2</v>
      </c>
      <c r="P16" s="8">
        <f t="shared" si="2"/>
        <v>-5.2960107507875706E-2</v>
      </c>
      <c r="Q16" s="8">
        <f t="shared" si="3"/>
        <v>0.37925398936292581</v>
      </c>
      <c r="R16" s="8">
        <f t="shared" si="4"/>
        <v>-0.37763857507978449</v>
      </c>
      <c r="S16" s="8">
        <f t="shared" si="5"/>
        <v>-6.3462335653913654E-2</v>
      </c>
      <c r="T16" s="8">
        <f t="shared" si="6"/>
        <v>7.3915700042857455E-2</v>
      </c>
      <c r="U16" s="8">
        <f t="shared" si="7"/>
        <v>-0.37573239243125461</v>
      </c>
      <c r="V16" s="8">
        <f t="shared" si="8"/>
        <v>0.37353690911065296</v>
      </c>
      <c r="W16" s="8">
        <f t="shared" si="9"/>
        <v>8.4312151953320411E-2</v>
      </c>
      <c r="X16" s="8">
        <f t="shared" si="10"/>
        <v>-9.4643686484512241E-2</v>
      </c>
      <c r="Y16" s="8">
        <f t="shared" si="11"/>
        <v>0.37105381556259648</v>
      </c>
      <c r="Z16" s="8">
        <f t="shared" si="12"/>
        <v>-0.36828502368141952</v>
      </c>
      <c r="AA16" s="8">
        <f t="shared" si="13"/>
        <v>-0.10490234871973196</v>
      </c>
      <c r="AB16" s="8">
        <f t="shared" si="14"/>
        <v>0.11508023985137476</v>
      </c>
      <c r="AC16" s="8">
        <f t="shared" si="15"/>
        <v>-0.36523266533908227</v>
      </c>
      <c r="AD16" s="8">
        <f t="shared" si="16"/>
        <v>0.3618990907437053</v>
      </c>
      <c r="AE16" s="8">
        <f t="shared" si="17"/>
        <v>0.12516952326273093</v>
      </c>
      <c r="AF16" s="8">
        <f t="shared" si="18"/>
        <v>-0.13516243056190655</v>
      </c>
      <c r="AG16" s="8">
        <f t="shared" si="19"/>
        <v>0.35828686662999215</v>
      </c>
      <c r="AH16" s="8">
        <f t="shared" si="20"/>
        <v>-0.35439877428293448</v>
      </c>
      <c r="AI16" s="8">
        <f t="shared" si="21"/>
        <v>-0.14505126756320913</v>
      </c>
      <c r="AJ16" s="8">
        <f t="shared" si="22"/>
        <v>0.15482842021140372</v>
      </c>
      <c r="AK16" s="8">
        <f t="shared" si="23"/>
        <v>-0.35023780739631893</v>
      </c>
      <c r="AL16" s="8">
        <f t="shared" si="24"/>
        <v>0.34580716976769194</v>
      </c>
      <c r="AM16" s="8">
        <f t="shared" si="25"/>
        <v>0.16448636044425896</v>
      </c>
      <c r="AN16" s="8">
        <f t="shared" si="26"/>
        <v>-0.17401765198889427</v>
      </c>
      <c r="AO16" s="8">
        <f t="shared" si="27"/>
        <v>0.34111027283154649</v>
      </c>
      <c r="AP16" s="8">
        <f t="shared" si="28"/>
        <v>-0.33615073303263859</v>
      </c>
      <c r="AQ16" s="8">
        <f t="shared" si="29"/>
        <v>-0.18341495608744599</v>
      </c>
      <c r="AR16" s="8">
        <f t="shared" si="30"/>
        <v>0.19267103714765071</v>
      </c>
      <c r="AS16" s="8">
        <f t="shared" si="31"/>
        <v>-0.33093236904145323</v>
      </c>
      <c r="AT16" s="8">
        <f t="shared" si="32"/>
        <v>0.3254591988139604</v>
      </c>
      <c r="AU16" s="8">
        <f t="shared" si="33"/>
        <v>0.20177876831400024</v>
      </c>
      <c r="AV16" s="8">
        <f t="shared" si="34"/>
        <v>-0.21073113695516296</v>
      </c>
      <c r="AW16" s="8">
        <f t="shared" si="35"/>
        <v>0.31973543649793396</v>
      </c>
      <c r="AX16" s="8">
        <f t="shared" si="36"/>
        <v>-0.31376548918820785</v>
      </c>
      <c r="AY16" s="8">
        <f t="shared" si="37"/>
        <v>-0.21952125006346107</v>
      </c>
      <c r="AZ16" s="8">
        <f t="shared" si="38"/>
        <v>0.22814233956225238</v>
      </c>
      <c r="BA16" s="8">
        <f t="shared" si="39"/>
        <v>-0.3075539535333629</v>
      </c>
      <c r="BB16" s="8">
        <f t="shared" si="40"/>
        <v>0.3011056121964728</v>
      </c>
      <c r="BC16" s="8">
        <f t="shared" si="41"/>
        <v>0.23658776751710414</v>
      </c>
      <c r="BD16" s="8">
        <f t="shared" si="42"/>
        <v>-0.24485103124676216</v>
      </c>
      <c r="BE16" s="8">
        <f t="shared" si="43"/>
        <v>0.29442543017262807</v>
      </c>
      <c r="BF16" s="8">
        <f t="shared" si="44"/>
        <v>-0.28751855096605328</v>
      </c>
      <c r="BG16" s="8">
        <f t="shared" si="45"/>
        <v>-0.25292576833000041</v>
      </c>
      <c r="BH16" s="8">
        <f t="shared" si="46"/>
        <v>0.26080576150444379</v>
      </c>
      <c r="BI16" s="8">
        <f t="shared" si="47"/>
        <v>-0.28039029262980408</v>
      </c>
      <c r="BM16">
        <v>1.7963563279400203</v>
      </c>
      <c r="BN16">
        <v>1.1482496024639883</v>
      </c>
    </row>
    <row r="17" spans="1:66">
      <c r="A17" s="1">
        <v>15</v>
      </c>
      <c r="B17" s="5">
        <v>45686</v>
      </c>
      <c r="C17" s="8">
        <f t="shared" si="48"/>
        <v>10.729547184215814</v>
      </c>
      <c r="D17" s="8">
        <f t="shared" si="49"/>
        <v>1.7127272727272729</v>
      </c>
      <c r="E17" s="7">
        <f t="shared" si="50"/>
        <v>3.6666666666666665</v>
      </c>
      <c r="F17" s="8">
        <f>BM32</f>
        <v>0.163251521201394</v>
      </c>
      <c r="G17" s="8">
        <f>BN32</f>
        <v>0.10032406444598975</v>
      </c>
      <c r="H17" s="8">
        <f t="shared" si="55"/>
        <v>-5.5190803548566113E-2</v>
      </c>
      <c r="I17" s="8">
        <f t="shared" si="51"/>
        <v>0.38624212254047846</v>
      </c>
      <c r="J17" s="8">
        <f t="shared" si="52"/>
        <v>-0.37455133220239911</v>
      </c>
      <c r="K17" s="8">
        <f t="shared" si="53"/>
        <v>-0.10927168693819304</v>
      </c>
      <c r="L17" s="8">
        <f t="shared" si="56"/>
        <v>0.16115505116999021</v>
      </c>
      <c r="M17" s="8">
        <f t="shared" si="54"/>
        <v>-0.35532808994408005</v>
      </c>
      <c r="N17" s="8">
        <f t="shared" si="0"/>
        <v>0.32895898669609008</v>
      </c>
      <c r="O17" s="8">
        <f t="shared" si="1"/>
        <v>0.2097974906732491</v>
      </c>
      <c r="P17" s="8">
        <f t="shared" si="2"/>
        <v>-0.2542207768172316</v>
      </c>
      <c r="Q17" s="8">
        <f t="shared" si="3"/>
        <v>0.2959743209390871</v>
      </c>
      <c r="R17" s="8">
        <f t="shared" si="4"/>
        <v>-0.25703743408333612</v>
      </c>
      <c r="S17" s="8">
        <f t="shared" si="5"/>
        <v>-0.29353153067560739</v>
      </c>
      <c r="T17" s="8">
        <f t="shared" si="6"/>
        <v>0.32693918941244826</v>
      </c>
      <c r="U17" s="8">
        <f t="shared" si="7"/>
        <v>-0.21293137027512338</v>
      </c>
      <c r="V17" s="8">
        <f t="shared" si="8"/>
        <v>0.16454312890935913</v>
      </c>
      <c r="W17" s="8">
        <f t="shared" si="9"/>
        <v>0.35377190497498306</v>
      </c>
      <c r="X17" s="8">
        <f t="shared" si="10"/>
        <v>-0.37349005536086621</v>
      </c>
      <c r="Y17" s="8">
        <f t="shared" si="11"/>
        <v>0.11284582653978617</v>
      </c>
      <c r="Z17" s="8">
        <f t="shared" si="12"/>
        <v>-5.8879126921476919E-2</v>
      </c>
      <c r="AA17" s="8">
        <f t="shared" si="13"/>
        <v>-0.38569709674027236</v>
      </c>
      <c r="AB17" s="8">
        <f t="shared" si="14"/>
        <v>0.39014753819013348</v>
      </c>
      <c r="AC17" s="8">
        <f t="shared" si="15"/>
        <v>-3.7283327492005731E-3</v>
      </c>
      <c r="AD17" s="8">
        <f t="shared" si="16"/>
        <v>-5.1497440430653608E-2</v>
      </c>
      <c r="AE17" s="8">
        <f t="shared" si="17"/>
        <v>0.38675187866382976</v>
      </c>
      <c r="AF17" s="8">
        <f t="shared" si="18"/>
        <v>-0.3755784069109141</v>
      </c>
      <c r="AG17" s="8">
        <f t="shared" si="19"/>
        <v>-0.10568756919889033</v>
      </c>
      <c r="AH17" s="8">
        <f t="shared" si="20"/>
        <v>0.15775225756653874</v>
      </c>
      <c r="AI17" s="8">
        <f t="shared" si="21"/>
        <v>-0.35685182814940269</v>
      </c>
      <c r="AJ17" s="8">
        <f t="shared" si="22"/>
        <v>0.33094874510907973</v>
      </c>
      <c r="AK17" s="8">
        <f t="shared" si="23"/>
        <v>0.20664445342577134</v>
      </c>
      <c r="AL17" s="8">
        <f t="shared" si="24"/>
        <v>-0.25138090539574404</v>
      </c>
      <c r="AM17" s="8">
        <f t="shared" si="25"/>
        <v>0.29839008432474157</v>
      </c>
      <c r="AN17" s="8">
        <f t="shared" si="26"/>
        <v>-0.25983061999116447</v>
      </c>
      <c r="AO17" s="8">
        <f t="shared" si="27"/>
        <v>-0.29106193659755225</v>
      </c>
      <c r="AP17" s="8">
        <f t="shared" si="28"/>
        <v>0.32488953769582557</v>
      </c>
      <c r="AQ17" s="8">
        <f t="shared" si="29"/>
        <v>-0.21604580606136078</v>
      </c>
      <c r="AR17" s="8">
        <f t="shared" si="30"/>
        <v>0.16791618140252396</v>
      </c>
      <c r="AS17" s="8">
        <f t="shared" si="31"/>
        <v>0.35218341534505154</v>
      </c>
      <c r="AT17" s="8">
        <f t="shared" si="32"/>
        <v>-0.37239467329674797</v>
      </c>
      <c r="AU17" s="8">
        <f t="shared" si="33"/>
        <v>0.11640966163132149</v>
      </c>
      <c r="AV17" s="8">
        <f t="shared" si="34"/>
        <v>-6.25620737503534E-2</v>
      </c>
      <c r="AW17" s="8">
        <f t="shared" si="35"/>
        <v>-0.38511685103221044</v>
      </c>
      <c r="AX17" s="8">
        <f t="shared" si="36"/>
        <v>0.39009409792730793</v>
      </c>
      <c r="AY17" s="8">
        <f t="shared" si="37"/>
        <v>-7.4563250459139686E-3</v>
      </c>
      <c r="AZ17" s="8">
        <f t="shared" si="38"/>
        <v>-4.779937482697745E-2</v>
      </c>
      <c r="BA17" s="8">
        <f t="shared" si="39"/>
        <v>0.38722631856197554</v>
      </c>
      <c r="BB17" s="8">
        <f t="shared" si="40"/>
        <v>-0.37657118569914366</v>
      </c>
      <c r="BC17" s="8">
        <f t="shared" si="41"/>
        <v>-0.10209380060538201</v>
      </c>
      <c r="BD17" s="8">
        <f t="shared" si="42"/>
        <v>0.15433505882490303</v>
      </c>
      <c r="BE17" s="8">
        <f t="shared" si="43"/>
        <v>-0.35834298045088608</v>
      </c>
      <c r="BF17" s="8">
        <f t="shared" si="44"/>
        <v>0.33290828295674579</v>
      </c>
      <c r="BG17" s="8">
        <f t="shared" si="45"/>
        <v>0.20347254645209922</v>
      </c>
      <c r="BH17" s="8">
        <f t="shared" si="46"/>
        <v>-0.24851807914156696</v>
      </c>
      <c r="BI17" s="8">
        <f t="shared" si="47"/>
        <v>0.30077860023727793</v>
      </c>
    </row>
    <row r="18" spans="1:66">
      <c r="A18" s="1">
        <v>16</v>
      </c>
      <c r="B18" s="5">
        <v>7942</v>
      </c>
      <c r="C18" s="8">
        <f t="shared" si="48"/>
        <v>8.9799204116911966</v>
      </c>
      <c r="D18" s="8">
        <f t="shared" si="49"/>
        <v>1.826909090909091</v>
      </c>
      <c r="E18" s="7">
        <f t="shared" si="50"/>
        <v>3.4375</v>
      </c>
      <c r="F18" s="8">
        <f>BM34</f>
        <v>0.28326478524553739</v>
      </c>
      <c r="G18" s="8">
        <f>BN34</f>
        <v>0.17457182641486363</v>
      </c>
      <c r="H18" s="8">
        <f t="shared" si="55"/>
        <v>-8.2720425343535048E-2</v>
      </c>
      <c r="I18" s="8">
        <f t="shared" si="51"/>
        <v>0.31589139747702405</v>
      </c>
      <c r="J18" s="8">
        <f t="shared" si="52"/>
        <v>-0.28463274774952668</v>
      </c>
      <c r="K18" s="8">
        <f t="shared" si="53"/>
        <v>-0.1600445021784781</v>
      </c>
      <c r="L18" s="8">
        <f t="shared" si="56"/>
        <v>0.22692791811192756</v>
      </c>
      <c r="M18" s="8">
        <f t="shared" si="54"/>
        <v>-0.23480580007825372</v>
      </c>
      <c r="N18" s="8">
        <f t="shared" si="0"/>
        <v>0.16966106452328922</v>
      </c>
      <c r="O18" s="8">
        <f t="shared" si="1"/>
        <v>0.2790074675592516</v>
      </c>
      <c r="P18" s="8">
        <f t="shared" si="2"/>
        <v>-0.31288568976246889</v>
      </c>
      <c r="Q18" s="8">
        <f t="shared" si="3"/>
        <v>9.344832214045691E-2</v>
      </c>
      <c r="R18" s="8">
        <f t="shared" si="4"/>
        <v>-1.1139386323912617E-2</v>
      </c>
      <c r="S18" s="8">
        <f t="shared" si="5"/>
        <v>-0.32635250549264855</v>
      </c>
      <c r="T18" s="8">
        <f t="shared" si="6"/>
        <v>0.31852939374751982</v>
      </c>
      <c r="U18" s="8">
        <f t="shared" si="7"/>
        <v>7.1896238342767385E-2</v>
      </c>
      <c r="V18" s="8">
        <f t="shared" si="8"/>
        <v>-0.15024164101236376</v>
      </c>
      <c r="W18" s="8">
        <f t="shared" si="9"/>
        <v>0.28992670293526701</v>
      </c>
      <c r="X18" s="8">
        <f t="shared" si="10"/>
        <v>-0.24241035779292336</v>
      </c>
      <c r="Y18" s="8">
        <f t="shared" si="11"/>
        <v>-0.2187858820941366</v>
      </c>
      <c r="Z18" s="8">
        <f t="shared" si="12"/>
        <v>0.27305741043735077</v>
      </c>
      <c r="AA18" s="8">
        <f t="shared" si="13"/>
        <v>-0.17908013394637254</v>
      </c>
      <c r="AB18" s="8">
        <f t="shared" si="14"/>
        <v>0.10406744099105426</v>
      </c>
      <c r="AC18" s="8">
        <f t="shared" si="15"/>
        <v>0.30951576937948738</v>
      </c>
      <c r="AD18" s="8">
        <f t="shared" si="16"/>
        <v>-0.32578256192746952</v>
      </c>
      <c r="AE18" s="8">
        <f t="shared" si="17"/>
        <v>2.2265805913486106E-2</v>
      </c>
      <c r="AF18" s="8">
        <f t="shared" si="18"/>
        <v>6.0988360966653818E-2</v>
      </c>
      <c r="AG18" s="8">
        <f t="shared" si="19"/>
        <v>-0.3207966078305749</v>
      </c>
      <c r="AH18" s="8">
        <f t="shared" si="20"/>
        <v>0.29488317072040332</v>
      </c>
      <c r="AI18" s="8">
        <f t="shared" si="21"/>
        <v>0.14026389198537173</v>
      </c>
      <c r="AJ18" s="8">
        <f t="shared" si="22"/>
        <v>-0.21038916971197794</v>
      </c>
      <c r="AK18" s="8">
        <f t="shared" si="23"/>
        <v>0.2497327392171621</v>
      </c>
      <c r="AL18" s="8">
        <f t="shared" si="24"/>
        <v>-0.18829074623772696</v>
      </c>
      <c r="AM18" s="8">
        <f t="shared" si="25"/>
        <v>-0.2667895025113291</v>
      </c>
      <c r="AN18" s="8">
        <f t="shared" si="26"/>
        <v>0.30578555906323562</v>
      </c>
      <c r="AO18" s="8">
        <f t="shared" si="27"/>
        <v>-0.11456542077514907</v>
      </c>
      <c r="AP18" s="8">
        <f t="shared" si="28"/>
        <v>3.3366307128230091E-2</v>
      </c>
      <c r="AQ18" s="8">
        <f t="shared" si="29"/>
        <v>0.32483339316890925</v>
      </c>
      <c r="AR18" s="8">
        <f t="shared" si="30"/>
        <v>-0.32269040058953963</v>
      </c>
      <c r="AS18" s="8">
        <f t="shared" si="31"/>
        <v>-5.0009490462961166E-2</v>
      </c>
      <c r="AT18" s="8">
        <f t="shared" si="32"/>
        <v>0.13012286963506803</v>
      </c>
      <c r="AU18" s="8">
        <f t="shared" si="33"/>
        <v>-0.29949638155900588</v>
      </c>
      <c r="AV18" s="8">
        <f t="shared" si="34"/>
        <v>0.25676442077777806</v>
      </c>
      <c r="AW18" s="8">
        <f t="shared" si="35"/>
        <v>0.20174755510700662</v>
      </c>
      <c r="AX18" s="8">
        <f t="shared" si="36"/>
        <v>-0.26021103990096961</v>
      </c>
      <c r="AY18" s="8">
        <f t="shared" si="37"/>
        <v>0.19728217984059926</v>
      </c>
      <c r="AZ18" s="8">
        <f t="shared" si="38"/>
        <v>-0.12493004138375316</v>
      </c>
      <c r="BA18" s="8">
        <f t="shared" si="39"/>
        <v>-0.3016994009421568</v>
      </c>
      <c r="BB18" s="8">
        <f t="shared" si="40"/>
        <v>0.32350610409104069</v>
      </c>
      <c r="BC18" s="8">
        <f t="shared" si="41"/>
        <v>-4.4427968497774847E-2</v>
      </c>
      <c r="BD18" s="8">
        <f t="shared" si="42"/>
        <v>-3.8972406718575832E-2</v>
      </c>
      <c r="BE18" s="8">
        <f t="shared" si="43"/>
        <v>0.3242085675665658</v>
      </c>
      <c r="BF18" s="8">
        <f t="shared" si="44"/>
        <v>-0.30376096547128678</v>
      </c>
      <c r="BG18" s="8">
        <f t="shared" si="45"/>
        <v>-0.11983037855633384</v>
      </c>
      <c r="BH18" s="8">
        <f t="shared" si="46"/>
        <v>0.1928710974977125</v>
      </c>
      <c r="BI18" s="8">
        <f t="shared" si="47"/>
        <v>-0.26349721728896952</v>
      </c>
      <c r="BM18">
        <v>0.6661572907582457</v>
      </c>
      <c r="BN18">
        <v>0.41430284954409152</v>
      </c>
    </row>
    <row r="19" spans="1:66">
      <c r="A19" s="1">
        <v>17</v>
      </c>
      <c r="B19" s="5">
        <v>5123</v>
      </c>
      <c r="C19" s="8">
        <f t="shared" si="48"/>
        <v>8.5414954839392028</v>
      </c>
      <c r="D19" s="8">
        <f t="shared" si="49"/>
        <v>1.9410909090909092</v>
      </c>
      <c r="E19" s="7">
        <f t="shared" si="50"/>
        <v>3.2352941176470589</v>
      </c>
      <c r="F19" s="8">
        <f>BM36</f>
        <v>0.12603615487791134</v>
      </c>
      <c r="G19" s="8">
        <f>BN36</f>
        <v>7.7385782641622824E-2</v>
      </c>
      <c r="H19" s="8">
        <f t="shared" si="55"/>
        <v>-0.11240299426256947</v>
      </c>
      <c r="I19" s="8">
        <f t="shared" si="51"/>
        <v>0.2895476210697091</v>
      </c>
      <c r="J19" s="8">
        <f t="shared" si="52"/>
        <v>-0.22924478233935855</v>
      </c>
      <c r="K19" s="8">
        <f t="shared" si="53"/>
        <v>-0.20956881389295301</v>
      </c>
      <c r="L19" s="8">
        <f t="shared" si="56"/>
        <v>0.27832581189276934</v>
      </c>
      <c r="M19" s="8">
        <f t="shared" si="54"/>
        <v>-0.13786587837659406</v>
      </c>
      <c r="N19" s="8">
        <f t="shared" ref="N19:N57" si="57">(2/55)*($C19*COS(N$1*$D19))</f>
        <v>2.7798090915435007E-2</v>
      </c>
      <c r="O19" s="8">
        <f t="shared" ref="O19:O57" si="58">(2/55)*($C19*SIN(O$1*$D19))</f>
        <v>0.3093533968259865</v>
      </c>
      <c r="P19" s="8">
        <f t="shared" ref="P19:P57" si="59">(2/55)*($C19*COS(P$1*$D19))</f>
        <v>-0.29844551766038696</v>
      </c>
      <c r="Q19" s="8">
        <f t="shared" ref="Q19:Q57" si="60">(2/55)*($C19*SIN(Q$1*$D19))</f>
        <v>-8.6037962404642926E-2</v>
      </c>
      <c r="R19" s="8">
        <f t="shared" ref="R19:R57" si="61">(2/55)*($C19*COS(R$1*$D19))</f>
        <v>0.1882108437001869</v>
      </c>
      <c r="S19" s="8">
        <f t="shared" ref="S19:S57" si="62">(2/55)*($C19*SIN(S$1*$D19))</f>
        <v>-0.24708082948699778</v>
      </c>
      <c r="T19" s="8">
        <f t="shared" ref="T19:T57" si="63">(2/55)*($C19*COS(T$1*$D19))</f>
        <v>0.1622222493416185</v>
      </c>
      <c r="U19" s="8">
        <f t="shared" ref="U19:U57" si="64">(2/55)*($C19*SIN(U$1*$D19))</f>
        <v>0.2648701565010011</v>
      </c>
      <c r="V19" s="8">
        <f t="shared" ref="V19:V57" si="65">(2/55)*($C19*COS(V$1*$D19))</f>
        <v>-0.30562408389871387</v>
      </c>
      <c r="W19" s="8">
        <f t="shared" ref="W19:W57" si="66">(2/55)*($C19*SIN(W$1*$D19))</f>
        <v>5.5373074028727591E-2</v>
      </c>
      <c r="X19" s="8">
        <f t="shared" ref="X19:X57" si="67">(2/55)*($C19*COS(X$1*$D19))</f>
        <v>5.8982388856234289E-2</v>
      </c>
      <c r="Y19" s="8">
        <f t="shared" ref="Y19:Y57" si="68">(2/55)*($C19*SIN(Y$1*$D19))</f>
        <v>-0.30494808704291132</v>
      </c>
      <c r="Z19" s="8">
        <f t="shared" ref="Z19:Z57" si="69">(2/55)*($C19*COS(Z$1*$D19))</f>
        <v>0.26293380301328378</v>
      </c>
      <c r="AA19" s="8">
        <f t="shared" ref="AA19:AA57" si="70">(2/55)*($C19*SIN(AA$1*$D19))</f>
        <v>0.16534229107911488</v>
      </c>
      <c r="AB19" s="8">
        <f t="shared" ref="AB19:AB57" si="71">(2/55)*($C19*COS(AB$1*$D19))</f>
        <v>-0.24928865014163124</v>
      </c>
      <c r="AC19" s="8">
        <f t="shared" ref="AC19:AC57" si="72">(2/55)*($C19*SIN(AC$1*$D19))</f>
        <v>0.1852766226399932</v>
      </c>
      <c r="AD19" s="8">
        <f t="shared" ref="AD19:AD57" si="73">(2/55)*($C19*COS(AD$1*$D19))</f>
        <v>-8.2503632203559413E-2</v>
      </c>
      <c r="AE19" s="8">
        <f t="shared" ref="AE19:AE57" si="74">(2/55)*($C19*SIN(AE$1*$D19))</f>
        <v>-0.2994418285068719</v>
      </c>
      <c r="AF19" s="8">
        <f t="shared" ref="AF19:AF57" si="75">(2/55)*($C19*COS(AF$1*$D19))</f>
        <v>0.30900313951952113</v>
      </c>
      <c r="AG19" s="8">
        <f t="shared" ref="AG19:AG57" si="76">(2/55)*($C19*SIN(AG$1*$D19))</f>
        <v>3.1453421966431923E-2</v>
      </c>
      <c r="AH19" s="8">
        <f t="shared" ref="AH19:AH57" si="77">(2/55)*($C19*COS(AH$1*$D19))</f>
        <v>-0.14114669929999013</v>
      </c>
      <c r="AI19" s="8">
        <f t="shared" ref="AI19:AI57" si="78">(2/55)*($C19*SIN(AI$1*$D19))</f>
        <v>0.27667646676766205</v>
      </c>
      <c r="AJ19" s="8">
        <f t="shared" ref="AJ19:AJ57" si="79">(2/55)*($C19*COS(AJ$1*$D19))</f>
        <v>-0.2068439636025384</v>
      </c>
      <c r="AK19" s="8">
        <f t="shared" ref="AK19:AK57" si="80">(2/55)*($C19*SIN(AK$1*$D19))</f>
        <v>-0.23170635016656499</v>
      </c>
      <c r="AL19" s="8">
        <f t="shared" ref="AL19:AL57" si="81">(2/55)*($C19*COS(AL$1*$D19))</f>
        <v>0.29085624950439365</v>
      </c>
      <c r="AM19" s="8">
        <f t="shared" ref="AM19:AM57" si="82">(2/55)*($C19*SIN(AM$1*$D19))</f>
        <v>-0.10897201526335547</v>
      </c>
      <c r="AN19" s="8">
        <f t="shared" ref="AN19:AN57" si="83">(2/55)*($C19*COS(AN$1*$D19))</f>
        <v>-3.672009544807368E-3</v>
      </c>
      <c r="AO19" s="8">
        <f t="shared" ref="AO19:AO57" si="84">(2/55)*($C19*SIN(AO$1*$D19))</f>
        <v>0.31057812919170902</v>
      </c>
      <c r="AP19" s="8">
        <f t="shared" ref="AP19:AP57" si="85">(2/55)*($C19*COS(AP$1*$D19))</f>
        <v>-0.28819852197043605</v>
      </c>
      <c r="AQ19" s="8">
        <f t="shared" ref="AQ19:AQ57" si="86">(2/55)*($C19*SIN(AQ$1*$D19))</f>
        <v>-0.11581826246484253</v>
      </c>
      <c r="AR19" s="8">
        <f t="shared" ref="AR19:AR57" si="87">(2/55)*($C19*COS(AR$1*$D19))</f>
        <v>0.21226437232062101</v>
      </c>
      <c r="AS19" s="8">
        <f t="shared" ref="AS19:AS57" si="88">(2/55)*($C19*SIN(AS$1*$D19))</f>
        <v>-0.22675117249895718</v>
      </c>
      <c r="AT19" s="8">
        <f t="shared" ref="AT19:AT57" si="89">(2/55)*($C19*COS(AT$1*$D19))</f>
        <v>0.13456578765674185</v>
      </c>
      <c r="AU19" s="8">
        <f t="shared" ref="AU19:AU57" si="90">(2/55)*($C19*SIN(AU$1*$D19))</f>
        <v>0.27993625484856322</v>
      </c>
      <c r="AV19" s="8">
        <f t="shared" ref="AV19:AV57" si="91">(2/55)*($C19*COS(AV$1*$D19))</f>
        <v>-0.30966041517398296</v>
      </c>
      <c r="AW19" s="8">
        <f t="shared" ref="AW19:AW57" si="92">(2/55)*($C19*SIN(AW$1*$D19))</f>
        <v>2.4138874468284055E-2</v>
      </c>
      <c r="AX19" s="8">
        <f t="shared" ref="AX19:AX57" si="93">(2/55)*($C19*COS(AX$1*$D19))</f>
        <v>8.956026690333671E-2</v>
      </c>
      <c r="AY19" s="8">
        <f t="shared" ref="AY19:AY57" si="94">(2/55)*($C19*SIN(AY$1*$D19))</f>
        <v>-0.29740749247206627</v>
      </c>
      <c r="AZ19" s="8">
        <f t="shared" ref="AZ19:AZ57" si="95">(2/55)*($C19*COS(AZ$1*$D19))</f>
        <v>0.24483847383829521</v>
      </c>
      <c r="BA19" s="8">
        <f t="shared" ref="BA19:BA57" si="96">(2/55)*($C19*SIN(BA$1*$D19))</f>
        <v>0.19111875814491228</v>
      </c>
      <c r="BB19" s="8">
        <f t="shared" ref="BB19:BB57" si="97">(2/55)*($C19*COS(BB$1*$D19))</f>
        <v>-0.26676948854394333</v>
      </c>
      <c r="BC19" s="8">
        <f t="shared" ref="BC19:BC57" si="98">(2/55)*($C19*SIN(BC$1*$D19))</f>
        <v>0.15907953346776557</v>
      </c>
      <c r="BD19" s="8">
        <f t="shared" ref="BD19:BD57" si="99">(2/55)*($C19*COS(BD$1*$D19))</f>
        <v>-5.1756019593145526E-2</v>
      </c>
      <c r="BE19" s="8">
        <f t="shared" ref="BE19:BE57" si="100">(2/55)*($C19*SIN(BE$1*$D19))</f>
        <v>-0.30625736304976081</v>
      </c>
      <c r="BF19" s="8">
        <f t="shared" ref="BF19:BF57" si="101">(2/55)*($C19*COS(BF$1*$D19))</f>
        <v>0.3042294669678195</v>
      </c>
      <c r="BG19" s="8">
        <f t="shared" ref="BG19:BG57" si="102">(2/55)*($C19*SIN(BG$1*$D19))</f>
        <v>6.2583459594332827E-2</v>
      </c>
      <c r="BH19" s="8">
        <f t="shared" ref="BH19:BH57" si="103">(2/55)*($C19*COS(BH$1*$D19))</f>
        <v>-0.16843922258562477</v>
      </c>
      <c r="BI19" s="8">
        <f t="shared" si="47"/>
        <v>0.26096069872888794</v>
      </c>
    </row>
    <row r="20" spans="1:66">
      <c r="A20" s="1">
        <v>18</v>
      </c>
      <c r="B20" s="5">
        <v>7106</v>
      </c>
      <c r="C20" s="8">
        <f t="shared" si="48"/>
        <v>8.8686947765809716</v>
      </c>
      <c r="D20" s="8">
        <f t="shared" si="49"/>
        <v>2.0552727272727274</v>
      </c>
      <c r="E20" s="7">
        <f t="shared" si="50"/>
        <v>3.0555555555555554</v>
      </c>
      <c r="F20" s="8">
        <f>BM38</f>
        <v>3.4420215630416716E-2</v>
      </c>
      <c r="G20" s="8">
        <f>BN38</f>
        <v>2.1088273467871194E-2</v>
      </c>
      <c r="H20" s="8">
        <f t="shared" si="55"/>
        <v>-0.15020185308473152</v>
      </c>
      <c r="I20" s="8">
        <f t="shared" si="51"/>
        <v>0.285384579285135</v>
      </c>
      <c r="J20" s="8">
        <f t="shared" si="52"/>
        <v>-0.1825864436587466</v>
      </c>
      <c r="K20" s="8">
        <f t="shared" si="53"/>
        <v>-0.26583292752383431</v>
      </c>
      <c r="L20" s="8">
        <f t="shared" si="56"/>
        <v>0.32027932876878096</v>
      </c>
      <c r="M20" s="8">
        <f t="shared" si="54"/>
        <v>-3.7763822995823607E-2</v>
      </c>
      <c r="N20" s="8">
        <f t="shared" si="57"/>
        <v>-0.11575059965748424</v>
      </c>
      <c r="O20" s="8">
        <f t="shared" si="58"/>
        <v>0.30100955706218635</v>
      </c>
      <c r="P20" s="8">
        <f t="shared" si="59"/>
        <v>-0.21245878413155661</v>
      </c>
      <c r="Q20" s="8">
        <f t="shared" si="60"/>
        <v>-0.24262361758324646</v>
      </c>
      <c r="R20" s="8">
        <f t="shared" si="61"/>
        <v>0.31365386655901123</v>
      </c>
      <c r="S20" s="8">
        <f t="shared" si="62"/>
        <v>-7.5008044611380109E-2</v>
      </c>
      <c r="T20" s="8">
        <f t="shared" si="63"/>
        <v>-7.9706706328407387E-2</v>
      </c>
      <c r="U20" s="8">
        <f t="shared" si="64"/>
        <v>0.31249287308691992</v>
      </c>
      <c r="V20" s="8">
        <f t="shared" si="65"/>
        <v>-0.23940785389904565</v>
      </c>
      <c r="W20" s="8">
        <f t="shared" si="66"/>
        <v>-0.21607599185308402</v>
      </c>
      <c r="X20" s="8">
        <f t="shared" si="67"/>
        <v>0.30271276654932372</v>
      </c>
      <c r="Y20" s="8">
        <f t="shared" si="68"/>
        <v>-0.11122021278479652</v>
      </c>
      <c r="Z20" s="8">
        <f t="shared" si="69"/>
        <v>-4.2566109558332413E-2</v>
      </c>
      <c r="AA20" s="8">
        <f t="shared" si="70"/>
        <v>0.31967652569575522</v>
      </c>
      <c r="AB20" s="8">
        <f t="shared" si="71"/>
        <v>-0.263062854330745</v>
      </c>
      <c r="AC20" s="8">
        <f t="shared" si="72"/>
        <v>-0.18655532540027375</v>
      </c>
      <c r="AD20" s="8">
        <f t="shared" si="73"/>
        <v>0.2876065699247915</v>
      </c>
      <c r="AE20" s="8">
        <f t="shared" si="74"/>
        <v>-0.14590207572182376</v>
      </c>
      <c r="AF20" s="8">
        <f t="shared" si="75"/>
        <v>-4.8398356103515556E-3</v>
      </c>
      <c r="AG20" s="8">
        <f t="shared" si="76"/>
        <v>0.32246167331189229</v>
      </c>
      <c r="AH20" s="8">
        <f t="shared" si="77"/>
        <v>-0.28309831067596841</v>
      </c>
      <c r="AI20" s="8">
        <f t="shared" si="78"/>
        <v>-0.1544678000628405</v>
      </c>
      <c r="AJ20" s="8">
        <f t="shared" si="79"/>
        <v>0.26854312642079714</v>
      </c>
      <c r="AK20" s="8">
        <f t="shared" si="80"/>
        <v>-0.17857643746022198</v>
      </c>
      <c r="AL20" s="8">
        <f t="shared" si="81"/>
        <v>3.2953030781505618E-2</v>
      </c>
      <c r="AM20" s="8">
        <f t="shared" si="82"/>
        <v>0.32080999442996466</v>
      </c>
      <c r="AN20" s="8">
        <f t="shared" si="83"/>
        <v>-0.29923855034795394</v>
      </c>
      <c r="AO20" s="8">
        <f t="shared" si="84"/>
        <v>-0.12025491569784505</v>
      </c>
      <c r="AP20" s="8">
        <f t="shared" si="85"/>
        <v>0.24578473446931717</v>
      </c>
      <c r="AQ20" s="8">
        <f t="shared" si="86"/>
        <v>-0.20879372372197408</v>
      </c>
      <c r="AR20" s="8">
        <f t="shared" si="87"/>
        <v>7.0292488622010665E-2</v>
      </c>
      <c r="AS20" s="8">
        <f t="shared" si="88"/>
        <v>0.31474421489070342</v>
      </c>
      <c r="AT20" s="8">
        <f t="shared" si="89"/>
        <v>-0.3112614959682462</v>
      </c>
      <c r="AU20" s="8">
        <f t="shared" si="90"/>
        <v>-8.4387415480332406E-2</v>
      </c>
      <c r="AV20" s="8">
        <f t="shared" si="91"/>
        <v>0.21964453217271035</v>
      </c>
      <c r="AW20" s="8">
        <f t="shared" si="92"/>
        <v>-0.23613816771219345</v>
      </c>
      <c r="AX20" s="8">
        <f t="shared" si="93"/>
        <v>0.10666477547152664</v>
      </c>
      <c r="AY20" s="8">
        <f t="shared" si="94"/>
        <v>0.30434779519071536</v>
      </c>
      <c r="AZ20" s="8">
        <f t="shared" si="95"/>
        <v>-0.3190017209819147</v>
      </c>
      <c r="BA20" s="8">
        <f t="shared" si="96"/>
        <v>-4.735880883655557E-2</v>
      </c>
      <c r="BB20" s="8">
        <f t="shared" si="97"/>
        <v>0.19048218876243281</v>
      </c>
      <c r="BC20" s="8">
        <f t="shared" si="98"/>
        <v>-0.26023353075288685</v>
      </c>
      <c r="BD20" s="8">
        <f t="shared" si="99"/>
        <v>0.14156943642503589</v>
      </c>
      <c r="BE20" s="8">
        <f t="shared" si="100"/>
        <v>0.28976378212975223</v>
      </c>
      <c r="BF20" s="8">
        <f t="shared" si="101"/>
        <v>-0.3223527258006863</v>
      </c>
      <c r="BG20" s="8">
        <f t="shared" si="102"/>
        <v>-9.6785811309492258E-3</v>
      </c>
      <c r="BH20" s="8">
        <f t="shared" si="103"/>
        <v>0.15869895582494475</v>
      </c>
      <c r="BI20" s="8">
        <f t="shared" si="47"/>
        <v>-0.28074827903998456</v>
      </c>
      <c r="BM20">
        <v>0.40202437207396063</v>
      </c>
      <c r="BN20">
        <v>0.24846098871881839</v>
      </c>
    </row>
    <row r="21" spans="1:66">
      <c r="A21" s="1">
        <v>19</v>
      </c>
      <c r="B21" s="5">
        <v>11250</v>
      </c>
      <c r="C21" s="8">
        <f t="shared" si="48"/>
        <v>9.3281234076325656</v>
      </c>
      <c r="D21" s="8">
        <f t="shared" si="49"/>
        <v>2.1694545454545455</v>
      </c>
      <c r="E21" s="7">
        <f t="shared" si="50"/>
        <v>2.8947368421052633</v>
      </c>
      <c r="F21" s="8">
        <f>BM40</f>
        <v>9.6780620009598042E-2</v>
      </c>
      <c r="G21" s="8">
        <f>BN40</f>
        <v>5.9381955273195966E-2</v>
      </c>
      <c r="H21" s="8">
        <f t="shared" si="55"/>
        <v>-0.19115344672832202</v>
      </c>
      <c r="I21" s="8">
        <f t="shared" si="51"/>
        <v>0.28021428260909059</v>
      </c>
      <c r="J21" s="8">
        <f t="shared" si="52"/>
        <v>-0.12376134609890063</v>
      </c>
      <c r="K21" s="8">
        <f t="shared" si="53"/>
        <v>-0.31582085679389965</v>
      </c>
      <c r="L21" s="8">
        <f t="shared" si="56"/>
        <v>0.33064103458068056</v>
      </c>
      <c r="M21" s="8">
        <f t="shared" si="54"/>
        <v>7.5737643385980227E-2</v>
      </c>
      <c r="N21" s="8">
        <f t="shared" si="57"/>
        <v>-0.24889394420322292</v>
      </c>
      <c r="O21" s="8">
        <f t="shared" si="58"/>
        <v>0.23045929990609551</v>
      </c>
      <c r="P21" s="8">
        <f t="shared" si="59"/>
        <v>-5.0120363124639612E-2</v>
      </c>
      <c r="Q21" s="8">
        <f t="shared" si="60"/>
        <v>-0.33548119705059326</v>
      </c>
      <c r="R21" s="8">
        <f t="shared" si="61"/>
        <v>0.30538305631221269</v>
      </c>
      <c r="S21" s="8">
        <f t="shared" si="62"/>
        <v>0.14765118791143086</v>
      </c>
      <c r="T21" s="8">
        <f t="shared" si="63"/>
        <v>-0.29406744056918199</v>
      </c>
      <c r="U21" s="8">
        <f t="shared" si="64"/>
        <v>0.16906810690173166</v>
      </c>
      <c r="V21" s="8">
        <f t="shared" si="65"/>
        <v>2.6051266631664571E-2</v>
      </c>
      <c r="W21" s="8">
        <f t="shared" si="66"/>
        <v>-0.33820262547935764</v>
      </c>
      <c r="X21" s="8">
        <f t="shared" si="67"/>
        <v>0.26470586316644712</v>
      </c>
      <c r="Y21" s="8">
        <f t="shared" si="68"/>
        <v>0.21210961878130588</v>
      </c>
      <c r="Z21" s="8">
        <f t="shared" si="69"/>
        <v>-0.3243930632210294</v>
      </c>
      <c r="AA21" s="8">
        <f t="shared" si="70"/>
        <v>9.9140430240754779E-2</v>
      </c>
      <c r="AB21" s="8">
        <f t="shared" si="71"/>
        <v>0.10090753173457183</v>
      </c>
      <c r="AC21" s="8">
        <f t="shared" si="72"/>
        <v>-0.32384773337709361</v>
      </c>
      <c r="AD21" s="8">
        <f t="shared" si="73"/>
        <v>0.21066330315084719</v>
      </c>
      <c r="AE21" s="8">
        <f t="shared" si="74"/>
        <v>0.26585834024874783</v>
      </c>
      <c r="AF21" s="8">
        <f t="shared" si="75"/>
        <v>-0.33833962933021094</v>
      </c>
      <c r="AG21" s="8">
        <f t="shared" si="76"/>
        <v>2.4207015490147015E-2</v>
      </c>
      <c r="AH21" s="8">
        <f t="shared" si="77"/>
        <v>0.17066883533783914</v>
      </c>
      <c r="AI21" s="8">
        <f t="shared" si="78"/>
        <v>-0.29314131919378111</v>
      </c>
      <c r="AJ21" s="8">
        <f t="shared" si="79"/>
        <v>0.14598406021881324</v>
      </c>
      <c r="AK21" s="8">
        <f t="shared" si="80"/>
        <v>0.30618350467697414</v>
      </c>
      <c r="AL21" s="8">
        <f t="shared" si="81"/>
        <v>-0.33520295739355221</v>
      </c>
      <c r="AM21" s="8">
        <f t="shared" si="82"/>
        <v>-5.1948645110928129E-2</v>
      </c>
      <c r="AN21" s="8">
        <f t="shared" si="83"/>
        <v>0.23181283228136138</v>
      </c>
      <c r="AO21" s="8">
        <f t="shared" si="84"/>
        <v>-0.24763379245155165</v>
      </c>
      <c r="AP21" s="8">
        <f t="shared" si="85"/>
        <v>7.3933879225067375E-2</v>
      </c>
      <c r="AQ21" s="8">
        <f t="shared" si="86"/>
        <v>0.33104903847765194</v>
      </c>
      <c r="AR21" s="8">
        <f t="shared" si="87"/>
        <v>-0.31514142233589304</v>
      </c>
      <c r="AS21" s="8">
        <f t="shared" si="88"/>
        <v>-0.12548134643187014</v>
      </c>
      <c r="AT21" s="8">
        <f t="shared" si="89"/>
        <v>0.28125227719300389</v>
      </c>
      <c r="AU21" s="8">
        <f t="shared" si="90"/>
        <v>-0.1896228914134431</v>
      </c>
      <c r="AV21" s="8">
        <f t="shared" si="91"/>
        <v>-1.8493260701903293E-3</v>
      </c>
      <c r="AW21" s="8">
        <f t="shared" si="92"/>
        <v>0.33919944629573157</v>
      </c>
      <c r="AX21" s="8">
        <f t="shared" si="93"/>
        <v>-0.27916795894005469</v>
      </c>
      <c r="AY21" s="8">
        <f t="shared" si="94"/>
        <v>-0.19267832020102488</v>
      </c>
      <c r="AZ21" s="8">
        <f t="shared" si="95"/>
        <v>0.31649090379750799</v>
      </c>
      <c r="BA21" s="8">
        <f t="shared" si="96"/>
        <v>-0.12203766708554074</v>
      </c>
      <c r="BB21" s="8">
        <f t="shared" si="97"/>
        <v>-7.753915632231996E-2</v>
      </c>
      <c r="BC21" s="8">
        <f t="shared" si="98"/>
        <v>0.33022320271456929</v>
      </c>
      <c r="BD21" s="8">
        <f t="shared" si="99"/>
        <v>-0.22909891736206481</v>
      </c>
      <c r="BE21" s="8">
        <f t="shared" si="100"/>
        <v>-0.25014669783503946</v>
      </c>
      <c r="BF21" s="8">
        <f t="shared" si="101"/>
        <v>0.33574946486957802</v>
      </c>
      <c r="BG21" s="8">
        <f t="shared" si="102"/>
        <v>-4.8290591361431254E-2</v>
      </c>
      <c r="BH21" s="8">
        <f t="shared" si="103"/>
        <v>-0.14931392682235933</v>
      </c>
      <c r="BI21" s="8">
        <f t="shared" si="47"/>
        <v>0.30457353074607757</v>
      </c>
    </row>
    <row r="22" spans="1:66">
      <c r="A22" s="1">
        <v>20</v>
      </c>
      <c r="B22" s="5">
        <v>18774</v>
      </c>
      <c r="C22" s="8">
        <f t="shared" si="48"/>
        <v>9.8402282128969372</v>
      </c>
      <c r="D22" s="8">
        <f t="shared" si="49"/>
        <v>2.2836363636363637</v>
      </c>
      <c r="E22" s="7">
        <f t="shared" si="50"/>
        <v>2.75</v>
      </c>
      <c r="F22" s="8">
        <f>BM42</f>
        <v>9.0916344776074604E-2</v>
      </c>
      <c r="G22" s="8">
        <f>BN42</f>
        <v>5.5776076648962086E-2</v>
      </c>
      <c r="H22" s="8">
        <f t="shared" si="55"/>
        <v>-0.23401312041837852</v>
      </c>
      <c r="I22" s="8">
        <f t="shared" si="51"/>
        <v>0.27069844771788115</v>
      </c>
      <c r="J22" s="8">
        <f t="shared" si="52"/>
        <v>-5.1744379132189662E-2</v>
      </c>
      <c r="K22" s="8">
        <f t="shared" si="53"/>
        <v>-0.35406540264906028</v>
      </c>
      <c r="L22" s="8">
        <f t="shared" si="56"/>
        <v>0.30169320719655673</v>
      </c>
      <c r="M22" s="8">
        <f t="shared" si="54"/>
        <v>0.19240841680205273</v>
      </c>
      <c r="N22" s="8">
        <f t="shared" si="57"/>
        <v>-0.34286123380379924</v>
      </c>
      <c r="O22" s="8">
        <f t="shared" si="58"/>
        <v>0.10240099842947556</v>
      </c>
      <c r="P22" s="8">
        <f t="shared" si="59"/>
        <v>0.14675894250329125</v>
      </c>
      <c r="Q22" s="8">
        <f t="shared" si="60"/>
        <v>-0.32634583331204431</v>
      </c>
      <c r="R22" s="8">
        <f t="shared" si="61"/>
        <v>0.15090496472340653</v>
      </c>
      <c r="S22" s="8">
        <f t="shared" si="62"/>
        <v>0.3244495056964094</v>
      </c>
      <c r="T22" s="8">
        <f t="shared" si="63"/>
        <v>-0.34413808356219999</v>
      </c>
      <c r="U22" s="8">
        <f t="shared" si="64"/>
        <v>-9.8024331504750623E-2</v>
      </c>
      <c r="V22" s="8">
        <f t="shared" si="65"/>
        <v>0.29921726593790177</v>
      </c>
      <c r="W22" s="8">
        <f t="shared" si="66"/>
        <v>-0.19623663748001779</v>
      </c>
      <c r="X22" s="8">
        <f t="shared" si="67"/>
        <v>-4.7229072906559325E-2</v>
      </c>
      <c r="Y22" s="8">
        <f t="shared" si="68"/>
        <v>0.35469593287378404</v>
      </c>
      <c r="Z22" s="8">
        <f t="shared" si="69"/>
        <v>-0.23744306347616406</v>
      </c>
      <c r="AA22" s="8">
        <f t="shared" si="70"/>
        <v>-0.26769494155077211</v>
      </c>
      <c r="AB22" s="8">
        <f t="shared" si="71"/>
        <v>0.35779743628162891</v>
      </c>
      <c r="AC22" s="8">
        <f t="shared" si="72"/>
        <v>-4.5590256755901537E-3</v>
      </c>
      <c r="AD22" s="8">
        <f t="shared" si="73"/>
        <v>-0.23054518843980151</v>
      </c>
      <c r="AE22" s="8">
        <f t="shared" si="74"/>
        <v>0.27365800958874453</v>
      </c>
      <c r="AF22" s="8">
        <f t="shared" si="75"/>
        <v>-5.6251285345390672E-2</v>
      </c>
      <c r="AG22" s="8">
        <f t="shared" si="76"/>
        <v>-0.35337739461064627</v>
      </c>
      <c r="AH22" s="8">
        <f t="shared" si="77"/>
        <v>0.30412017257158935</v>
      </c>
      <c r="AI22" s="8">
        <f t="shared" si="78"/>
        <v>0.18854896117413034</v>
      </c>
      <c r="AJ22" s="8">
        <f t="shared" si="79"/>
        <v>-0.34152872507965204</v>
      </c>
      <c r="AK22" s="8">
        <f t="shared" si="80"/>
        <v>0.10676104191269618</v>
      </c>
      <c r="AL22" s="8">
        <f t="shared" si="81"/>
        <v>0.14258909591883126</v>
      </c>
      <c r="AM22" s="8">
        <f t="shared" si="82"/>
        <v>-0.32818918301776384</v>
      </c>
      <c r="AN22" s="8">
        <f t="shared" si="83"/>
        <v>0.15502648952755851</v>
      </c>
      <c r="AO22" s="8">
        <f t="shared" si="84"/>
        <v>0.32250050801445068</v>
      </c>
      <c r="AP22" s="8">
        <f t="shared" si="85"/>
        <v>-0.34535906707526082</v>
      </c>
      <c r="AQ22" s="8">
        <f t="shared" si="86"/>
        <v>-9.3631751632245519E-2</v>
      </c>
      <c r="AR22" s="8">
        <f t="shared" si="87"/>
        <v>0.29669275073179024</v>
      </c>
      <c r="AS22" s="8">
        <f t="shared" si="88"/>
        <v>-0.20003300174726357</v>
      </c>
      <c r="AT22" s="8">
        <f t="shared" si="89"/>
        <v>-4.2706099668468771E-2</v>
      </c>
      <c r="AU22" s="8">
        <f t="shared" si="90"/>
        <v>0.35526888292661346</v>
      </c>
      <c r="AV22" s="8">
        <f t="shared" si="91"/>
        <v>-0.24083446080747403</v>
      </c>
      <c r="AW22" s="8">
        <f t="shared" si="92"/>
        <v>-0.26464797866673806</v>
      </c>
      <c r="AX22" s="8">
        <f t="shared" si="93"/>
        <v>0.35771030843451496</v>
      </c>
      <c r="AY22" s="8">
        <f t="shared" si="94"/>
        <v>-9.1173112539371711E-3</v>
      </c>
      <c r="AZ22" s="8">
        <f t="shared" si="95"/>
        <v>-0.22703983051310972</v>
      </c>
      <c r="BA22" s="8">
        <f t="shared" si="96"/>
        <v>0.27657314671781746</v>
      </c>
      <c r="BB22" s="8">
        <f t="shared" si="97"/>
        <v>-6.0749059909819186E-2</v>
      </c>
      <c r="BC22" s="8">
        <f t="shared" si="98"/>
        <v>-0.35263202044750586</v>
      </c>
      <c r="BD22" s="8">
        <f t="shared" si="99"/>
        <v>0.30649776807741774</v>
      </c>
      <c r="BE22" s="8">
        <f t="shared" si="100"/>
        <v>0.18465889712759154</v>
      </c>
      <c r="BF22" s="8">
        <f t="shared" si="101"/>
        <v>-0.34014077370484375</v>
      </c>
      <c r="BG22" s="8">
        <f t="shared" si="102"/>
        <v>0.11110375415928685</v>
      </c>
      <c r="BH22" s="8">
        <f t="shared" si="103"/>
        <v>0.138396101889214</v>
      </c>
      <c r="BI22" s="8">
        <f t="shared" si="47"/>
        <v>-0.32997925557023622</v>
      </c>
      <c r="BM22">
        <v>0.35680717328571776</v>
      </c>
      <c r="BN22">
        <v>0.22027888300176141</v>
      </c>
    </row>
    <row r="23" spans="1:66">
      <c r="A23" s="1">
        <v>21</v>
      </c>
      <c r="B23" s="5">
        <v>30508</v>
      </c>
      <c r="C23" s="8">
        <f t="shared" si="48"/>
        <v>10.325744223284129</v>
      </c>
      <c r="D23" s="8">
        <f t="shared" si="49"/>
        <v>2.3978181818181818</v>
      </c>
      <c r="E23" s="7">
        <f t="shared" si="50"/>
        <v>2.6190476190476191</v>
      </c>
      <c r="F23" s="8">
        <f>BM44</f>
        <v>6.3654689073094933E-2</v>
      </c>
      <c r="G23" s="8">
        <f>BN44</f>
        <v>3.9026277029713896E-2</v>
      </c>
      <c r="H23" s="8">
        <f t="shared" si="55"/>
        <v>-0.2763237580957062</v>
      </c>
      <c r="I23" s="8">
        <f t="shared" si="51"/>
        <v>0.25422749408318029</v>
      </c>
      <c r="J23" s="8">
        <f t="shared" si="52"/>
        <v>3.1221770352576898E-2</v>
      </c>
      <c r="K23" s="8">
        <f t="shared" si="53"/>
        <v>-0.3741812917450561</v>
      </c>
      <c r="L23" s="8">
        <f t="shared" si="56"/>
        <v>0.23037041853569659</v>
      </c>
      <c r="M23" s="8">
        <f t="shared" si="54"/>
        <v>0.29650616907517424</v>
      </c>
      <c r="N23" s="8">
        <f t="shared" si="57"/>
        <v>-0.37028934877638192</v>
      </c>
      <c r="O23" s="8">
        <f t="shared" si="58"/>
        <v>-6.2227294804698075E-2</v>
      </c>
      <c r="P23" s="8">
        <f t="shared" si="59"/>
        <v>0.31463494110982015</v>
      </c>
      <c r="Q23" s="8">
        <f t="shared" si="60"/>
        <v>-0.20491776855306579</v>
      </c>
      <c r="R23" s="8">
        <f t="shared" si="61"/>
        <v>-9.2801825202157795E-2</v>
      </c>
      <c r="S23" s="8">
        <f t="shared" si="62"/>
        <v>0.36383273529892279</v>
      </c>
      <c r="T23" s="8">
        <f t="shared" si="63"/>
        <v>-0.17804583238391339</v>
      </c>
      <c r="U23" s="8">
        <f t="shared" si="64"/>
        <v>-0.33058451204898764</v>
      </c>
      <c r="V23" s="8">
        <f t="shared" si="65"/>
        <v>0.35485617062806524</v>
      </c>
      <c r="W23" s="8">
        <f t="shared" si="66"/>
        <v>0.1227335985096718</v>
      </c>
      <c r="X23" s="8">
        <f t="shared" si="67"/>
        <v>-0.34424441316234178</v>
      </c>
      <c r="Y23" s="8">
        <f t="shared" si="68"/>
        <v>0.14994072843114636</v>
      </c>
      <c r="Z23" s="8">
        <f t="shared" si="69"/>
        <v>0.15181530350823982</v>
      </c>
      <c r="AA23" s="8">
        <f t="shared" si="70"/>
        <v>-0.34342182757746903</v>
      </c>
      <c r="AB23" s="8">
        <f t="shared" si="71"/>
        <v>0.12079711617252527</v>
      </c>
      <c r="AC23" s="8">
        <f t="shared" si="72"/>
        <v>0.35552003426016554</v>
      </c>
      <c r="AD23" s="8">
        <f t="shared" si="73"/>
        <v>-0.32960890184235409</v>
      </c>
      <c r="AE23" s="8">
        <f t="shared" si="74"/>
        <v>-0.17984551665867343</v>
      </c>
      <c r="AF23" s="8">
        <f t="shared" si="75"/>
        <v>0.36433327897540507</v>
      </c>
      <c r="AG23" s="8">
        <f t="shared" si="76"/>
        <v>-9.0816847924696714E-2</v>
      </c>
      <c r="AH23" s="8">
        <f t="shared" si="77"/>
        <v>-0.20663009718630565</v>
      </c>
      <c r="AI23" s="8">
        <f t="shared" si="78"/>
        <v>0.31351306348017738</v>
      </c>
      <c r="AJ23" s="8">
        <f t="shared" si="79"/>
        <v>-6.0207570788701571E-2</v>
      </c>
      <c r="AK23" s="8">
        <f t="shared" si="80"/>
        <v>-0.37062310566891449</v>
      </c>
      <c r="AL23" s="8">
        <f t="shared" si="81"/>
        <v>0.29524579428780467</v>
      </c>
      <c r="AM23" s="8">
        <f t="shared" si="82"/>
        <v>0.23198353172436867</v>
      </c>
      <c r="AN23" s="8">
        <f t="shared" si="83"/>
        <v>-0.37434595021150729</v>
      </c>
      <c r="AO23" s="8">
        <f t="shared" si="84"/>
        <v>2.9181288460099243E-2</v>
      </c>
      <c r="AP23" s="8">
        <f t="shared" si="85"/>
        <v>0.25573021920285971</v>
      </c>
      <c r="AQ23" s="8">
        <f t="shared" si="86"/>
        <v>-0.27493361566459124</v>
      </c>
      <c r="AR23" s="8">
        <f t="shared" si="87"/>
        <v>-2.0471071352477876E-3</v>
      </c>
      <c r="AS23" s="8">
        <f t="shared" si="88"/>
        <v>0.37547602771458616</v>
      </c>
      <c r="AT23" s="8">
        <f t="shared" si="89"/>
        <v>-0.25271721230929017</v>
      </c>
      <c r="AU23" s="8">
        <f t="shared" si="90"/>
        <v>-0.27770568708359034</v>
      </c>
      <c r="AV23" s="8">
        <f t="shared" si="91"/>
        <v>0.37400551111951569</v>
      </c>
      <c r="AW23" s="8">
        <f t="shared" si="92"/>
        <v>3.3261324209623425E-2</v>
      </c>
      <c r="AX23" s="8">
        <f t="shared" si="93"/>
        <v>-0.29775773051763332</v>
      </c>
      <c r="AY23" s="8">
        <f t="shared" si="94"/>
        <v>0.22875045782016762</v>
      </c>
      <c r="AZ23" s="8">
        <f t="shared" si="95"/>
        <v>6.4245169177519545E-2</v>
      </c>
      <c r="BA23" s="8">
        <f t="shared" si="96"/>
        <v>-0.36994458540881464</v>
      </c>
      <c r="BB23" s="8">
        <f t="shared" si="97"/>
        <v>0.20319934894715491</v>
      </c>
      <c r="BC23" s="8">
        <f t="shared" si="98"/>
        <v>0.31574746653520469</v>
      </c>
      <c r="BD23" s="8">
        <f t="shared" si="99"/>
        <v>-0.3633213770636875</v>
      </c>
      <c r="BE23" s="8">
        <f t="shared" si="100"/>
        <v>-9.4784044039562088E-2</v>
      </c>
      <c r="BF23" s="8">
        <f t="shared" si="101"/>
        <v>0.33155029596655555</v>
      </c>
      <c r="BG23" s="8">
        <f t="shared" si="102"/>
        <v>-0.17624085587751009</v>
      </c>
      <c r="BH23" s="8">
        <f t="shared" si="103"/>
        <v>-0.12466643271518311</v>
      </c>
      <c r="BI23" s="8">
        <f t="shared" si="47"/>
        <v>0.35418175925648482</v>
      </c>
    </row>
    <row r="24" spans="1:66">
      <c r="A24" s="1">
        <v>22</v>
      </c>
      <c r="B24" s="5">
        <v>42834</v>
      </c>
      <c r="C24" s="8">
        <f t="shared" si="48"/>
        <v>10.665087458730515</v>
      </c>
      <c r="D24" s="8">
        <f t="shared" si="49"/>
        <v>2.512</v>
      </c>
      <c r="E24" s="7">
        <f t="shared" si="50"/>
        <v>2.5</v>
      </c>
      <c r="F24" s="8">
        <f>BM46</f>
        <v>7.6403774918864676E-3</v>
      </c>
      <c r="G24" s="8">
        <f>BN46</f>
        <v>4.6780868525540548E-3</v>
      </c>
      <c r="H24" s="8">
        <f t="shared" si="55"/>
        <v>-0.31346337461346535</v>
      </c>
      <c r="I24" s="8">
        <f t="shared" si="51"/>
        <v>0.22835525328902156</v>
      </c>
      <c r="J24" s="8">
        <f t="shared" si="52"/>
        <v>0.11890310854830811</v>
      </c>
      <c r="K24" s="8">
        <f t="shared" si="53"/>
        <v>-0.36914422615869824</v>
      </c>
      <c r="L24" s="8">
        <f t="shared" si="56"/>
        <v>0.12125235533213649</v>
      </c>
      <c r="M24" s="8">
        <f t="shared" si="54"/>
        <v>0.36837925464820115</v>
      </c>
      <c r="N24" s="8">
        <f t="shared" si="57"/>
        <v>-0.31491176713760821</v>
      </c>
      <c r="O24" s="8">
        <f t="shared" si="58"/>
        <v>-0.22635367866907696</v>
      </c>
      <c r="P24" s="8">
        <f t="shared" si="59"/>
        <v>0.38781349235015694</v>
      </c>
      <c r="Q24" s="8">
        <f t="shared" si="60"/>
        <v>-2.4706436266031177E-3</v>
      </c>
      <c r="R24" s="8">
        <f t="shared" si="61"/>
        <v>-0.31200226030676681</v>
      </c>
      <c r="S24" s="8">
        <f t="shared" si="62"/>
        <v>0.23034756020462518</v>
      </c>
      <c r="T24" s="8">
        <f t="shared" si="63"/>
        <v>0.11654903613056326</v>
      </c>
      <c r="U24" s="8">
        <f t="shared" si="64"/>
        <v>-0.3698942161021061</v>
      </c>
      <c r="V24" s="8">
        <f t="shared" si="65"/>
        <v>0.12359668113883034</v>
      </c>
      <c r="W24" s="8">
        <f t="shared" si="66"/>
        <v>0.36759933261667005</v>
      </c>
      <c r="X24" s="8">
        <f t="shared" si="67"/>
        <v>-0.31634737909677857</v>
      </c>
      <c r="Y24" s="8">
        <f t="shared" si="68"/>
        <v>-0.22434291757787658</v>
      </c>
      <c r="Z24" s="8">
        <f t="shared" si="69"/>
        <v>0.38778988331305458</v>
      </c>
      <c r="AA24" s="8">
        <f t="shared" si="70"/>
        <v>-4.941186983147482E-3</v>
      </c>
      <c r="AB24" s="8">
        <f t="shared" si="71"/>
        <v>-0.31052848351623868</v>
      </c>
      <c r="AC24" s="8">
        <f t="shared" si="72"/>
        <v>0.23233051855892708</v>
      </c>
      <c r="AD24" s="8">
        <f t="shared" si="73"/>
        <v>0.11419023361796557</v>
      </c>
      <c r="AE24" s="8">
        <f t="shared" si="74"/>
        <v>-0.37062919404039035</v>
      </c>
      <c r="AF24" s="8">
        <f t="shared" si="75"/>
        <v>0.12593599082488885</v>
      </c>
      <c r="AG24" s="8">
        <f t="shared" si="76"/>
        <v>0.36680449171692053</v>
      </c>
      <c r="AH24" s="8">
        <f t="shared" si="77"/>
        <v>-0.3177701522272543</v>
      </c>
      <c r="AI24" s="8">
        <f t="shared" si="78"/>
        <v>-0.22232305162133442</v>
      </c>
      <c r="AJ24" s="8">
        <f t="shared" si="79"/>
        <v>0.38775053598251108</v>
      </c>
      <c r="AK24" s="8">
        <f t="shared" si="80"/>
        <v>-7.4115298036444462E-3</v>
      </c>
      <c r="AL24" s="8">
        <f t="shared" si="81"/>
        <v>-0.30904210405450638</v>
      </c>
      <c r="AM24" s="8">
        <f t="shared" si="82"/>
        <v>0.23430404787437742</v>
      </c>
      <c r="AN24" s="8">
        <f t="shared" si="83"/>
        <v>0.11182679674154969</v>
      </c>
      <c r="AO24" s="8">
        <f t="shared" si="84"/>
        <v>-0.37134913014477228</v>
      </c>
      <c r="AP24" s="8">
        <f t="shared" si="85"/>
        <v>0.12827018945038543</v>
      </c>
      <c r="AQ24" s="8">
        <f t="shared" si="86"/>
        <v>0.3659947642072453</v>
      </c>
      <c r="AR24" s="8">
        <f t="shared" si="87"/>
        <v>-0.31918002878636992</v>
      </c>
      <c r="AS24" s="8">
        <f t="shared" si="88"/>
        <v>-0.22029416277488387</v>
      </c>
      <c r="AT24" s="8">
        <f t="shared" si="89"/>
        <v>0.38769545195542171</v>
      </c>
      <c r="AU24" s="8">
        <f t="shared" si="90"/>
        <v>-9.8815718302412807E-3</v>
      </c>
      <c r="AV24" s="8">
        <f t="shared" si="91"/>
        <v>-0.30754318224567251</v>
      </c>
      <c r="AW24" s="8">
        <f t="shared" si="92"/>
        <v>0.23626806805609585</v>
      </c>
      <c r="AX24" s="8">
        <f t="shared" si="93"/>
        <v>0.10945882142043109</v>
      </c>
      <c r="AY24" s="8">
        <f t="shared" si="94"/>
        <v>-0.3720539951969406</v>
      </c>
      <c r="AZ24" s="8">
        <f t="shared" si="95"/>
        <v>0.13059918228282713</v>
      </c>
      <c r="BA24" s="8">
        <f t="shared" si="96"/>
        <v>0.36517018295010312</v>
      </c>
      <c r="BB24" s="8">
        <f t="shared" si="97"/>
        <v>-0.32057695155486537</v>
      </c>
      <c r="BC24" s="8">
        <f t="shared" si="98"/>
        <v>-0.21825633338014361</v>
      </c>
      <c r="BD24" s="8">
        <f t="shared" si="99"/>
        <v>0.38762463346734899</v>
      </c>
      <c r="BE24" s="8">
        <f t="shared" si="100"/>
        <v>-1.235121281729906E-2</v>
      </c>
      <c r="BF24" s="8">
        <f t="shared" si="101"/>
        <v>-0.30603177892286182</v>
      </c>
      <c r="BG24" s="8">
        <f t="shared" si="102"/>
        <v>0.23822249939513168</v>
      </c>
      <c r="BH24" s="8">
        <f t="shared" si="103"/>
        <v>0.10708640375791473</v>
      </c>
      <c r="BI24" s="8">
        <f t="shared" si="47"/>
        <v>-0.37274376059023678</v>
      </c>
      <c r="BM24">
        <v>0.29604778731711728</v>
      </c>
      <c r="BN24">
        <v>0.18250509716304222</v>
      </c>
    </row>
    <row r="25" spans="1:66">
      <c r="A25" s="1">
        <v>23</v>
      </c>
      <c r="B25" s="5">
        <v>27345</v>
      </c>
      <c r="C25" s="8">
        <f t="shared" si="48"/>
        <v>10.216288975780873</v>
      </c>
      <c r="D25" s="8">
        <f t="shared" si="49"/>
        <v>2.6261818181818182</v>
      </c>
      <c r="E25" s="7">
        <f t="shared" si="50"/>
        <v>2.3913043478260869</v>
      </c>
      <c r="F25" s="8">
        <f>BM48</f>
        <v>0.27789591650808776</v>
      </c>
      <c r="G25" s="8">
        <f>BN48</f>
        <v>0.17124128124824395</v>
      </c>
      <c r="H25" s="8">
        <f t="shared" si="55"/>
        <v>-0.32323977892470657</v>
      </c>
      <c r="I25" s="8">
        <f t="shared" si="51"/>
        <v>0.1831102082830165</v>
      </c>
      <c r="J25" s="8">
        <f t="shared" si="52"/>
        <v>0.19099417390467407</v>
      </c>
      <c r="K25" s="8">
        <f t="shared" si="53"/>
        <v>-0.31864483142083755</v>
      </c>
      <c r="L25" s="8">
        <f t="shared" si="56"/>
        <v>-9.1245764920728223E-3</v>
      </c>
      <c r="M25" s="8">
        <f t="shared" si="54"/>
        <v>0.37138934443597488</v>
      </c>
      <c r="N25" s="8">
        <f t="shared" si="57"/>
        <v>-0.17511576294459677</v>
      </c>
      <c r="O25" s="8">
        <f t="shared" si="58"/>
        <v>-0.32763969940328452</v>
      </c>
      <c r="P25" s="8">
        <f t="shared" si="59"/>
        <v>0.31385762925758504</v>
      </c>
      <c r="Q25" s="8">
        <f t="shared" si="60"/>
        <v>0.19876290301148042</v>
      </c>
      <c r="R25" s="8">
        <f t="shared" si="61"/>
        <v>-0.37105319345980037</v>
      </c>
      <c r="S25" s="8">
        <f t="shared" si="62"/>
        <v>-1.8243647662318584E-2</v>
      </c>
      <c r="T25" s="8">
        <f t="shared" si="63"/>
        <v>0.33184193816040319</v>
      </c>
      <c r="U25" s="8">
        <f t="shared" si="64"/>
        <v>-0.16701566134554577</v>
      </c>
      <c r="V25" s="8">
        <f t="shared" si="65"/>
        <v>-0.20641170833340644</v>
      </c>
      <c r="W25" s="8">
        <f t="shared" si="66"/>
        <v>0.30888106079788641</v>
      </c>
      <c r="X25" s="8">
        <f t="shared" si="67"/>
        <v>2.7351711510551987E-2</v>
      </c>
      <c r="Y25" s="8">
        <f t="shared" si="68"/>
        <v>-0.37049316718960745</v>
      </c>
      <c r="Z25" s="8">
        <f t="shared" si="69"/>
        <v>0.15881479068979645</v>
      </c>
      <c r="AA25" s="8">
        <f t="shared" si="70"/>
        <v>0.33584395977134834</v>
      </c>
      <c r="AB25" s="8">
        <f t="shared" si="71"/>
        <v>-0.3037181286590131</v>
      </c>
      <c r="AC25" s="8">
        <f t="shared" si="72"/>
        <v>-0.21393597495655103</v>
      </c>
      <c r="AD25" s="8">
        <f t="shared" si="73"/>
        <v>0.36970960351777421</v>
      </c>
      <c r="AE25" s="8">
        <f t="shared" si="74"/>
        <v>3.6443272677863209E-2</v>
      </c>
      <c r="AF25" s="8">
        <f t="shared" si="75"/>
        <v>-0.33964334961260823</v>
      </c>
      <c r="AG25" s="8">
        <f t="shared" si="76"/>
        <v>0.15051809898039001</v>
      </c>
      <c r="AH25" s="8">
        <f t="shared" si="77"/>
        <v>0.22133116310755546</v>
      </c>
      <c r="AI25" s="8">
        <f t="shared" si="78"/>
        <v>-0.29837194790093718</v>
      </c>
      <c r="AJ25" s="8">
        <f t="shared" si="79"/>
        <v>-4.551284576225384E-2</v>
      </c>
      <c r="AK25" s="8">
        <f t="shared" si="80"/>
        <v>0.36870297520818046</v>
      </c>
      <c r="AL25" s="8">
        <f t="shared" si="81"/>
        <v>-0.14213059203409076</v>
      </c>
      <c r="AM25" s="8">
        <f t="shared" si="82"/>
        <v>-0.34323781531874042</v>
      </c>
      <c r="AN25" s="8">
        <f t="shared" si="83"/>
        <v>0.29284574414685643</v>
      </c>
      <c r="AO25" s="8">
        <f t="shared" si="84"/>
        <v>0.22859281089268046</v>
      </c>
      <c r="AP25" s="8">
        <f t="shared" si="85"/>
        <v>-0.36747388961096544</v>
      </c>
      <c r="AQ25" s="8">
        <f t="shared" si="86"/>
        <v>-5.4554958628257294E-2</v>
      </c>
      <c r="AR25" s="8">
        <f t="shared" si="87"/>
        <v>0.34662518816547361</v>
      </c>
      <c r="AS25" s="8">
        <f t="shared" si="88"/>
        <v>-0.13365733046111941</v>
      </c>
      <c r="AT25" s="8">
        <f t="shared" si="89"/>
        <v>-0.23571653698988601</v>
      </c>
      <c r="AU25" s="8">
        <f t="shared" si="90"/>
        <v>0.28714285163701803</v>
      </c>
      <c r="AV25" s="8">
        <f t="shared" si="91"/>
        <v>6.3564155708547773E-2</v>
      </c>
      <c r="AW25" s="8">
        <f t="shared" si="92"/>
        <v>-0.36602308829608332</v>
      </c>
      <c r="AX25" s="8">
        <f t="shared" si="93"/>
        <v>0.12510342661183269</v>
      </c>
      <c r="AY25" s="8">
        <f t="shared" si="94"/>
        <v>0.34980342437820794</v>
      </c>
      <c r="AZ25" s="8">
        <f t="shared" si="95"/>
        <v>-0.28126671121699159</v>
      </c>
      <c r="BA25" s="8">
        <f t="shared" si="96"/>
        <v>-0.24269804329231889</v>
      </c>
      <c r="BB25" s="8">
        <f t="shared" si="97"/>
        <v>0.36435144660587448</v>
      </c>
      <c r="BC25" s="8">
        <f t="shared" si="98"/>
        <v>7.2535001295577703E-2</v>
      </c>
      <c r="BD25" s="8">
        <f t="shared" si="99"/>
        <v>-0.35277060636512958</v>
      </c>
      <c r="BE25" s="8">
        <f t="shared" si="100"/>
        <v>0.1164740414921782</v>
      </c>
      <c r="BF25" s="8">
        <f t="shared" si="101"/>
        <v>0.24953311750157292</v>
      </c>
      <c r="BG25" s="8">
        <f t="shared" si="102"/>
        <v>-0.2752208682616365</v>
      </c>
      <c r="BH25" s="8">
        <f t="shared" si="103"/>
        <v>-8.146208282120905E-2</v>
      </c>
      <c r="BI25" s="8">
        <f t="shared" si="47"/>
        <v>0.36245997312692796</v>
      </c>
    </row>
    <row r="26" spans="1:66">
      <c r="A26" s="1">
        <v>24</v>
      </c>
      <c r="B26" s="5">
        <v>17834</v>
      </c>
      <c r="C26" s="8">
        <f t="shared" si="48"/>
        <v>9.7888620266948241</v>
      </c>
      <c r="D26" s="8">
        <f t="shared" si="49"/>
        <v>2.7403636363636363</v>
      </c>
      <c r="E26" s="7">
        <f t="shared" si="50"/>
        <v>2.291666666666667</v>
      </c>
      <c r="F26" s="8">
        <f>BM50</f>
        <v>8.1896358493633886E-2</v>
      </c>
      <c r="G26" s="8">
        <f>BN50</f>
        <v>5.0231733324628762E-2</v>
      </c>
      <c r="H26" s="8">
        <f t="shared" si="55"/>
        <v>-0.32768898955625692</v>
      </c>
      <c r="I26" s="8">
        <f t="shared" si="51"/>
        <v>0.13901965570588096</v>
      </c>
      <c r="J26" s="8">
        <f t="shared" si="52"/>
        <v>0.24737035280521003</v>
      </c>
      <c r="K26" s="8">
        <f t="shared" si="53"/>
        <v>-0.25595790103454175</v>
      </c>
      <c r="L26" s="8">
        <f t="shared" si="56"/>
        <v>-0.12776024861587562</v>
      </c>
      <c r="M26" s="8">
        <f t="shared" si="54"/>
        <v>0.33224066190427681</v>
      </c>
      <c r="N26" s="8">
        <f t="shared" si="57"/>
        <v>-1.2142859935024923E-2</v>
      </c>
      <c r="O26" s="8">
        <f t="shared" si="58"/>
        <v>-0.35575144342866794</v>
      </c>
      <c r="P26" s="8">
        <f t="shared" si="59"/>
        <v>0.15011723781818689</v>
      </c>
      <c r="Q26" s="8">
        <f t="shared" si="60"/>
        <v>0.32275587284946533</v>
      </c>
      <c r="R26" s="8">
        <f t="shared" si="61"/>
        <v>-0.26424750303881128</v>
      </c>
      <c r="S26" s="8">
        <f t="shared" si="62"/>
        <v>-0.23849485463367076</v>
      </c>
      <c r="T26" s="8">
        <f t="shared" si="63"/>
        <v>0.3364055915472412</v>
      </c>
      <c r="U26" s="8">
        <f t="shared" si="64"/>
        <v>0.11635212299194637</v>
      </c>
      <c r="V26" s="8">
        <f t="shared" si="65"/>
        <v>-0.35513015741868537</v>
      </c>
      <c r="W26" s="8">
        <f t="shared" si="66"/>
        <v>2.4271585048407412E-2</v>
      </c>
      <c r="X26" s="8">
        <f t="shared" si="67"/>
        <v>0.317447054148153</v>
      </c>
      <c r="Y26" s="8">
        <f t="shared" si="68"/>
        <v>-0.16104007688039007</v>
      </c>
      <c r="Z26" s="8">
        <f t="shared" si="69"/>
        <v>-0.2293417379891414</v>
      </c>
      <c r="AA26" s="8">
        <f t="shared" si="70"/>
        <v>0.27222950935764179</v>
      </c>
      <c r="AB26" s="8">
        <f t="shared" si="71"/>
        <v>0.10480855839276604</v>
      </c>
      <c r="AC26" s="8">
        <f t="shared" si="72"/>
        <v>-0.34017893032434049</v>
      </c>
      <c r="AD26" s="8">
        <f t="shared" si="73"/>
        <v>3.6372056972056845E-2</v>
      </c>
      <c r="AE26" s="8">
        <f t="shared" si="74"/>
        <v>0.35409548432676152</v>
      </c>
      <c r="AF26" s="8">
        <f t="shared" si="75"/>
        <v>-0.17177545822866405</v>
      </c>
      <c r="AG26" s="8">
        <f t="shared" si="76"/>
        <v>-0.31176871315017296</v>
      </c>
      <c r="AH26" s="8">
        <f t="shared" si="77"/>
        <v>0.27989462858552511</v>
      </c>
      <c r="AI26" s="8">
        <f t="shared" si="78"/>
        <v>0.21992165750092299</v>
      </c>
      <c r="AJ26" s="8">
        <f t="shared" si="79"/>
        <v>-0.3435562859037104</v>
      </c>
      <c r="AK26" s="8">
        <f t="shared" si="80"/>
        <v>-9.3142992033917044E-2</v>
      </c>
      <c r="AL26" s="8">
        <f t="shared" si="81"/>
        <v>0.35264862855776358</v>
      </c>
      <c r="AM26" s="8">
        <f t="shared" si="82"/>
        <v>-4.8430190225837381E-2</v>
      </c>
      <c r="AN26" s="8">
        <f t="shared" si="83"/>
        <v>-0.30572745969354348</v>
      </c>
      <c r="AO26" s="8">
        <f t="shared" si="84"/>
        <v>0.18231088540818136</v>
      </c>
      <c r="AP26" s="8">
        <f t="shared" si="85"/>
        <v>0.21024557855593826</v>
      </c>
      <c r="AQ26" s="8">
        <f t="shared" si="86"/>
        <v>-0.28723393818743131</v>
      </c>
      <c r="AR26" s="8">
        <f t="shared" si="87"/>
        <v>-8.1369003146383928E-2</v>
      </c>
      <c r="AS26" s="8">
        <f t="shared" si="88"/>
        <v>0.3465337268952996</v>
      </c>
      <c r="AT26" s="8">
        <f t="shared" si="89"/>
        <v>-6.0431948613679037E-2</v>
      </c>
      <c r="AU26" s="8">
        <f t="shared" si="90"/>
        <v>-0.35079127431527707</v>
      </c>
      <c r="AV26" s="8">
        <f t="shared" si="91"/>
        <v>0.19263409471954557</v>
      </c>
      <c r="AW26" s="8">
        <f t="shared" si="92"/>
        <v>0.29933032606230109</v>
      </c>
      <c r="AX26" s="8">
        <f t="shared" si="93"/>
        <v>-0.29423889488502514</v>
      </c>
      <c r="AY26" s="8">
        <f t="shared" si="94"/>
        <v>-0.20032476453454634</v>
      </c>
      <c r="AZ26" s="8">
        <f t="shared" si="95"/>
        <v>0.34910778742718196</v>
      </c>
      <c r="BA26" s="8">
        <f t="shared" si="96"/>
        <v>6.950029716972346E-2</v>
      </c>
      <c r="BB26" s="8">
        <f t="shared" si="97"/>
        <v>-0.34852558364111835</v>
      </c>
      <c r="BC26" s="8">
        <f t="shared" si="98"/>
        <v>7.2363361562327616E-2</v>
      </c>
      <c r="BD26" s="8">
        <f t="shared" si="99"/>
        <v>0.29258475880062179</v>
      </c>
      <c r="BE26" s="8">
        <f t="shared" si="100"/>
        <v>-0.20273306949425959</v>
      </c>
      <c r="BF26" s="8">
        <f t="shared" si="101"/>
        <v>-0.1901707636994705</v>
      </c>
      <c r="BG26" s="8">
        <f t="shared" si="102"/>
        <v>0.30090134460141998</v>
      </c>
      <c r="BH26" s="8">
        <f t="shared" si="103"/>
        <v>5.7550689798346502E-2</v>
      </c>
      <c r="BI26" s="8">
        <f t="shared" si="47"/>
        <v>-0.35127547117997976</v>
      </c>
      <c r="BM26">
        <v>0.40846837706829059</v>
      </c>
      <c r="BN26">
        <v>0.25248221692492628</v>
      </c>
    </row>
    <row r="27" spans="1:66">
      <c r="A27" s="1">
        <v>25</v>
      </c>
      <c r="B27" s="5">
        <v>15386</v>
      </c>
      <c r="C27" s="8">
        <f t="shared" si="48"/>
        <v>9.64121328401888</v>
      </c>
      <c r="D27" s="8">
        <f t="shared" si="49"/>
        <v>2.8545454545454545</v>
      </c>
      <c r="E27" s="7">
        <f t="shared" si="50"/>
        <v>2.2000000000000002</v>
      </c>
      <c r="F27" s="8">
        <f>BM52</f>
        <v>4.6388475156700984E-2</v>
      </c>
      <c r="G27" s="8">
        <f>BN52</f>
        <v>2.8428898539092452E-2</v>
      </c>
      <c r="H27" s="8">
        <f t="shared" si="55"/>
        <v>-0.33624487087372068</v>
      </c>
      <c r="I27" s="8">
        <f t="shared" si="51"/>
        <v>9.9259438763275032E-2</v>
      </c>
      <c r="J27" s="8">
        <f t="shared" si="52"/>
        <v>0.29438461571531938</v>
      </c>
      <c r="K27" s="8">
        <f t="shared" si="53"/>
        <v>-0.19039629041194359</v>
      </c>
      <c r="L27" s="8">
        <f t="shared" si="56"/>
        <v>-0.22843431213290502</v>
      </c>
      <c r="M27" s="8">
        <f t="shared" si="54"/>
        <v>0.26595265445723976</v>
      </c>
      <c r="N27" s="8">
        <f t="shared" si="57"/>
        <v>0.14379079787568685</v>
      </c>
      <c r="O27" s="8">
        <f t="shared" si="58"/>
        <v>-0.3197456111016363</v>
      </c>
      <c r="P27" s="8">
        <f t="shared" si="59"/>
        <v>-4.7380611384813427E-2</v>
      </c>
      <c r="Q27" s="8">
        <f t="shared" si="60"/>
        <v>0.34737318122918864</v>
      </c>
      <c r="R27" s="8">
        <f t="shared" si="61"/>
        <v>-5.2906819913321336E-2</v>
      </c>
      <c r="S27" s="8">
        <f t="shared" si="62"/>
        <v>-0.34657454866037812</v>
      </c>
      <c r="T27" s="8">
        <f t="shared" si="63"/>
        <v>0.14886478633580069</v>
      </c>
      <c r="U27" s="8">
        <f t="shared" si="64"/>
        <v>0.3174150670048318</v>
      </c>
      <c r="V27" s="8">
        <f t="shared" si="65"/>
        <v>-0.23264086647748439</v>
      </c>
      <c r="W27" s="8">
        <f t="shared" si="66"/>
        <v>-0.26228091165216488</v>
      </c>
      <c r="X27" s="8">
        <f t="shared" si="67"/>
        <v>0.29737950566720456</v>
      </c>
      <c r="Y27" s="8">
        <f t="shared" si="68"/>
        <v>0.18568381453862506</v>
      </c>
      <c r="Z27" s="8">
        <f t="shared" si="69"/>
        <v>-0.33778301893866114</v>
      </c>
      <c r="AA27" s="8">
        <f t="shared" si="70"/>
        <v>-9.3891860611927072E-2</v>
      </c>
      <c r="AB27" s="8">
        <f t="shared" si="71"/>
        <v>0.35054511058463939</v>
      </c>
      <c r="AC27" s="8">
        <f t="shared" si="72"/>
        <v>-5.5834413839840344E-3</v>
      </c>
      <c r="AD27" s="8">
        <f t="shared" si="73"/>
        <v>-0.33462143457164678</v>
      </c>
      <c r="AE27" s="8">
        <f t="shared" si="74"/>
        <v>0.10460183983897477</v>
      </c>
      <c r="AF27" s="8">
        <f t="shared" si="75"/>
        <v>0.29131505534586583</v>
      </c>
      <c r="AG27" s="8">
        <f t="shared" si="76"/>
        <v>-0.19506047242155591</v>
      </c>
      <c r="AH27" s="8">
        <f t="shared" si="77"/>
        <v>-0.22416981561144766</v>
      </c>
      <c r="AI27" s="8">
        <f t="shared" si="78"/>
        <v>0.2695569385885197</v>
      </c>
      <c r="AJ27" s="8">
        <f t="shared" si="79"/>
        <v>0.13868033699702134</v>
      </c>
      <c r="AK27" s="8">
        <f t="shared" si="80"/>
        <v>-0.32199505198508566</v>
      </c>
      <c r="AL27" s="8">
        <f t="shared" si="81"/>
        <v>-4.1842384802888703E-2</v>
      </c>
      <c r="AM27" s="8">
        <f t="shared" si="82"/>
        <v>0.34808370287402485</v>
      </c>
      <c r="AN27" s="8">
        <f t="shared" si="83"/>
        <v>-5.8419608670128374E-2</v>
      </c>
      <c r="AO27" s="8">
        <f t="shared" si="84"/>
        <v>-0.34568800774009284</v>
      </c>
      <c r="AP27" s="8">
        <f t="shared" si="85"/>
        <v>0.15390101536432785</v>
      </c>
      <c r="AQ27" s="8">
        <f t="shared" si="86"/>
        <v>0.3150040108352819</v>
      </c>
      <c r="AR27" s="8">
        <f t="shared" si="87"/>
        <v>-0.23678841165610864</v>
      </c>
      <c r="AS27" s="8">
        <f t="shared" si="88"/>
        <v>-0.2585426415078616</v>
      </c>
      <c r="AT27" s="8">
        <f t="shared" si="89"/>
        <v>0.30029896555012831</v>
      </c>
      <c r="AU27" s="8">
        <f t="shared" si="90"/>
        <v>0.18092424011726099</v>
      </c>
      <c r="AV27" s="8">
        <f t="shared" si="91"/>
        <v>-0.3392354886164673</v>
      </c>
      <c r="AW27" s="8">
        <f t="shared" si="92"/>
        <v>-8.8500466866746536E-2</v>
      </c>
      <c r="AX27" s="8">
        <f t="shared" si="93"/>
        <v>0.35041173172368878</v>
      </c>
      <c r="AY27" s="8">
        <f t="shared" si="94"/>
        <v>-1.1165466532616916E-2</v>
      </c>
      <c r="AZ27" s="8">
        <f t="shared" si="95"/>
        <v>-0.3329131218157344</v>
      </c>
      <c r="BA27" s="8">
        <f t="shared" si="96"/>
        <v>0.10991770874334757</v>
      </c>
      <c r="BB27" s="8">
        <f t="shared" si="97"/>
        <v>0.28817160315032497</v>
      </c>
      <c r="BC27" s="8">
        <f t="shared" si="98"/>
        <v>-0.19967517750150371</v>
      </c>
      <c r="BD27" s="8">
        <f t="shared" si="99"/>
        <v>-0.21984845859917529</v>
      </c>
      <c r="BE27" s="8">
        <f t="shared" si="100"/>
        <v>0.27309284982227588</v>
      </c>
      <c r="BF27" s="8">
        <f t="shared" si="101"/>
        <v>0.13353469996403375</v>
      </c>
      <c r="BG27" s="8">
        <f t="shared" si="102"/>
        <v>-0.32416281908633648</v>
      </c>
      <c r="BH27" s="8">
        <f t="shared" si="103"/>
        <v>-3.6293544934203142E-2</v>
      </c>
      <c r="BI27" s="8">
        <f t="shared" si="47"/>
        <v>0.34870593337165112</v>
      </c>
    </row>
    <row r="28" spans="1:66">
      <c r="A28" s="1">
        <v>26</v>
      </c>
      <c r="B28" s="5">
        <v>9443</v>
      </c>
      <c r="C28" s="8">
        <f t="shared" si="48"/>
        <v>9.1530290052630701</v>
      </c>
      <c r="D28" s="8">
        <f t="shared" si="49"/>
        <v>2.9687272727272727</v>
      </c>
      <c r="E28" s="7">
        <f t="shared" si="50"/>
        <v>2.1153846153846154</v>
      </c>
      <c r="F28" s="8">
        <f>BM54</f>
        <v>3.592469823390166E-2</v>
      </c>
      <c r="G28" s="8">
        <f>BN54</f>
        <v>2.2010806899125372E-2</v>
      </c>
      <c r="H28" s="8">
        <f t="shared" si="55"/>
        <v>-0.32787679274276188</v>
      </c>
      <c r="I28" s="8">
        <f t="shared" si="51"/>
        <v>5.7249941921876428E-2</v>
      </c>
      <c r="J28" s="8">
        <f t="shared" si="52"/>
        <v>0.31314278267942858</v>
      </c>
      <c r="K28" s="8">
        <f t="shared" si="53"/>
        <v>-0.11279337181378357</v>
      </c>
      <c r="L28" s="8">
        <f t="shared" si="56"/>
        <v>-0.28907458103787964</v>
      </c>
      <c r="M28" s="8">
        <f t="shared" si="54"/>
        <v>0.16497464552807084</v>
      </c>
      <c r="N28" s="8">
        <f t="shared" si="57"/>
        <v>0.2563896151946719</v>
      </c>
      <c r="O28" s="8">
        <f t="shared" si="58"/>
        <v>-0.21223833840676934</v>
      </c>
      <c r="P28" s="8">
        <f t="shared" si="59"/>
        <v>-0.21606216190080499</v>
      </c>
      <c r="Q28" s="8">
        <f t="shared" si="60"/>
        <v>0.25317560953632284</v>
      </c>
      <c r="R28" s="8">
        <f t="shared" si="61"/>
        <v>0.16929430594228426</v>
      </c>
      <c r="S28" s="8">
        <f t="shared" si="62"/>
        <v>-0.28656619661931254</v>
      </c>
      <c r="T28" s="8">
        <f t="shared" si="63"/>
        <v>-0.11748010827585424</v>
      </c>
      <c r="U28" s="8">
        <f t="shared" si="64"/>
        <v>0.31141478967581454</v>
      </c>
      <c r="V28" s="8">
        <f t="shared" si="65"/>
        <v>6.2164051719707208E-2</v>
      </c>
      <c r="W28" s="8">
        <f t="shared" si="66"/>
        <v>-0.32698069934344415</v>
      </c>
      <c r="X28" s="8">
        <f t="shared" si="67"/>
        <v>-4.9950028542216276E-3</v>
      </c>
      <c r="Y28" s="8">
        <f t="shared" si="68"/>
        <v>0.33279993542040326</v>
      </c>
      <c r="Z28" s="8">
        <f t="shared" si="69"/>
        <v>-5.2322937558997321E-2</v>
      </c>
      <c r="AA28" s="8">
        <f t="shared" si="70"/>
        <v>-0.32869903753211011</v>
      </c>
      <c r="AB28" s="8">
        <f t="shared" si="71"/>
        <v>0.1080812305841099</v>
      </c>
      <c r="AC28" s="8">
        <f t="shared" si="72"/>
        <v>0.3148002456554993</v>
      </c>
      <c r="AD28" s="8">
        <f t="shared" si="73"/>
        <v>-0.1606178274115676</v>
      </c>
      <c r="AE28" s="8">
        <f t="shared" si="74"/>
        <v>-0.29151785637748873</v>
      </c>
      <c r="AF28" s="8">
        <f t="shared" si="75"/>
        <v>0.20836671187628764</v>
      </c>
      <c r="AG28" s="8">
        <f t="shared" si="76"/>
        <v>0.25954587350062491</v>
      </c>
      <c r="AH28" s="8">
        <f t="shared" si="77"/>
        <v>-0.24990458042509023</v>
      </c>
      <c r="AI28" s="8">
        <f t="shared" si="78"/>
        <v>-0.21983732110789989</v>
      </c>
      <c r="AJ28" s="8">
        <f t="shared" si="79"/>
        <v>0.2839932680922474</v>
      </c>
      <c r="AK28" s="8">
        <f t="shared" si="80"/>
        <v>0.17357583572497398</v>
      </c>
      <c r="AL28" s="8">
        <f t="shared" si="81"/>
        <v>-0.30961665584537035</v>
      </c>
      <c r="AM28" s="8">
        <f t="shared" si="82"/>
        <v>-0.12214038436351736</v>
      </c>
      <c r="AN28" s="8">
        <f t="shared" si="83"/>
        <v>0.32601095916378753</v>
      </c>
      <c r="AO28" s="8">
        <f t="shared" si="84"/>
        <v>6.7064160133751965E-2</v>
      </c>
      <c r="AP28" s="8">
        <f t="shared" si="85"/>
        <v>-0.33268749500439609</v>
      </c>
      <c r="AQ28" s="8">
        <f t="shared" si="86"/>
        <v>-9.988880669935675E-3</v>
      </c>
      <c r="AR28" s="8">
        <f t="shared" si="87"/>
        <v>0.32944724851498791</v>
      </c>
      <c r="AS28" s="8">
        <f t="shared" si="88"/>
        <v>-4.7384148354086296E-2</v>
      </c>
      <c r="AT28" s="8">
        <f t="shared" si="89"/>
        <v>-0.31638680528899082</v>
      </c>
      <c r="AU28" s="8">
        <f t="shared" si="90"/>
        <v>0.10334474591562209</v>
      </c>
      <c r="AV28" s="8">
        <f t="shared" si="91"/>
        <v>0.29389547233238045</v>
      </c>
      <c r="AW28" s="8">
        <f t="shared" si="92"/>
        <v>-0.15622483289114206</v>
      </c>
      <c r="AX28" s="8">
        <f t="shared" si="93"/>
        <v>-0.26264367356126983</v>
      </c>
      <c r="AY28" s="8">
        <f t="shared" si="94"/>
        <v>0.20444815432666394</v>
      </c>
      <c r="AZ28" s="8">
        <f t="shared" si="95"/>
        <v>0.22356296573835319</v>
      </c>
      <c r="BA28" s="8">
        <f t="shared" si="96"/>
        <v>-0.24657726460403881</v>
      </c>
      <c r="BB28" s="8">
        <f t="shared" si="97"/>
        <v>-0.17781827053517102</v>
      </c>
      <c r="BC28" s="8">
        <f t="shared" si="98"/>
        <v>0.28135637496459714</v>
      </c>
      <c r="BD28" s="8">
        <f t="shared" si="99"/>
        <v>0.12677315042971607</v>
      </c>
      <c r="BE28" s="8">
        <f t="shared" si="100"/>
        <v>-0.30774878618682289</v>
      </c>
      <c r="BF28" s="8">
        <f t="shared" si="101"/>
        <v>-7.1949163498843421E-2</v>
      </c>
      <c r="BG28" s="8">
        <f t="shared" si="102"/>
        <v>0.32496779062109366</v>
      </c>
      <c r="BH28" s="8">
        <f t="shared" si="103"/>
        <v>1.4980508662031317E-2</v>
      </c>
      <c r="BI28" s="8">
        <f t="shared" si="47"/>
        <v>-0.33250012245045124</v>
      </c>
      <c r="BM28">
        <v>0.22630624712852668</v>
      </c>
      <c r="BN28">
        <v>0.13928109222979831</v>
      </c>
    </row>
    <row r="29" spans="1:66">
      <c r="A29" s="1">
        <v>27</v>
      </c>
      <c r="B29" s="5">
        <v>7599</v>
      </c>
      <c r="C29" s="8">
        <f t="shared" si="48"/>
        <v>8.9357719386697845</v>
      </c>
      <c r="D29" s="8">
        <f t="shared" si="49"/>
        <v>3.0829090909090908</v>
      </c>
      <c r="E29" s="7">
        <f t="shared" si="50"/>
        <v>2.0370370370370372</v>
      </c>
      <c r="F29" s="8">
        <f>BM56</f>
        <v>7.0351404271572382E-2</v>
      </c>
      <c r="G29" s="8">
        <f>BN56</f>
        <v>4.3138801821019389E-2</v>
      </c>
      <c r="H29" s="8">
        <f t="shared" si="55"/>
        <v>-0.32437781906849439</v>
      </c>
      <c r="I29" s="8">
        <f t="shared" si="51"/>
        <v>1.9057527622151082E-2</v>
      </c>
      <c r="J29" s="8">
        <f t="shared" si="52"/>
        <v>0.32270171774379108</v>
      </c>
      <c r="K29" s="8">
        <f t="shared" si="53"/>
        <v>-3.8049444515111101E-2</v>
      </c>
      <c r="L29" s="8">
        <f t="shared" si="56"/>
        <v>-0.31991462786736358</v>
      </c>
      <c r="M29" s="8">
        <f t="shared" si="54"/>
        <v>5.6910365832493433E-2</v>
      </c>
      <c r="N29" s="8">
        <f t="shared" si="57"/>
        <v>0.31602614475518032</v>
      </c>
      <c r="O29" s="8">
        <f t="shared" si="58"/>
        <v>-7.5575357715857258E-2</v>
      </c>
      <c r="P29" s="8">
        <f t="shared" si="59"/>
        <v>-0.31104965556939029</v>
      </c>
      <c r="Q29" s="8">
        <f t="shared" si="60"/>
        <v>9.3980160847200123E-2</v>
      </c>
      <c r="R29" s="8">
        <f t="shared" si="61"/>
        <v>0.30500229322937145</v>
      </c>
      <c r="S29" s="8">
        <f t="shared" si="62"/>
        <v>-0.11206141167916123</v>
      </c>
      <c r="T29" s="8">
        <f t="shared" si="63"/>
        <v>-0.29790487742698923</v>
      </c>
      <c r="U29" s="8">
        <f t="shared" si="64"/>
        <v>0.12975686058129046</v>
      </c>
      <c r="V29" s="8">
        <f t="shared" si="65"/>
        <v>0.28978184294913728</v>
      </c>
      <c r="W29" s="8">
        <f t="shared" si="66"/>
        <v>-0.14700558615135509</v>
      </c>
      <c r="X29" s="8">
        <f t="shared" si="67"/>
        <v>-0.28066115555432858</v>
      </c>
      <c r="Y29" s="8">
        <f t="shared" si="68"/>
        <v>0.16374820495385878</v>
      </c>
      <c r="Z29" s="8">
        <f t="shared" si="69"/>
        <v>0.27057421569295526</v>
      </c>
      <c r="AA29" s="8">
        <f t="shared" si="70"/>
        <v>-0.17992707596369162</v>
      </c>
      <c r="AB29" s="8">
        <f t="shared" si="71"/>
        <v>-0.25955575040268641</v>
      </c>
      <c r="AC29" s="8">
        <f t="shared" si="72"/>
        <v>0.19548649901105786</v>
      </c>
      <c r="AD29" s="8">
        <f t="shared" si="73"/>
        <v>0.24764369375118234</v>
      </c>
      <c r="AE29" s="8">
        <f t="shared" si="74"/>
        <v>-0.21037290654448013</v>
      </c>
      <c r="AF29" s="8">
        <f t="shared" si="75"/>
        <v>-0.23487905623773597</v>
      </c>
      <c r="AG29" s="8">
        <f t="shared" si="76"/>
        <v>0.22453504805168481</v>
      </c>
      <c r="AH29" s="8">
        <f t="shared" si="77"/>
        <v>0.22130578360345926</v>
      </c>
      <c r="AI29" s="8">
        <f t="shared" si="78"/>
        <v>-0.23792416650344878</v>
      </c>
      <c r="AJ29" s="8">
        <f t="shared" si="79"/>
        <v>-0.20697060553610075</v>
      </c>
      <c r="AK29" s="8">
        <f t="shared" si="80"/>
        <v>0.2504941662129514</v>
      </c>
      <c r="AL29" s="8">
        <f t="shared" si="81"/>
        <v>0.19192287479036885</v>
      </c>
      <c r="AM29" s="8">
        <f t="shared" si="82"/>
        <v>-0.26220177153273083</v>
      </c>
      <c r="AN29" s="8">
        <f t="shared" si="83"/>
        <v>-0.17621439727763211</v>
      </c>
      <c r="AO29" s="8">
        <f t="shared" si="84"/>
        <v>0.27300667584288629</v>
      </c>
      <c r="AP29" s="8">
        <f t="shared" si="85"/>
        <v>0.15989925370996017</v>
      </c>
      <c r="AQ29" s="8">
        <f t="shared" si="86"/>
        <v>-0.28287168031759513</v>
      </c>
      <c r="AR29" s="8">
        <f t="shared" si="87"/>
        <v>-0.14303361341254334</v>
      </c>
      <c r="AS29" s="8">
        <f t="shared" si="88"/>
        <v>0.29176282199220155</v>
      </c>
      <c r="AT29" s="8">
        <f t="shared" si="89"/>
        <v>0.12567554094549283</v>
      </c>
      <c r="AU29" s="8">
        <f t="shared" si="90"/>
        <v>-0.29964949068997215</v>
      </c>
      <c r="AV29" s="8">
        <f t="shared" si="91"/>
        <v>-0.10788479620077646</v>
      </c>
      <c r="AW29" s="8">
        <f t="shared" si="92"/>
        <v>0.30650453440596742</v>
      </c>
      <c r="AX29" s="8">
        <f t="shared" si="93"/>
        <v>8.9722628662525616E-2</v>
      </c>
      <c r="AY29" s="8">
        <f t="shared" si="94"/>
        <v>-0.31230435278520929</v>
      </c>
      <c r="AZ29" s="8">
        <f t="shared" si="95"/>
        <v>-7.1251566538985386E-2</v>
      </c>
      <c r="BA29" s="8">
        <f t="shared" si="96"/>
        <v>0.3170289783733381</v>
      </c>
      <c r="BB29" s="8">
        <f t="shared" si="97"/>
        <v>5.253520149213832E-2</v>
      </c>
      <c r="BC29" s="8">
        <f t="shared" si="98"/>
        <v>-0.3206621453600072</v>
      </c>
      <c r="BD29" s="8">
        <f t="shared" si="99"/>
        <v>-3.3637969706098246E-2</v>
      </c>
      <c r="BE29" s="8">
        <f t="shared" si="100"/>
        <v>0.3231913455783641</v>
      </c>
      <c r="BF29" s="8">
        <f t="shared" si="101"/>
        <v>1.4624930047988163E-2</v>
      </c>
      <c r="BG29" s="8">
        <f t="shared" si="102"/>
        <v>-0.32460787156782478</v>
      </c>
      <c r="BH29" s="8">
        <f t="shared" si="103"/>
        <v>4.4384599149380208E-3</v>
      </c>
      <c r="BI29" s="8">
        <f t="shared" si="47"/>
        <v>0.32490684655187774</v>
      </c>
    </row>
    <row r="30" spans="1:66">
      <c r="A30" s="1">
        <v>28</v>
      </c>
      <c r="B30" s="5">
        <v>8061</v>
      </c>
      <c r="C30" s="8">
        <f t="shared" si="48"/>
        <v>8.9947928972836007</v>
      </c>
      <c r="D30" s="8">
        <f t="shared" si="49"/>
        <v>3.197090909090909</v>
      </c>
      <c r="E30" s="7">
        <f t="shared" si="50"/>
        <v>1.9642857142857144</v>
      </c>
      <c r="F30" s="11">
        <f>SUM(F3:F29)</f>
        <v>42.471540909948438</v>
      </c>
      <c r="G30" s="8"/>
      <c r="H30" s="8">
        <f t="shared" si="55"/>
        <v>-0.32657978973959795</v>
      </c>
      <c r="I30" s="8">
        <f t="shared" si="51"/>
        <v>-1.8143239838928564E-2</v>
      </c>
      <c r="J30" s="8">
        <f t="shared" si="52"/>
        <v>0.32507057539167661</v>
      </c>
      <c r="K30" s="8">
        <f t="shared" si="53"/>
        <v>3.6230611818421979E-2</v>
      </c>
      <c r="L30" s="8">
        <f t="shared" si="56"/>
        <v>-0.32256038231152701</v>
      </c>
      <c r="M30" s="8">
        <f t="shared" si="54"/>
        <v>-5.4206420111038746E-2</v>
      </c>
      <c r="N30" s="8">
        <f t="shared" si="57"/>
        <v>0.31905694005105956</v>
      </c>
      <c r="O30" s="8">
        <f t="shared" si="58"/>
        <v>7.2015312423591493E-2</v>
      </c>
      <c r="P30" s="8">
        <f t="shared" si="59"/>
        <v>-0.3145710366404984</v>
      </c>
      <c r="Q30" s="8">
        <f t="shared" si="60"/>
        <v>-8.9602450441576276E-2</v>
      </c>
      <c r="R30" s="8">
        <f t="shared" si="61"/>
        <v>0.30911648536916786</v>
      </c>
      <c r="S30" s="8">
        <f t="shared" si="62"/>
        <v>0.10691367869092294</v>
      </c>
      <c r="T30" s="8">
        <f t="shared" si="63"/>
        <v>-0.30271008225070323</v>
      </c>
      <c r="U30" s="8">
        <f t="shared" si="64"/>
        <v>-0.12389569129709641</v>
      </c>
      <c r="V30" s="8">
        <f t="shared" si="65"/>
        <v>0.29537155430365603</v>
      </c>
      <c r="W30" s="8">
        <f t="shared" si="66"/>
        <v>0.14049619612806344</v>
      </c>
      <c r="X30" s="8">
        <f t="shared" si="67"/>
        <v>-0.28712349880676241</v>
      </c>
      <c r="Y30" s="8">
        <f t="shared" si="68"/>
        <v>-0.15666407581566358</v>
      </c>
      <c r="Z30" s="8">
        <f t="shared" si="69"/>
        <v>0.27799131371591201</v>
      </c>
      <c r="AA30" s="8">
        <f t="shared" si="70"/>
        <v>0.17234954515958054</v>
      </c>
      <c r="AB30" s="8">
        <f t="shared" si="71"/>
        <v>-0.2680031194570871</v>
      </c>
      <c r="AC30" s="8">
        <f t="shared" si="72"/>
        <v>-0.18750430442921356</v>
      </c>
      <c r="AD30" s="8">
        <f t="shared" si="73"/>
        <v>0.25718967233609785</v>
      </c>
      <c r="AE30" s="8">
        <f t="shared" si="74"/>
        <v>0.20208168809138422</v>
      </c>
      <c r="AF30" s="8">
        <f t="shared" si="75"/>
        <v>-0.24558426983173687</v>
      </c>
      <c r="AG30" s="8">
        <f t="shared" si="76"/>
        <v>-0.21603680850592466</v>
      </c>
      <c r="AH30" s="8">
        <f t="shared" si="77"/>
        <v>0.23322264806399076</v>
      </c>
      <c r="AI30" s="8">
        <f t="shared" si="78"/>
        <v>0.2293266941466536</v>
      </c>
      <c r="AJ30" s="8">
        <f t="shared" si="79"/>
        <v>-0.22014287175301903</v>
      </c>
      <c r="AK30" s="8">
        <f t="shared" si="80"/>
        <v>-0.24191042192213777</v>
      </c>
      <c r="AL30" s="8">
        <f t="shared" si="81"/>
        <v>0.20638521700776899</v>
      </c>
      <c r="AM30" s="8">
        <f t="shared" si="82"/>
        <v>0.25374924318876108</v>
      </c>
      <c r="AN30" s="8">
        <f t="shared" si="83"/>
        <v>-0.19199204730512187</v>
      </c>
      <c r="AO30" s="8">
        <f t="shared" si="84"/>
        <v>-0.26480670306810727</v>
      </c>
      <c r="AP30" s="8">
        <f t="shared" si="85"/>
        <v>0.1770076830414849</v>
      </c>
      <c r="AQ30" s="8">
        <f t="shared" si="86"/>
        <v>0.27504875270122225</v>
      </c>
      <c r="AR30" s="8">
        <f t="shared" si="87"/>
        <v>-0.16147826505850901</v>
      </c>
      <c r="AS30" s="8">
        <f t="shared" si="88"/>
        <v>-0.28444385409410206</v>
      </c>
      <c r="AT30" s="8">
        <f t="shared" si="89"/>
        <v>0.14545161256316122</v>
      </c>
      <c r="AU30" s="8">
        <f t="shared" si="90"/>
        <v>0.29296307723156673</v>
      </c>
      <c r="AV30" s="8">
        <f t="shared" si="91"/>
        <v>-0.12897707587968199</v>
      </c>
      <c r="AW30" s="8">
        <f t="shared" si="92"/>
        <v>-0.30058018916046292</v>
      </c>
      <c r="AX30" s="8">
        <f t="shared" si="93"/>
        <v>0.11210538448681812</v>
      </c>
      <c r="AY30" s="8">
        <f t="shared" si="94"/>
        <v>0.30727173476790143</v>
      </c>
      <c r="AZ30" s="8">
        <f t="shared" si="95"/>
        <v>-9.4888490808252637E-2</v>
      </c>
      <c r="BA30" s="8">
        <f t="shared" si="96"/>
        <v>-0.31301710900579388</v>
      </c>
      <c r="BB30" s="8">
        <f t="shared" si="97"/>
        <v>7.7379410237289059E-2</v>
      </c>
      <c r="BC30" s="8">
        <f t="shared" si="98"/>
        <v>0.31779862033926798</v>
      </c>
      <c r="BD30" s="8">
        <f t="shared" si="99"/>
        <v>-5.9632057888373571E-2</v>
      </c>
      <c r="BE30" s="8">
        <f t="shared" si="100"/>
        <v>-0.32160154522360518</v>
      </c>
      <c r="BF30" s="8">
        <f t="shared" si="101"/>
        <v>4.1701082578090909E-2</v>
      </c>
      <c r="BG30" s="8">
        <f t="shared" si="102"/>
        <v>0.324414173441957</v>
      </c>
      <c r="BH30" s="8">
        <f t="shared" si="103"/>
        <v>-2.3641698546964244E-2</v>
      </c>
      <c r="BI30" s="8">
        <f t="shared" si="47"/>
        <v>-0.32622784416420891</v>
      </c>
      <c r="BM30">
        <v>8.4860985231250442E-3</v>
      </c>
      <c r="BN30">
        <v>5.1960124532040271E-3</v>
      </c>
    </row>
    <row r="31" spans="1:66">
      <c r="A31" s="1">
        <v>29</v>
      </c>
      <c r="B31" s="5">
        <v>27187</v>
      </c>
      <c r="C31" s="8">
        <f t="shared" si="48"/>
        <v>10.210494196857329</v>
      </c>
      <c r="D31" s="8">
        <f t="shared" si="49"/>
        <v>3.3112727272727271</v>
      </c>
      <c r="E31" s="7">
        <f t="shared" si="50"/>
        <v>1.8965517241379313</v>
      </c>
      <c r="F31" s="12">
        <f>F8/F30</f>
        <v>0.75593599851204296</v>
      </c>
      <c r="G31" s="8"/>
      <c r="H31" s="8">
        <f t="shared" si="55"/>
        <v>-0.36595853382076005</v>
      </c>
      <c r="I31" s="8">
        <f t="shared" si="51"/>
        <v>-6.2698755930562192E-2</v>
      </c>
      <c r="J31" s="8">
        <f t="shared" si="52"/>
        <v>0.35011519318308815</v>
      </c>
      <c r="K31" s="8">
        <f t="shared" si="53"/>
        <v>0.12359665842509426</v>
      </c>
      <c r="L31" s="8">
        <f t="shared" si="56"/>
        <v>-0.32421573357954075</v>
      </c>
      <c r="M31" s="8">
        <f t="shared" si="54"/>
        <v>-0.18094457872774428</v>
      </c>
      <c r="N31" s="8">
        <f t="shared" si="57"/>
        <v>0.28900404745465136</v>
      </c>
      <c r="O31" s="8">
        <f t="shared" si="58"/>
        <v>0.23309535179044266</v>
      </c>
      <c r="P31" s="8">
        <f t="shared" si="59"/>
        <v>-0.24549149595913616</v>
      </c>
      <c r="Q31" s="8">
        <f t="shared" si="60"/>
        <v>-0.27855108666674772</v>
      </c>
      <c r="R31" s="8">
        <f t="shared" si="61"/>
        <v>0.19492786031605244</v>
      </c>
      <c r="S31" s="8">
        <f t="shared" si="62"/>
        <v>0.31600618940787556</v>
      </c>
      <c r="T31" s="8">
        <f t="shared" si="63"/>
        <v>-0.13876544521047249</v>
      </c>
      <c r="U31" s="8">
        <f t="shared" si="64"/>
        <v>-0.3443848627437332</v>
      </c>
      <c r="V31" s="8">
        <f t="shared" si="65"/>
        <v>7.8617365236417491E-2</v>
      </c>
      <c r="W31" s="8">
        <f t="shared" si="66"/>
        <v>0.36287200547130161</v>
      </c>
      <c r="X31" s="8">
        <f t="shared" si="67"/>
        <v>-1.6211212510896238E-2</v>
      </c>
      <c r="Y31" s="8">
        <f t="shared" si="68"/>
        <v>-0.37093662404837724</v>
      </c>
      <c r="Z31" s="8">
        <f t="shared" si="69"/>
        <v>-4.6660563771570775E-2</v>
      </c>
      <c r="AA31" s="8">
        <f t="shared" si="70"/>
        <v>0.36834708395750837</v>
      </c>
      <c r="AB31" s="8">
        <f t="shared" si="71"/>
        <v>0.10819214062985595</v>
      </c>
      <c r="AC31" s="8">
        <f t="shared" si="72"/>
        <v>-0.35517776278563673</v>
      </c>
      <c r="AD31" s="8">
        <f t="shared" si="73"/>
        <v>-0.1666161887132398</v>
      </c>
      <c r="AE31" s="8">
        <f t="shared" si="74"/>
        <v>0.33180691392759526</v>
      </c>
      <c r="AF31" s="8">
        <f t="shared" si="75"/>
        <v>0.22025463409224255</v>
      </c>
      <c r="AG31" s="8">
        <f t="shared" si="76"/>
        <v>-0.29890580227284469</v>
      </c>
      <c r="AH31" s="8">
        <f t="shared" si="77"/>
        <v>-0.26756685642711159</v>
      </c>
      <c r="AI31" s="8">
        <f t="shared" si="78"/>
        <v>0.25741942392366979</v>
      </c>
      <c r="AJ31" s="8">
        <f t="shared" si="79"/>
        <v>0.30719393915094434</v>
      </c>
      <c r="AK31" s="8">
        <f t="shared" si="80"/>
        <v>-0.20853936371919438</v>
      </c>
      <c r="AL31" s="8">
        <f t="shared" si="81"/>
        <v>-0.33799770069978957</v>
      </c>
      <c r="AM31" s="8">
        <f t="shared" si="82"/>
        <v>0.15366957015992486</v>
      </c>
      <c r="AN31" s="8">
        <f t="shared" si="83"/>
        <v>0.35909338572236948</v>
      </c>
      <c r="AO31" s="8">
        <f t="shared" si="84"/>
        <v>-9.4386030756283851E-2</v>
      </c>
      <c r="AP31" s="8">
        <f t="shared" si="85"/>
        <v>-0.3698750773022399</v>
      </c>
      <c r="AQ31" s="8">
        <f t="shared" si="86"/>
        <v>3.2391506018439591E-2</v>
      </c>
      <c r="AR31" s="8">
        <f t="shared" si="87"/>
        <v>0.37003310029450215</v>
      </c>
      <c r="AS31" s="8">
        <f t="shared" si="88"/>
        <v>3.0533377767936049E-2</v>
      </c>
      <c r="AT31" s="8">
        <f t="shared" si="89"/>
        <v>-0.35956291591294953</v>
      </c>
      <c r="AU31" s="8">
        <f t="shared" si="90"/>
        <v>-9.2581272251237606E-2</v>
      </c>
      <c r="AV31" s="8">
        <f t="shared" si="91"/>
        <v>0.33876525209451508</v>
      </c>
      <c r="AW31" s="8">
        <f t="shared" si="92"/>
        <v>0.15197001824313977</v>
      </c>
      <c r="AX31" s="8">
        <f t="shared" si="93"/>
        <v>-0.30823746589665818</v>
      </c>
      <c r="AY31" s="8">
        <f t="shared" si="94"/>
        <v>-0.20699383345666861</v>
      </c>
      <c r="AZ31" s="8">
        <f t="shared" si="95"/>
        <v>0.26885638601961021</v>
      </c>
      <c r="BA31" s="8">
        <f t="shared" si="96"/>
        <v>0.25607230652289392</v>
      </c>
      <c r="BB31" s="8">
        <f t="shared" si="97"/>
        <v>-0.22175312825599439</v>
      </c>
      <c r="BC31" s="8">
        <f t="shared" si="98"/>
        <v>-0.29779579006453577</v>
      </c>
      <c r="BD31" s="8">
        <f t="shared" si="99"/>
        <v>0.16828060722641747</v>
      </c>
      <c r="BE31" s="8">
        <f t="shared" si="100"/>
        <v>0.33096588903237256</v>
      </c>
      <c r="BF31" s="8">
        <f t="shared" si="101"/>
        <v>-0.10997467753915466</v>
      </c>
      <c r="BG31" s="8">
        <f t="shared" si="102"/>
        <v>-0.35462988138570545</v>
      </c>
      <c r="BH31" s="8">
        <f t="shared" si="103"/>
        <v>4.8510020489868605E-2</v>
      </c>
      <c r="BI31" s="8">
        <f t="shared" si="47"/>
        <v>0.3681080824751789</v>
      </c>
    </row>
    <row r="32" spans="1:66">
      <c r="A32" s="1">
        <v>30</v>
      </c>
      <c r="B32" s="5">
        <v>51511</v>
      </c>
      <c r="C32" s="8">
        <f t="shared" si="48"/>
        <v>10.849550656077264</v>
      </c>
      <c r="D32" s="8">
        <f t="shared" si="49"/>
        <v>3.4254545454545458</v>
      </c>
      <c r="E32" s="7">
        <f t="shared" si="50"/>
        <v>1.8333333333333333</v>
      </c>
      <c r="F32" s="13">
        <f>1-(0.05/27)^(1/26)</f>
        <v>0.2149308127383982</v>
      </c>
      <c r="G32" s="8"/>
      <c r="H32" s="8">
        <f t="shared" si="55"/>
        <v>-0.37874046148091528</v>
      </c>
      <c r="I32" s="8">
        <f t="shared" si="51"/>
        <v>-0.11049382442299119</v>
      </c>
      <c r="J32" s="8">
        <f t="shared" si="52"/>
        <v>0.33263819326704669</v>
      </c>
      <c r="K32" s="8">
        <f t="shared" si="53"/>
        <v>0.21214394824842495</v>
      </c>
      <c r="L32" s="8">
        <f t="shared" si="56"/>
        <v>-0.25991224174844757</v>
      </c>
      <c r="M32" s="8">
        <f t="shared" si="54"/>
        <v>-0.29681450265728593</v>
      </c>
      <c r="N32" s="8">
        <f t="shared" si="57"/>
        <v>0.16638344391996057</v>
      </c>
      <c r="O32" s="8">
        <f t="shared" si="58"/>
        <v>0.35772862897415525</v>
      </c>
      <c r="P32" s="8">
        <f t="shared" si="59"/>
        <v>-5.9537654213396796E-2</v>
      </c>
      <c r="Q32" s="8">
        <f t="shared" si="60"/>
        <v>-0.39001088462908501</v>
      </c>
      <c r="R32" s="8">
        <f t="shared" si="61"/>
        <v>-5.2073408040241811E-2</v>
      </c>
      <c r="S32" s="8">
        <f t="shared" si="62"/>
        <v>0.39107746364814983</v>
      </c>
      <c r="T32" s="8">
        <f t="shared" si="63"/>
        <v>0.15951662080358336</v>
      </c>
      <c r="U32" s="8">
        <f t="shared" si="64"/>
        <v>-0.360842999219607</v>
      </c>
      <c r="V32" s="8">
        <f t="shared" si="65"/>
        <v>-0.25419244822129239</v>
      </c>
      <c r="W32" s="8">
        <f t="shared" si="66"/>
        <v>0.30172739627959055</v>
      </c>
      <c r="X32" s="8">
        <f t="shared" si="67"/>
        <v>0.32852322995008171</v>
      </c>
      <c r="Y32" s="8">
        <f t="shared" si="68"/>
        <v>-0.2184621472510998</v>
      </c>
      <c r="Z32" s="8">
        <f t="shared" si="69"/>
        <v>-0.37655968165460874</v>
      </c>
      <c r="AA32" s="8">
        <f t="shared" si="70"/>
        <v>0.11771163302993987</v>
      </c>
      <c r="AB32" s="8">
        <f t="shared" si="71"/>
        <v>0.39445706360518878</v>
      </c>
      <c r="AC32" s="8">
        <f t="shared" si="72"/>
        <v>-7.5397195151748414E-3</v>
      </c>
      <c r="AD32" s="8">
        <f t="shared" si="73"/>
        <v>-0.38078290581286467</v>
      </c>
      <c r="AE32" s="8">
        <f t="shared" si="74"/>
        <v>-0.10323565778889852</v>
      </c>
      <c r="AF32" s="8">
        <f t="shared" si="75"/>
        <v>0.33663166000894928</v>
      </c>
      <c r="AG32" s="8">
        <f t="shared" si="76"/>
        <v>0.2057482633657321</v>
      </c>
      <c r="AH32" s="8">
        <f t="shared" si="77"/>
        <v>-0.26553710195817704</v>
      </c>
      <c r="AI32" s="8">
        <f t="shared" si="78"/>
        <v>-0.29179319711406604</v>
      </c>
      <c r="AJ32" s="8">
        <f t="shared" si="79"/>
        <v>0.17318949524586683</v>
      </c>
      <c r="AK32" s="8">
        <f t="shared" si="80"/>
        <v>0.35448359783617261</v>
      </c>
      <c r="AL32" s="8">
        <f t="shared" si="81"/>
        <v>-6.6980154173336845E-2</v>
      </c>
      <c r="AM32" s="8">
        <f t="shared" si="82"/>
        <v>-0.38880185357751512</v>
      </c>
      <c r="AN32" s="8">
        <f t="shared" si="83"/>
        <v>-4.4590141980443421E-2</v>
      </c>
      <c r="AO32" s="8">
        <f t="shared" si="84"/>
        <v>0.39200120106520003</v>
      </c>
      <c r="AP32" s="8">
        <f t="shared" si="85"/>
        <v>0.15259153401368472</v>
      </c>
      <c r="AQ32" s="8">
        <f t="shared" si="86"/>
        <v>-0.3638255710443481</v>
      </c>
      <c r="AR32" s="8">
        <f t="shared" si="87"/>
        <v>-0.24837981053946548</v>
      </c>
      <c r="AS32" s="8">
        <f t="shared" si="88"/>
        <v>0.30653008353956834</v>
      </c>
      <c r="AT32" s="8">
        <f t="shared" si="89"/>
        <v>0.32428827305428104</v>
      </c>
      <c r="AU32" s="8">
        <f t="shared" si="90"/>
        <v>-0.22470055264255029</v>
      </c>
      <c r="AV32" s="8">
        <f t="shared" si="91"/>
        <v>-0.37424136286688992</v>
      </c>
      <c r="AW32" s="8">
        <f t="shared" si="92"/>
        <v>0.12488644729484588</v>
      </c>
      <c r="AX32" s="8">
        <f t="shared" si="93"/>
        <v>0.3942409364382069</v>
      </c>
      <c r="AY32" s="8">
        <f t="shared" si="94"/>
        <v>-1.5076685137030843E-2</v>
      </c>
      <c r="AZ32" s="8">
        <f t="shared" si="95"/>
        <v>-0.38268626864474764</v>
      </c>
      <c r="BA32" s="8">
        <f t="shared" si="96"/>
        <v>-9.5939784183390206E-2</v>
      </c>
      <c r="BB32" s="8">
        <f t="shared" si="97"/>
        <v>0.34050217155635781</v>
      </c>
      <c r="BC32" s="8">
        <f t="shared" si="98"/>
        <v>0.19927742863606043</v>
      </c>
      <c r="BD32" s="8">
        <f t="shared" si="99"/>
        <v>-0.27106497436225829</v>
      </c>
      <c r="BE32" s="8">
        <f t="shared" si="100"/>
        <v>-0.28666531368894937</v>
      </c>
      <c r="BF32" s="8">
        <f t="shared" si="101"/>
        <v>0.17993228886134324</v>
      </c>
      <c r="BG32" s="8">
        <f t="shared" si="102"/>
        <v>0.35110909105791271</v>
      </c>
      <c r="BH32" s="8">
        <f t="shared" si="103"/>
        <v>-7.4398189536323142E-2</v>
      </c>
      <c r="BI32" s="8">
        <f t="shared" si="47"/>
        <v>-0.38745081209375831</v>
      </c>
      <c r="BM32">
        <v>0.163251521201394</v>
      </c>
      <c r="BN32">
        <v>0.10032406444598975</v>
      </c>
    </row>
    <row r="33" spans="1:66">
      <c r="A33" s="1">
        <v>31</v>
      </c>
      <c r="B33" s="5">
        <v>74050</v>
      </c>
      <c r="C33" s="8">
        <f t="shared" si="48"/>
        <v>11.212495819695945</v>
      </c>
      <c r="D33" s="8">
        <f t="shared" si="49"/>
        <v>3.5396363636363639</v>
      </c>
      <c r="E33" s="7">
        <f t="shared" si="50"/>
        <v>1.7741935483870968</v>
      </c>
      <c r="F33" s="8"/>
      <c r="G33" s="8"/>
      <c r="H33" s="8">
        <f t="shared" si="55"/>
        <v>-0.3758514409931909</v>
      </c>
      <c r="I33" s="8">
        <f t="shared" si="51"/>
        <v>-0.15804144795235792</v>
      </c>
      <c r="J33" s="8">
        <f t="shared" si="52"/>
        <v>0.28520841640730038</v>
      </c>
      <c r="K33" s="8">
        <f t="shared" si="53"/>
        <v>0.29137186579691576</v>
      </c>
      <c r="L33" s="8">
        <f t="shared" si="56"/>
        <v>-0.14997080061668111</v>
      </c>
      <c r="M33" s="8">
        <f t="shared" si="54"/>
        <v>-0.37914398838690244</v>
      </c>
      <c r="N33" s="8">
        <f t="shared" si="57"/>
        <v>-8.7159357517678348E-3</v>
      </c>
      <c r="O33" s="8">
        <f t="shared" si="58"/>
        <v>0.40763395029303801</v>
      </c>
      <c r="P33" s="8">
        <f t="shared" si="59"/>
        <v>0.16603986664374132</v>
      </c>
      <c r="Q33" s="8">
        <f t="shared" si="60"/>
        <v>-0.37238712068553675</v>
      </c>
      <c r="R33" s="8">
        <f t="shared" si="61"/>
        <v>-0.29740215141763199</v>
      </c>
      <c r="S33" s="8">
        <f t="shared" si="62"/>
        <v>0.2789146200895532</v>
      </c>
      <c r="T33" s="8">
        <f t="shared" si="63"/>
        <v>0.38226325809537443</v>
      </c>
      <c r="U33" s="8">
        <f t="shared" si="64"/>
        <v>-0.1418316131116229</v>
      </c>
      <c r="V33" s="8">
        <f t="shared" si="65"/>
        <v>-0.40735448160456961</v>
      </c>
      <c r="W33" s="8">
        <f t="shared" si="66"/>
        <v>-1.7427888116701068E-2</v>
      </c>
      <c r="X33" s="8">
        <f t="shared" si="67"/>
        <v>0.36875261073948179</v>
      </c>
      <c r="Y33" s="8">
        <f t="shared" si="68"/>
        <v>0.17396240122610448</v>
      </c>
      <c r="Z33" s="8">
        <f t="shared" si="69"/>
        <v>-0.27249335325604279</v>
      </c>
      <c r="AA33" s="8">
        <f t="shared" si="70"/>
        <v>-0.30329651728764279</v>
      </c>
      <c r="AB33" s="8">
        <f t="shared" si="71"/>
        <v>0.1336276052365562</v>
      </c>
      <c r="AC33" s="8">
        <f t="shared" si="72"/>
        <v>0.3852078245392726</v>
      </c>
      <c r="AD33" s="8">
        <f t="shared" si="73"/>
        <v>2.6131875528466918E-2</v>
      </c>
      <c r="AE33" s="8">
        <f t="shared" si="74"/>
        <v>-0.40688884237454903</v>
      </c>
      <c r="AF33" s="8">
        <f t="shared" si="75"/>
        <v>-0.18180543091553275</v>
      </c>
      <c r="AG33" s="8">
        <f t="shared" si="76"/>
        <v>0.36494957221122121</v>
      </c>
      <c r="AH33" s="8">
        <f t="shared" si="77"/>
        <v>0.30905226954365345</v>
      </c>
      <c r="AI33" s="8">
        <f t="shared" si="78"/>
        <v>-0.26594755057614822</v>
      </c>
      <c r="AJ33" s="8">
        <f t="shared" si="79"/>
        <v>-0.38797634198274794</v>
      </c>
      <c r="AK33" s="8">
        <f t="shared" si="80"/>
        <v>0.12536252641527987</v>
      </c>
      <c r="AL33" s="8">
        <f t="shared" si="81"/>
        <v>0.40623724541101341</v>
      </c>
      <c r="AM33" s="8">
        <f t="shared" si="82"/>
        <v>3.4823920060899925E-2</v>
      </c>
      <c r="AN33" s="8">
        <f t="shared" si="83"/>
        <v>-0.3609797431784591</v>
      </c>
      <c r="AO33" s="8">
        <f t="shared" si="84"/>
        <v>-0.1895653712637137</v>
      </c>
      <c r="AP33" s="8">
        <f t="shared" si="85"/>
        <v>0.25928020363504622</v>
      </c>
      <c r="AQ33" s="8">
        <f t="shared" si="86"/>
        <v>0.31466677767203977</v>
      </c>
      <c r="AR33" s="8">
        <f t="shared" si="87"/>
        <v>-0.11704015398245413</v>
      </c>
      <c r="AS33" s="8">
        <f t="shared" si="88"/>
        <v>-0.39056754514846642</v>
      </c>
      <c r="AT33" s="8">
        <f t="shared" si="89"/>
        <v>-4.3500049246013882E-2</v>
      </c>
      <c r="AU33" s="8">
        <f t="shared" si="90"/>
        <v>0.40539998850904069</v>
      </c>
      <c r="AV33" s="8">
        <f t="shared" si="91"/>
        <v>0.19723867579610913</v>
      </c>
      <c r="AW33" s="8">
        <f t="shared" si="92"/>
        <v>-0.35684493794606825</v>
      </c>
      <c r="AX33" s="8">
        <f t="shared" si="93"/>
        <v>-0.32013747571104534</v>
      </c>
      <c r="AY33" s="8">
        <f t="shared" si="94"/>
        <v>0.25249435956649757</v>
      </c>
      <c r="AZ33" s="8">
        <f t="shared" si="95"/>
        <v>0.39298024979587659</v>
      </c>
      <c r="BA33" s="8">
        <f t="shared" si="96"/>
        <v>-0.10866429145725093</v>
      </c>
      <c r="BB33" s="8">
        <f t="shared" si="97"/>
        <v>-0.40437745431464966</v>
      </c>
      <c r="BC33" s="8">
        <f t="shared" si="98"/>
        <v>-5.2156297889510608E-2</v>
      </c>
      <c r="BD33" s="8">
        <f t="shared" si="99"/>
        <v>0.35254704621690808</v>
      </c>
      <c r="BE33" s="8">
        <f t="shared" si="100"/>
        <v>0.20482183763278081</v>
      </c>
      <c r="BF33" s="8">
        <f t="shared" si="101"/>
        <v>-0.24559311966021061</v>
      </c>
      <c r="BG33" s="8">
        <f t="shared" si="102"/>
        <v>-0.3254618634235068</v>
      </c>
      <c r="BH33" s="8">
        <f t="shared" si="103"/>
        <v>0.10023876680508152</v>
      </c>
      <c r="BI33" s="8">
        <f t="shared" si="47"/>
        <v>0.39521335326242762</v>
      </c>
    </row>
    <row r="34" spans="1:66">
      <c r="A34" s="1">
        <v>32</v>
      </c>
      <c r="B34" s="5">
        <v>78773</v>
      </c>
      <c r="C34" s="8">
        <f t="shared" si="48"/>
        <v>11.274325577537704</v>
      </c>
      <c r="D34" s="8">
        <f t="shared" si="49"/>
        <v>3.6538181818181821</v>
      </c>
      <c r="E34" s="7">
        <f t="shared" si="50"/>
        <v>1.71875</v>
      </c>
      <c r="F34" s="8"/>
      <c r="G34" s="8"/>
      <c r="H34" s="8">
        <f t="shared" si="55"/>
        <v>-0.35735754004895059</v>
      </c>
      <c r="I34" s="8">
        <f t="shared" si="51"/>
        <v>-0.20093650519507011</v>
      </c>
      <c r="J34" s="8">
        <f t="shared" si="52"/>
        <v>0.21301013723650056</v>
      </c>
      <c r="K34" s="8">
        <f t="shared" si="53"/>
        <v>0.3502949785314271</v>
      </c>
      <c r="L34" s="8">
        <f t="shared" si="56"/>
        <v>-1.3985543567430061E-2</v>
      </c>
      <c r="M34" s="8">
        <f t="shared" si="54"/>
        <v>-0.40973686082773819</v>
      </c>
      <c r="N34" s="8">
        <f t="shared" si="57"/>
        <v>-0.18862897424699129</v>
      </c>
      <c r="O34" s="8">
        <f t="shared" si="58"/>
        <v>0.36400412171344121</v>
      </c>
      <c r="P34" s="8">
        <f t="shared" si="59"/>
        <v>0.34282465829229442</v>
      </c>
      <c r="Q34" s="8">
        <f t="shared" si="60"/>
        <v>-0.22483581613394549</v>
      </c>
      <c r="R34" s="8">
        <f t="shared" si="61"/>
        <v>-0.40902129442847651</v>
      </c>
      <c r="S34" s="8">
        <f t="shared" si="62"/>
        <v>2.7954807348635466E-2</v>
      </c>
      <c r="T34" s="8">
        <f t="shared" si="63"/>
        <v>0.37022698661227149</v>
      </c>
      <c r="U34" s="8">
        <f t="shared" si="64"/>
        <v>0.17610187089818977</v>
      </c>
      <c r="V34" s="8">
        <f t="shared" si="65"/>
        <v>-0.23639977627840331</v>
      </c>
      <c r="W34" s="8">
        <f t="shared" si="66"/>
        <v>-0.3349552751120165</v>
      </c>
      <c r="X34" s="8">
        <f t="shared" si="67"/>
        <v>4.189153050777833E-2</v>
      </c>
      <c r="Y34" s="8">
        <f t="shared" si="68"/>
        <v>0.40782960929971923</v>
      </c>
      <c r="Z34" s="8">
        <f t="shared" si="69"/>
        <v>0.16336977724649582</v>
      </c>
      <c r="AA34" s="8">
        <f t="shared" si="70"/>
        <v>-0.37601889105771819</v>
      </c>
      <c r="AB34" s="8">
        <f t="shared" si="71"/>
        <v>-0.32669598929782478</v>
      </c>
      <c r="AC34" s="8">
        <f t="shared" si="72"/>
        <v>0.24768855671298445</v>
      </c>
      <c r="AD34" s="8">
        <f t="shared" si="73"/>
        <v>0.4061631926152332</v>
      </c>
      <c r="AE34" s="8">
        <f t="shared" si="74"/>
        <v>-5.5779490087726535E-2</v>
      </c>
      <c r="AF34" s="8">
        <f t="shared" si="75"/>
        <v>-0.38137309301892791</v>
      </c>
      <c r="AG34" s="8">
        <f t="shared" si="76"/>
        <v>-0.15044751400745032</v>
      </c>
      <c r="AH34" s="8">
        <f t="shared" si="77"/>
        <v>0.25868901680204798</v>
      </c>
      <c r="AI34" s="8">
        <f t="shared" si="78"/>
        <v>0.31805641502072474</v>
      </c>
      <c r="AJ34" s="8">
        <f t="shared" si="79"/>
        <v>-6.9602519894303411E-2</v>
      </c>
      <c r="AK34" s="8">
        <f t="shared" si="80"/>
        <v>-0.40402398415713991</v>
      </c>
      <c r="AL34" s="8">
        <f t="shared" si="81"/>
        <v>-0.13735012326232679</v>
      </c>
      <c r="AM34" s="8">
        <f t="shared" si="82"/>
        <v>0.38628335996994412</v>
      </c>
      <c r="AN34" s="8">
        <f t="shared" si="83"/>
        <v>0.30904660912416859</v>
      </c>
      <c r="AO34" s="8">
        <f t="shared" si="84"/>
        <v>-0.26938835152749108</v>
      </c>
      <c r="AP34" s="8">
        <f t="shared" si="85"/>
        <v>-0.40141447405792707</v>
      </c>
      <c r="AQ34" s="8">
        <f t="shared" si="86"/>
        <v>8.3344529314428137E-2</v>
      </c>
      <c r="AR34" s="8">
        <f t="shared" si="87"/>
        <v>0.39074397614463308</v>
      </c>
      <c r="AS34" s="8">
        <f t="shared" si="88"/>
        <v>0.12409285094850619</v>
      </c>
      <c r="AT34" s="8">
        <f t="shared" si="89"/>
        <v>-0.27977410639433692</v>
      </c>
      <c r="AU34" s="8">
        <f t="shared" si="90"/>
        <v>-0.29967705941746026</v>
      </c>
      <c r="AV34" s="8">
        <f t="shared" si="91"/>
        <v>9.6989522046306731E-2</v>
      </c>
      <c r="AW34" s="8">
        <f t="shared" si="92"/>
        <v>0.39833769990182294</v>
      </c>
      <c r="AX34" s="8">
        <f t="shared" si="93"/>
        <v>0.11069112911252656</v>
      </c>
      <c r="AY34" s="8">
        <f t="shared" si="94"/>
        <v>-0.39474974919009098</v>
      </c>
      <c r="AZ34" s="8">
        <f t="shared" si="95"/>
        <v>-0.28995867246747797</v>
      </c>
      <c r="BA34" s="8">
        <f t="shared" si="96"/>
        <v>0.28983419192832238</v>
      </c>
      <c r="BB34" s="8">
        <f t="shared" si="97"/>
        <v>0.39479724318891757</v>
      </c>
      <c r="BC34" s="8">
        <f t="shared" si="98"/>
        <v>-0.11052161471982069</v>
      </c>
      <c r="BD34" s="8">
        <f t="shared" si="99"/>
        <v>-0.39829601621076788</v>
      </c>
      <c r="BE34" s="8">
        <f t="shared" si="100"/>
        <v>-9.7160557946511933E-2</v>
      </c>
      <c r="BF34" s="8">
        <f t="shared" si="101"/>
        <v>0.29955689774857019</v>
      </c>
      <c r="BG34" s="8">
        <f t="shared" si="102"/>
        <v>0.27990276090295796</v>
      </c>
      <c r="BH34" s="8">
        <f t="shared" si="103"/>
        <v>-0.12392505538548895</v>
      </c>
      <c r="BI34" s="8">
        <f t="shared" si="47"/>
        <v>-0.39079722516613302</v>
      </c>
      <c r="BM34">
        <v>0.28326478524553739</v>
      </c>
      <c r="BN34">
        <v>0.17457182641486363</v>
      </c>
    </row>
    <row r="35" spans="1:66">
      <c r="A35" s="1">
        <v>33</v>
      </c>
      <c r="B35" s="5">
        <v>33899</v>
      </c>
      <c r="C35" s="8">
        <f t="shared" si="48"/>
        <v>10.431140794408378</v>
      </c>
      <c r="D35" s="8">
        <f t="shared" si="49"/>
        <v>3.7680000000000002</v>
      </c>
      <c r="E35" s="7">
        <f t="shared" si="50"/>
        <v>1.6666666666666665</v>
      </c>
      <c r="F35" s="8"/>
      <c r="G35" s="8"/>
      <c r="H35" s="8">
        <f t="shared" si="55"/>
        <v>-0.30729719063491084</v>
      </c>
      <c r="I35" s="8">
        <f t="shared" si="51"/>
        <v>-0.22236840394090243</v>
      </c>
      <c r="J35" s="8">
        <f t="shared" si="52"/>
        <v>0.11859259429586498</v>
      </c>
      <c r="K35" s="8">
        <f t="shared" si="53"/>
        <v>0.36029858037676121</v>
      </c>
      <c r="L35" s="8">
        <f t="shared" si="56"/>
        <v>0.11514424709283662</v>
      </c>
      <c r="M35" s="8">
        <f t="shared" si="54"/>
        <v>-0.36141537433368393</v>
      </c>
      <c r="N35" s="8">
        <f t="shared" si="57"/>
        <v>-0.30515825754146564</v>
      </c>
      <c r="O35" s="8">
        <f t="shared" si="58"/>
        <v>0.22529471431347345</v>
      </c>
      <c r="P35" s="8">
        <f t="shared" si="59"/>
        <v>0.37929689217826401</v>
      </c>
      <c r="Q35" s="8">
        <f t="shared" si="60"/>
        <v>-3.6246416710428663E-3</v>
      </c>
      <c r="R35" s="8">
        <f t="shared" si="61"/>
        <v>-0.30940806290334621</v>
      </c>
      <c r="S35" s="8">
        <f t="shared" si="62"/>
        <v>-0.21942178801051651</v>
      </c>
      <c r="T35" s="8">
        <f t="shared" si="63"/>
        <v>0.12203011222307361</v>
      </c>
      <c r="U35" s="8">
        <f t="shared" si="64"/>
        <v>0.35914888577602067</v>
      </c>
      <c r="V35" s="8">
        <f t="shared" si="65"/>
        <v>0.11168538549961222</v>
      </c>
      <c r="W35" s="8">
        <f t="shared" si="66"/>
        <v>-0.36249916566681373</v>
      </c>
      <c r="X35" s="8">
        <f t="shared" si="67"/>
        <v>-0.30299145893956025</v>
      </c>
      <c r="Y35" s="8">
        <f t="shared" si="68"/>
        <v>0.22820045191236996</v>
      </c>
      <c r="Z35" s="8">
        <f t="shared" si="69"/>
        <v>0.37924493817721872</v>
      </c>
      <c r="AA35" s="8">
        <f t="shared" si="70"/>
        <v>-7.2489523581433001E-3</v>
      </c>
      <c r="AB35" s="8">
        <f t="shared" si="71"/>
        <v>-0.3114906815925938</v>
      </c>
      <c r="AC35" s="8">
        <f t="shared" si="72"/>
        <v>-0.21645513559237728</v>
      </c>
      <c r="AD35" s="8">
        <f t="shared" si="73"/>
        <v>0.12545648697771411</v>
      </c>
      <c r="AE35" s="8">
        <f t="shared" si="74"/>
        <v>0.35796639551575754</v>
      </c>
      <c r="AF35" s="8">
        <f t="shared" si="75"/>
        <v>0.10821632536193516</v>
      </c>
      <c r="AG35" s="8">
        <f t="shared" si="76"/>
        <v>-0.36354985540980878</v>
      </c>
      <c r="AH35" s="8">
        <f t="shared" si="77"/>
        <v>-0.30079699269028431</v>
      </c>
      <c r="AI35" s="8">
        <f t="shared" si="78"/>
        <v>0.23108535140033029</v>
      </c>
      <c r="AJ35" s="8">
        <f t="shared" si="79"/>
        <v>0.37915835344679999</v>
      </c>
      <c r="AK35" s="8">
        <f t="shared" si="80"/>
        <v>-1.0872601107581299E-2</v>
      </c>
      <c r="AL35" s="8">
        <f t="shared" si="81"/>
        <v>-0.31354485652844888</v>
      </c>
      <c r="AM35" s="8">
        <f t="shared" si="82"/>
        <v>-0.21346871758617819</v>
      </c>
      <c r="AN35" s="8">
        <f t="shared" si="83"/>
        <v>0.12887140568057689</v>
      </c>
      <c r="AO35" s="8">
        <f t="shared" si="84"/>
        <v>0.35675121757500033</v>
      </c>
      <c r="AP35" s="8">
        <f t="shared" si="85"/>
        <v>0.10473738345682855</v>
      </c>
      <c r="AQ35" s="8">
        <f t="shared" si="86"/>
        <v>-0.36456734761899662</v>
      </c>
      <c r="AR35" s="8">
        <f t="shared" si="87"/>
        <v>-0.29857505918119226</v>
      </c>
      <c r="AS35" s="8">
        <f t="shared" si="88"/>
        <v>0.2339491493429301</v>
      </c>
      <c r="AT35" s="8">
        <f t="shared" si="89"/>
        <v>0.37903714589348725</v>
      </c>
      <c r="AU35" s="8">
        <f t="shared" si="90"/>
        <v>-1.4495257026087048E-2</v>
      </c>
      <c r="AV35" s="8">
        <f t="shared" si="91"/>
        <v>-0.31557040013404936</v>
      </c>
      <c r="AW35" s="8">
        <f t="shared" si="92"/>
        <v>-0.21046280669650172</v>
      </c>
      <c r="AX35" s="8">
        <f t="shared" si="93"/>
        <v>0.13227455649855632</v>
      </c>
      <c r="AY35" s="8">
        <f t="shared" si="94"/>
        <v>0.35550346291765333</v>
      </c>
      <c r="AZ35" s="8">
        <f t="shared" si="95"/>
        <v>0.1012488774636731</v>
      </c>
      <c r="BA35" s="8">
        <f t="shared" si="96"/>
        <v>-0.36555154938213463</v>
      </c>
      <c r="BB35" s="8">
        <f t="shared" si="97"/>
        <v>-0.29632586130801608</v>
      </c>
      <c r="BC35" s="8">
        <f t="shared" si="98"/>
        <v>0.23679158423262323</v>
      </c>
      <c r="BD35" s="8">
        <f t="shared" si="99"/>
        <v>0.37888132658534146</v>
      </c>
      <c r="BE35" s="8">
        <f t="shared" si="100"/>
        <v>-1.8116589311041605E-2</v>
      </c>
      <c r="BF35" s="8">
        <f t="shared" si="101"/>
        <v>-0.31756712744699639</v>
      </c>
      <c r="BG35" s="8">
        <f t="shared" si="102"/>
        <v>-0.20743767740792959</v>
      </c>
      <c r="BH35" s="8">
        <f t="shared" si="103"/>
        <v>0.13566562867313681</v>
      </c>
      <c r="BI35" s="8">
        <f t="shared" si="47"/>
        <v>0.35422324548235912</v>
      </c>
    </row>
    <row r="36" spans="1:66">
      <c r="A36" s="1">
        <v>34</v>
      </c>
      <c r="B36" s="5">
        <v>18886</v>
      </c>
      <c r="C36" s="8">
        <f t="shared" si="48"/>
        <v>9.8461761858230137</v>
      </c>
      <c r="D36" s="8">
        <f t="shared" si="49"/>
        <v>3.8821818181818184</v>
      </c>
      <c r="E36" s="7">
        <f t="shared" si="50"/>
        <v>1.6176470588235294</v>
      </c>
      <c r="F36" s="8"/>
      <c r="G36" s="8"/>
      <c r="H36" s="8">
        <f t="shared" si="55"/>
        <v>-0.26426104431457176</v>
      </c>
      <c r="I36" s="8">
        <f t="shared" si="51"/>
        <v>-0.24157964709153459</v>
      </c>
      <c r="J36" s="8">
        <f t="shared" si="52"/>
        <v>3.2044142773072194E-2</v>
      </c>
      <c r="K36" s="8">
        <f t="shared" si="53"/>
        <v>0.356605942666464</v>
      </c>
      <c r="L36" s="8">
        <f t="shared" si="56"/>
        <v>0.21695932880125937</v>
      </c>
      <c r="M36" s="8">
        <f t="shared" si="54"/>
        <v>-0.28482147931152502</v>
      </c>
      <c r="N36" s="8">
        <f t="shared" si="57"/>
        <v>-0.35230699148127192</v>
      </c>
      <c r="O36" s="8">
        <f t="shared" si="58"/>
        <v>6.3831098882233289E-2</v>
      </c>
      <c r="P36" s="8">
        <f t="shared" si="59"/>
        <v>0.30309593379113015</v>
      </c>
      <c r="Q36" s="8">
        <f t="shared" si="60"/>
        <v>0.19059769240570915</v>
      </c>
      <c r="R36" s="8">
        <f t="shared" si="61"/>
        <v>-9.5105745846738601E-2</v>
      </c>
      <c r="S36" s="8">
        <f t="shared" si="62"/>
        <v>-0.34518042027037693</v>
      </c>
      <c r="T36" s="8">
        <f t="shared" si="63"/>
        <v>-0.16270631670628144</v>
      </c>
      <c r="U36" s="8">
        <f t="shared" si="64"/>
        <v>0.31893773676843845</v>
      </c>
      <c r="V36" s="8">
        <f t="shared" si="65"/>
        <v>0.33528342697749786</v>
      </c>
      <c r="W36" s="8">
        <f t="shared" si="66"/>
        <v>-0.12561707298501801</v>
      </c>
      <c r="X36" s="8">
        <f t="shared" si="67"/>
        <v>-0.33221974174784874</v>
      </c>
      <c r="Y36" s="8">
        <f t="shared" si="68"/>
        <v>-0.1335090582098877</v>
      </c>
      <c r="Z36" s="8">
        <f t="shared" si="69"/>
        <v>0.15512019602933494</v>
      </c>
      <c r="AA36" s="8">
        <f t="shared" si="70"/>
        <v>0.32269544498632019</v>
      </c>
      <c r="AB36" s="8">
        <f t="shared" si="71"/>
        <v>0.10324025445400137</v>
      </c>
      <c r="AC36" s="8">
        <f t="shared" si="72"/>
        <v>-0.34283534720237285</v>
      </c>
      <c r="AD36" s="8">
        <f t="shared" si="73"/>
        <v>-0.3075175055872284</v>
      </c>
      <c r="AE36" s="8">
        <f t="shared" si="74"/>
        <v>0.18337832256978306</v>
      </c>
      <c r="AF36" s="8">
        <f t="shared" si="75"/>
        <v>0.35069935215872733</v>
      </c>
      <c r="AG36" s="8">
        <f t="shared" si="76"/>
        <v>7.2142843210864921E-2</v>
      </c>
      <c r="AH36" s="8">
        <f t="shared" si="77"/>
        <v>-0.21016465255292174</v>
      </c>
      <c r="AI36" s="8">
        <f t="shared" si="78"/>
        <v>-0.28987142709899533</v>
      </c>
      <c r="AJ36" s="8">
        <f t="shared" si="79"/>
        <v>-4.0466412666075154E-2</v>
      </c>
      <c r="AK36" s="8">
        <f t="shared" si="80"/>
        <v>0.35574864002134626</v>
      </c>
      <c r="AL36" s="8">
        <f t="shared" si="81"/>
        <v>0.26989883715353136</v>
      </c>
      <c r="AM36" s="8">
        <f t="shared" si="82"/>
        <v>-0.23526419858165845</v>
      </c>
      <c r="AN36" s="8">
        <f t="shared" si="83"/>
        <v>-0.35794268514690886</v>
      </c>
      <c r="AO36" s="8">
        <f t="shared" si="84"/>
        <v>-8.4651982209121152E-3</v>
      </c>
      <c r="AP36" s="8">
        <f t="shared" si="85"/>
        <v>0.25847551140661051</v>
      </c>
      <c r="AQ36" s="8">
        <f t="shared" si="86"/>
        <v>0.24776003599085472</v>
      </c>
      <c r="AR36" s="8">
        <f t="shared" si="87"/>
        <v>-2.3603958003976491E-2</v>
      </c>
      <c r="AS36" s="8">
        <f t="shared" si="88"/>
        <v>-0.35726387810362942</v>
      </c>
      <c r="AT36" s="8">
        <f t="shared" si="89"/>
        <v>-0.22363270988749773</v>
      </c>
      <c r="AU36" s="8">
        <f t="shared" si="90"/>
        <v>0.27961229676012594</v>
      </c>
      <c r="AV36" s="8">
        <f t="shared" si="91"/>
        <v>0.35371766700475943</v>
      </c>
      <c r="AW36" s="8">
        <f t="shared" si="92"/>
        <v>-5.5483668586428364E-2</v>
      </c>
      <c r="AX36" s="8">
        <f t="shared" si="93"/>
        <v>-0.29850491055625494</v>
      </c>
      <c r="AY36" s="8">
        <f t="shared" si="94"/>
        <v>-0.19771050504437221</v>
      </c>
      <c r="AZ36" s="8">
        <f t="shared" si="95"/>
        <v>8.6918066597203483E-2</v>
      </c>
      <c r="BA36" s="8">
        <f t="shared" si="96"/>
        <v>0.34733251378197028</v>
      </c>
      <c r="BB36" s="8">
        <f t="shared" si="97"/>
        <v>0.17020147338011732</v>
      </c>
      <c r="BC36" s="8">
        <f t="shared" si="98"/>
        <v>-0.31500172045615193</v>
      </c>
      <c r="BD36" s="8">
        <f t="shared" si="99"/>
        <v>-0.33815966574955436</v>
      </c>
      <c r="BE36" s="8">
        <f t="shared" si="100"/>
        <v>0.1176548591909749</v>
      </c>
      <c r="BF36" s="8">
        <f t="shared" si="101"/>
        <v>0.32897032287101535</v>
      </c>
      <c r="BG36" s="8">
        <f t="shared" si="102"/>
        <v>0.14132640270394772</v>
      </c>
      <c r="BH36" s="8">
        <f t="shared" si="103"/>
        <v>-0.1474473525116298</v>
      </c>
      <c r="BI36" s="8">
        <f t="shared" si="47"/>
        <v>-0.326272744292884</v>
      </c>
      <c r="BM36">
        <v>0.12603615487791134</v>
      </c>
      <c r="BN36">
        <v>7.7385782641622824E-2</v>
      </c>
    </row>
    <row r="37" spans="1:66">
      <c r="A37" s="1">
        <v>35</v>
      </c>
      <c r="B37" s="5">
        <v>11520</v>
      </c>
      <c r="C37" s="8">
        <f t="shared" si="48"/>
        <v>9.3518399342498828</v>
      </c>
      <c r="D37" s="8">
        <f t="shared" si="49"/>
        <v>3.9963636363636366</v>
      </c>
      <c r="E37" s="7">
        <f t="shared" si="50"/>
        <v>1.5714285714285714</v>
      </c>
      <c r="F37" s="8"/>
      <c r="G37" s="8"/>
      <c r="H37" s="8">
        <f t="shared" si="55"/>
        <v>-0.22321695974654196</v>
      </c>
      <c r="I37" s="8">
        <f t="shared" si="51"/>
        <v>-0.25655348353513791</v>
      </c>
      <c r="J37" s="8">
        <f t="shared" si="52"/>
        <v>-4.7031564908003899E-2</v>
      </c>
      <c r="K37" s="8">
        <f t="shared" si="53"/>
        <v>0.33679895031725948</v>
      </c>
      <c r="L37" s="8">
        <f t="shared" si="56"/>
        <v>0.28495918002173182</v>
      </c>
      <c r="M37" s="8">
        <f t="shared" si="54"/>
        <v>-0.18559031966631725</v>
      </c>
      <c r="N37" s="8">
        <f t="shared" si="57"/>
        <v>-0.32705788962649868</v>
      </c>
      <c r="O37" s="8">
        <f t="shared" si="58"/>
        <v>-9.3159207089608689E-2</v>
      </c>
      <c r="P37" s="8">
        <f t="shared" si="59"/>
        <v>0.14439672815519267</v>
      </c>
      <c r="Q37" s="8">
        <f t="shared" si="60"/>
        <v>0.3078881061856385</v>
      </c>
      <c r="R37" s="8">
        <f t="shared" si="61"/>
        <v>0.13749637675288837</v>
      </c>
      <c r="S37" s="8">
        <f t="shared" si="62"/>
        <v>-0.3110309428534907</v>
      </c>
      <c r="T37" s="8">
        <f t="shared" si="63"/>
        <v>-0.32489957974269318</v>
      </c>
      <c r="U37" s="8">
        <f t="shared" si="64"/>
        <v>0.10042790506390614</v>
      </c>
      <c r="V37" s="8">
        <f t="shared" si="65"/>
        <v>0.28902613975338531</v>
      </c>
      <c r="W37" s="8">
        <f t="shared" si="66"/>
        <v>0.17919093607590811</v>
      </c>
      <c r="X37" s="8">
        <f t="shared" si="67"/>
        <v>-5.4528908780860356E-2</v>
      </c>
      <c r="Y37" s="8">
        <f t="shared" si="68"/>
        <v>-0.33566664883433417</v>
      </c>
      <c r="Z37" s="8">
        <f t="shared" si="69"/>
        <v>-0.2174415368617087</v>
      </c>
      <c r="AA37" s="8">
        <f t="shared" si="70"/>
        <v>0.2614664014356754</v>
      </c>
      <c r="AB37" s="8">
        <f t="shared" si="71"/>
        <v>0.33998237587582059</v>
      </c>
      <c r="AC37" s="8">
        <f t="shared" si="72"/>
        <v>-7.5818946402506785E-3</v>
      </c>
      <c r="AD37" s="8">
        <f t="shared" si="73"/>
        <v>-0.22888141203585144</v>
      </c>
      <c r="AE37" s="8">
        <f t="shared" si="74"/>
        <v>-0.25151302204255427</v>
      </c>
      <c r="AF37" s="8">
        <f t="shared" si="75"/>
        <v>-3.951083965421507E-2</v>
      </c>
      <c r="AG37" s="8">
        <f t="shared" si="76"/>
        <v>0.3377638147912273</v>
      </c>
      <c r="AH37" s="8">
        <f t="shared" si="77"/>
        <v>0.28075055502439722</v>
      </c>
      <c r="AI37" s="8">
        <f t="shared" si="78"/>
        <v>-0.19189743845605783</v>
      </c>
      <c r="AJ37" s="8">
        <f t="shared" si="79"/>
        <v>-0.32905360519478344</v>
      </c>
      <c r="AK37" s="8">
        <f t="shared" si="80"/>
        <v>-8.5844195731680895E-2</v>
      </c>
      <c r="AL37" s="8">
        <f t="shared" si="81"/>
        <v>0.15122529383416733</v>
      </c>
      <c r="AM37" s="8">
        <f t="shared" si="82"/>
        <v>0.30459220531273173</v>
      </c>
      <c r="AN37" s="8">
        <f t="shared" si="83"/>
        <v>0.13052767008390323</v>
      </c>
      <c r="AO37" s="8">
        <f t="shared" si="84"/>
        <v>-0.31401915287920146</v>
      </c>
      <c r="AP37" s="8">
        <f t="shared" si="85"/>
        <v>-0.32257974853053289</v>
      </c>
      <c r="AQ37" s="8">
        <f t="shared" si="86"/>
        <v>0.10764667607725632</v>
      </c>
      <c r="AR37" s="8">
        <f t="shared" si="87"/>
        <v>0.29294941236159205</v>
      </c>
      <c r="AS37" s="8">
        <f t="shared" si="88"/>
        <v>0.17270246908918668</v>
      </c>
      <c r="AT37" s="8">
        <f t="shared" si="89"/>
        <v>-6.1999144025913534E-2</v>
      </c>
      <c r="AU37" s="8">
        <f t="shared" si="90"/>
        <v>-0.33436747325742922</v>
      </c>
      <c r="AV37" s="8">
        <f t="shared" si="91"/>
        <v>-0.21155801458843637</v>
      </c>
      <c r="AW37" s="8">
        <f t="shared" si="92"/>
        <v>0.26624933332480394</v>
      </c>
      <c r="AX37" s="8">
        <f t="shared" si="93"/>
        <v>0.33972882542714444</v>
      </c>
      <c r="AY37" s="8">
        <f t="shared" si="94"/>
        <v>-1.5160019999867913E-2</v>
      </c>
      <c r="AZ37" s="8">
        <f t="shared" si="95"/>
        <v>-0.23443207769072841</v>
      </c>
      <c r="BA37" s="8">
        <f t="shared" si="96"/>
        <v>-0.24634752278460575</v>
      </c>
      <c r="BB37" s="8">
        <f t="shared" si="97"/>
        <v>-3.1970471890240382E-2</v>
      </c>
      <c r="BC37" s="8">
        <f t="shared" si="98"/>
        <v>0.33856076258128159</v>
      </c>
      <c r="BD37" s="8">
        <f t="shared" si="99"/>
        <v>0.27640235704694549</v>
      </c>
      <c r="BE37" s="8">
        <f t="shared" si="100"/>
        <v>-0.198109156909509</v>
      </c>
      <c r="BF37" s="8">
        <f t="shared" si="101"/>
        <v>-0.3308857342928947</v>
      </c>
      <c r="BG37" s="8">
        <f t="shared" si="102"/>
        <v>-7.8486507591785881E-2</v>
      </c>
      <c r="BH37" s="8">
        <f t="shared" si="103"/>
        <v>0.15797867902087956</v>
      </c>
      <c r="BI37" s="8">
        <f t="shared" si="47"/>
        <v>0.30114487876655238</v>
      </c>
    </row>
    <row r="38" spans="1:66">
      <c r="A38" s="1">
        <v>36</v>
      </c>
      <c r="B38" s="5">
        <v>8352</v>
      </c>
      <c r="C38" s="8">
        <f t="shared" si="48"/>
        <v>9.0302563101224198</v>
      </c>
      <c r="D38" s="8">
        <f t="shared" si="49"/>
        <v>4.1105454545454547</v>
      </c>
      <c r="E38" s="7">
        <f t="shared" si="50"/>
        <v>1.5277777777777777</v>
      </c>
      <c r="F38" s="8"/>
      <c r="G38" s="8"/>
      <c r="H38" s="8">
        <f t="shared" si="55"/>
        <v>-0.18591263162490398</v>
      </c>
      <c r="I38" s="8">
        <f t="shared" si="51"/>
        <v>-0.27067562157504627</v>
      </c>
      <c r="J38" s="8">
        <f t="shared" si="52"/>
        <v>-0.11785923512866853</v>
      </c>
      <c r="K38" s="8">
        <f t="shared" si="53"/>
        <v>0.30649306583937608</v>
      </c>
      <c r="L38" s="8">
        <f t="shared" si="56"/>
        <v>0.31936771746481657</v>
      </c>
      <c r="M38" s="8">
        <f t="shared" si="54"/>
        <v>-7.6374470564763944E-2</v>
      </c>
      <c r="N38" s="8">
        <f t="shared" si="57"/>
        <v>-0.2437691608322749</v>
      </c>
      <c r="O38" s="8">
        <f t="shared" si="58"/>
        <v>-0.22001226088530473</v>
      </c>
      <c r="P38" s="8">
        <f t="shared" si="59"/>
        <v>-4.3341538875766736E-2</v>
      </c>
      <c r="Q38" s="8">
        <f t="shared" si="60"/>
        <v>0.32550009173672334</v>
      </c>
      <c r="R38" s="8">
        <f t="shared" si="61"/>
        <v>0.29284591569823559</v>
      </c>
      <c r="S38" s="8">
        <f t="shared" si="62"/>
        <v>-0.14855998240305762</v>
      </c>
      <c r="T38" s="8">
        <f t="shared" si="63"/>
        <v>-0.28825552922593806</v>
      </c>
      <c r="U38" s="8">
        <f t="shared" si="64"/>
        <v>-0.1572817490473998</v>
      </c>
      <c r="V38" s="8">
        <f t="shared" si="65"/>
        <v>3.3553338078353541E-2</v>
      </c>
      <c r="W38" s="8">
        <f t="shared" si="66"/>
        <v>0.32665420893742458</v>
      </c>
      <c r="X38" s="8">
        <f t="shared" si="67"/>
        <v>0.25026220941036476</v>
      </c>
      <c r="Y38" s="8">
        <f t="shared" si="68"/>
        <v>-0.21259733124801369</v>
      </c>
      <c r="Z38" s="8">
        <f t="shared" si="69"/>
        <v>-0.31693176491851244</v>
      </c>
      <c r="AA38" s="8">
        <f t="shared" si="70"/>
        <v>-8.5924705983620855E-2</v>
      </c>
      <c r="AB38" s="8">
        <f t="shared" si="71"/>
        <v>0.10860789394996836</v>
      </c>
      <c r="AC38" s="8">
        <f t="shared" si="72"/>
        <v>0.30989211684792389</v>
      </c>
      <c r="AD38" s="8">
        <f t="shared" si="73"/>
        <v>0.19395221398080595</v>
      </c>
      <c r="AE38" s="8">
        <f t="shared" si="74"/>
        <v>-0.26497422026430906</v>
      </c>
      <c r="AF38" s="8">
        <f t="shared" si="75"/>
        <v>-0.32822504433612049</v>
      </c>
      <c r="AG38" s="8">
        <f t="shared" si="76"/>
        <v>-9.8548964117671674E-3</v>
      </c>
      <c r="AH38" s="8">
        <f t="shared" si="77"/>
        <v>0.1777055642057348</v>
      </c>
      <c r="AI38" s="8">
        <f t="shared" si="78"/>
        <v>0.2761331764983273</v>
      </c>
      <c r="AJ38" s="8">
        <f t="shared" si="79"/>
        <v>0.12700439922150114</v>
      </c>
      <c r="AK38" s="8">
        <f t="shared" si="80"/>
        <v>-0.30281790120651797</v>
      </c>
      <c r="AL38" s="8">
        <f t="shared" si="81"/>
        <v>-0.32151595786430498</v>
      </c>
      <c r="AM38" s="8">
        <f t="shared" si="82"/>
        <v>6.6755430875198238E-2</v>
      </c>
      <c r="AN38" s="8">
        <f t="shared" si="83"/>
        <v>0.23705650537235065</v>
      </c>
      <c r="AO38" s="8">
        <f t="shared" si="84"/>
        <v>0.22722898576850534</v>
      </c>
      <c r="AP38" s="8">
        <f t="shared" si="85"/>
        <v>5.3090694126260003E-2</v>
      </c>
      <c r="AQ38" s="8">
        <f t="shared" si="86"/>
        <v>-0.32405273785284827</v>
      </c>
      <c r="AR38" s="8">
        <f t="shared" si="87"/>
        <v>-0.29717248299757343</v>
      </c>
      <c r="AS38" s="8">
        <f t="shared" si="88"/>
        <v>0.13970438096850021</v>
      </c>
      <c r="AT38" s="8">
        <f t="shared" si="89"/>
        <v>0.28340545897030833</v>
      </c>
      <c r="AU38" s="8">
        <f t="shared" si="90"/>
        <v>0.16586182363209384</v>
      </c>
      <c r="AV38" s="8">
        <f t="shared" si="91"/>
        <v>-2.3734909733186784E-2</v>
      </c>
      <c r="AW38" s="8">
        <f t="shared" si="92"/>
        <v>-0.32751404973327841</v>
      </c>
      <c r="AX38" s="8">
        <f t="shared" si="93"/>
        <v>-0.25652980164581718</v>
      </c>
      <c r="AY38" s="8">
        <f t="shared" si="94"/>
        <v>0.2049908768220981</v>
      </c>
      <c r="AZ38" s="8">
        <f t="shared" si="95"/>
        <v>0.31421029472752376</v>
      </c>
      <c r="BA38" s="8">
        <f t="shared" si="96"/>
        <v>9.5397533510974825E-2</v>
      </c>
      <c r="BB38" s="8">
        <f t="shared" si="97"/>
        <v>-9.9258710038204911E-2</v>
      </c>
      <c r="BC38" s="8">
        <f t="shared" si="98"/>
        <v>-0.31301199209341235</v>
      </c>
      <c r="BD38" s="8">
        <f t="shared" si="99"/>
        <v>-0.20181706857052453</v>
      </c>
      <c r="BE38" s="8">
        <f t="shared" si="100"/>
        <v>0.25903410884733907</v>
      </c>
      <c r="BF38" s="8">
        <f t="shared" si="101"/>
        <v>0.32778144040070073</v>
      </c>
      <c r="BG38" s="8">
        <f t="shared" si="102"/>
        <v>1.9700914739594653E-2</v>
      </c>
      <c r="BH38" s="8">
        <f t="shared" si="103"/>
        <v>-0.16933840531024025</v>
      </c>
      <c r="BI38" s="8">
        <f t="shared" si="47"/>
        <v>-0.28134196842938258</v>
      </c>
      <c r="BM38">
        <v>3.4420215630416716E-2</v>
      </c>
      <c r="BN38">
        <v>2.1088273467871194E-2</v>
      </c>
    </row>
    <row r="39" spans="1:66">
      <c r="A39" s="1">
        <v>37</v>
      </c>
      <c r="B39" s="5">
        <v>8660</v>
      </c>
      <c r="C39" s="8">
        <f t="shared" si="48"/>
        <v>9.0664700015564801</v>
      </c>
      <c r="D39" s="8">
        <f t="shared" si="49"/>
        <v>4.2247272727272733</v>
      </c>
      <c r="E39" s="7">
        <f t="shared" si="50"/>
        <v>1.4864864864864864</v>
      </c>
      <c r="F39" s="8"/>
      <c r="G39" s="8"/>
      <c r="H39" s="8">
        <f t="shared" si="55"/>
        <v>-0.15447993970777021</v>
      </c>
      <c r="I39" s="8">
        <f t="shared" si="51"/>
        <v>-0.29125817495473744</v>
      </c>
      <c r="J39" s="8">
        <f t="shared" si="52"/>
        <v>-0.18492312875054939</v>
      </c>
      <c r="K39" s="8">
        <f t="shared" si="53"/>
        <v>0.27294470631098244</v>
      </c>
      <c r="L39" s="8">
        <f t="shared" si="56"/>
        <v>0.32777563887491123</v>
      </c>
      <c r="M39" s="8">
        <f t="shared" si="54"/>
        <v>3.547543953532524E-2</v>
      </c>
      <c r="N39" s="8">
        <f t="shared" si="57"/>
        <v>-0.12224292934382137</v>
      </c>
      <c r="O39" s="8">
        <f t="shared" si="58"/>
        <v>-0.30618955317829216</v>
      </c>
      <c r="P39" s="8">
        <f t="shared" si="59"/>
        <v>-0.21321899010950313</v>
      </c>
      <c r="Q39" s="8">
        <f t="shared" si="60"/>
        <v>0.25146180327589385</v>
      </c>
      <c r="R39" s="8">
        <f t="shared" si="61"/>
        <v>0.32205532823839922</v>
      </c>
      <c r="S39" s="8">
        <f t="shared" si="62"/>
        <v>7.0538938206764129E-2</v>
      </c>
      <c r="T39" s="8">
        <f t="shared" si="63"/>
        <v>-8.858643387757334E-2</v>
      </c>
      <c r="U39" s="8">
        <f t="shared" si="64"/>
        <v>-0.31756545779246059</v>
      </c>
      <c r="V39" s="8">
        <f t="shared" si="65"/>
        <v>-0.23903895219467369</v>
      </c>
      <c r="W39" s="8">
        <f t="shared" si="66"/>
        <v>0.22705892535584948</v>
      </c>
      <c r="X39" s="8">
        <f t="shared" si="67"/>
        <v>0.31259531058566786</v>
      </c>
      <c r="Y39" s="8">
        <f t="shared" si="68"/>
        <v>0.10478333860843798</v>
      </c>
      <c r="Z39" s="8">
        <f t="shared" si="69"/>
        <v>-5.3901272591308641E-2</v>
      </c>
      <c r="AA39" s="8">
        <f t="shared" si="70"/>
        <v>-0.32525379177362124</v>
      </c>
      <c r="AB39" s="8">
        <f t="shared" si="71"/>
        <v>-0.26208319356265597</v>
      </c>
      <c r="AC39" s="8">
        <f t="shared" si="72"/>
        <v>0.20001943881053197</v>
      </c>
      <c r="AD39" s="8">
        <f t="shared" si="73"/>
        <v>0.29950543565770066</v>
      </c>
      <c r="AE39" s="8">
        <f t="shared" si="74"/>
        <v>0.13781099470496422</v>
      </c>
      <c r="AF39" s="8">
        <f t="shared" si="75"/>
        <v>-1.8590209636544317E-2</v>
      </c>
      <c r="AG39" s="8">
        <f t="shared" si="76"/>
        <v>-0.32916527817458219</v>
      </c>
      <c r="AH39" s="8">
        <f t="shared" si="77"/>
        <v>-0.28208412444370851</v>
      </c>
      <c r="AI39" s="8">
        <f t="shared" si="78"/>
        <v>0.17065732620343935</v>
      </c>
      <c r="AJ39" s="8">
        <f t="shared" si="79"/>
        <v>0.28293770310430116</v>
      </c>
      <c r="AK39" s="8">
        <f t="shared" si="80"/>
        <v>0.16923838929788679</v>
      </c>
      <c r="AL39" s="8">
        <f t="shared" si="81"/>
        <v>1.6936722863962517E-2</v>
      </c>
      <c r="AM39" s="8">
        <f t="shared" si="82"/>
        <v>-0.32925449680863894</v>
      </c>
      <c r="AN39" s="8">
        <f t="shared" si="83"/>
        <v>-0.2988094939946116</v>
      </c>
      <c r="AO39" s="8">
        <f t="shared" si="84"/>
        <v>0.13931354043582739</v>
      </c>
      <c r="AP39" s="8">
        <f t="shared" si="85"/>
        <v>0.263084497463903</v>
      </c>
      <c r="AQ39" s="8">
        <f t="shared" si="86"/>
        <v>0.19870058742803534</v>
      </c>
      <c r="AR39" s="8">
        <f t="shared" si="87"/>
        <v>5.2266986109926722E-2</v>
      </c>
      <c r="AS39" s="8">
        <f t="shared" si="88"/>
        <v>-0.32552041166886214</v>
      </c>
      <c r="AT39" s="8">
        <f t="shared" si="89"/>
        <v>-0.3120650871958498</v>
      </c>
      <c r="AU39" s="8">
        <f t="shared" si="90"/>
        <v>0.106352045601048</v>
      </c>
      <c r="AV39" s="8">
        <f t="shared" si="91"/>
        <v>0.24017635419397923</v>
      </c>
      <c r="AW39" s="8">
        <f t="shared" si="92"/>
        <v>0.22585547400089506</v>
      </c>
      <c r="AX39" s="8">
        <f t="shared" si="93"/>
        <v>8.6990325024779561E-2</v>
      </c>
      <c r="AY39" s="8">
        <f t="shared" si="94"/>
        <v>-0.31800638295821038</v>
      </c>
      <c r="AZ39" s="8">
        <f t="shared" si="95"/>
        <v>-0.32169698007675368</v>
      </c>
      <c r="BA39" s="8">
        <f t="shared" si="96"/>
        <v>7.2155590632864156E-2</v>
      </c>
      <c r="BB39" s="8">
        <f t="shared" si="97"/>
        <v>0.21447928269292735</v>
      </c>
      <c r="BC39" s="8">
        <f t="shared" si="98"/>
        <v>0.25038772642765078</v>
      </c>
      <c r="BD39" s="8">
        <f t="shared" si="99"/>
        <v>0.12070353213831164</v>
      </c>
      <c r="BE39" s="8">
        <f t="shared" si="100"/>
        <v>-0.30679966359078081</v>
      </c>
      <c r="BF39" s="8">
        <f t="shared" si="101"/>
        <v>-0.32759332708089706</v>
      </c>
      <c r="BG39" s="8">
        <f t="shared" si="102"/>
        <v>3.7121264824209584E-2</v>
      </c>
      <c r="BH39" s="8">
        <f t="shared" si="103"/>
        <v>0.18629167739848107</v>
      </c>
      <c r="BI39" s="8">
        <f t="shared" si="47"/>
        <v>0.27201247615162982</v>
      </c>
    </row>
    <row r="40" spans="1:66">
      <c r="A40" s="1">
        <v>38</v>
      </c>
      <c r="B40" s="5">
        <v>12902</v>
      </c>
      <c r="C40" s="8">
        <f t="shared" si="48"/>
        <v>9.4651376170921875</v>
      </c>
      <c r="D40" s="8">
        <f t="shared" si="49"/>
        <v>4.338909090909091</v>
      </c>
      <c r="E40" s="7">
        <f t="shared" si="50"/>
        <v>1.4473684210526316</v>
      </c>
      <c r="F40" s="8"/>
      <c r="G40" s="8"/>
      <c r="H40" s="8">
        <f t="shared" si="55"/>
        <v>-0.12557918900860365</v>
      </c>
      <c r="I40" s="8">
        <f t="shared" si="51"/>
        <v>-0.3204597260641186</v>
      </c>
      <c r="J40" s="8">
        <f t="shared" si="52"/>
        <v>-0.25254977137381851</v>
      </c>
      <c r="K40" s="8">
        <f t="shared" si="53"/>
        <v>0.23384435362048087</v>
      </c>
      <c r="L40" s="8">
        <f t="shared" si="56"/>
        <v>0.30986861211100758</v>
      </c>
      <c r="M40" s="8">
        <f t="shared" si="54"/>
        <v>0.14981993181665254</v>
      </c>
      <c r="N40" s="8">
        <f t="shared" si="57"/>
        <v>2.6433915268156534E-2</v>
      </c>
      <c r="O40" s="8">
        <f t="shared" si="58"/>
        <v>-0.34317024472518659</v>
      </c>
      <c r="P40" s="8">
        <f t="shared" si="59"/>
        <v>-0.32915784357063826</v>
      </c>
      <c r="Q40" s="8">
        <f t="shared" si="60"/>
        <v>0.10059663392517529</v>
      </c>
      <c r="R40" s="8">
        <f t="shared" si="61"/>
        <v>0.21375758746528375</v>
      </c>
      <c r="S40" s="8">
        <f t="shared" si="62"/>
        <v>0.26976334543849739</v>
      </c>
      <c r="T40" s="8">
        <f t="shared" si="63"/>
        <v>0.17317566919191044</v>
      </c>
      <c r="U40" s="8">
        <f t="shared" si="64"/>
        <v>-0.29744706477133459</v>
      </c>
      <c r="V40" s="8">
        <f t="shared" si="65"/>
        <v>-0.3401265166357279</v>
      </c>
      <c r="W40" s="8">
        <f t="shared" si="66"/>
        <v>-5.2711682029645171E-2</v>
      </c>
      <c r="X40" s="8">
        <f t="shared" si="67"/>
        <v>7.5019841703438672E-2</v>
      </c>
      <c r="Y40" s="8">
        <f t="shared" si="68"/>
        <v>0.33591158374182267</v>
      </c>
      <c r="Z40" s="8">
        <f t="shared" si="69"/>
        <v>0.28538339303853255</v>
      </c>
      <c r="AA40" s="8">
        <f t="shared" si="70"/>
        <v>-0.19240812799609833</v>
      </c>
      <c r="AB40" s="8">
        <f t="shared" si="71"/>
        <v>-0.28326845970844405</v>
      </c>
      <c r="AC40" s="8">
        <f t="shared" si="72"/>
        <v>-0.19550843581685712</v>
      </c>
      <c r="AD40" s="8">
        <f t="shared" si="73"/>
        <v>-7.8678074166929082E-2</v>
      </c>
      <c r="AE40" s="8">
        <f t="shared" si="74"/>
        <v>0.33507361786110784</v>
      </c>
      <c r="AF40" s="8">
        <f t="shared" si="75"/>
        <v>0.34068105137367116</v>
      </c>
      <c r="AG40" s="8">
        <f t="shared" si="76"/>
        <v>-4.8999897714980381E-2</v>
      </c>
      <c r="AH40" s="8">
        <f t="shared" si="77"/>
        <v>-0.1699220891911401</v>
      </c>
      <c r="AI40" s="8">
        <f t="shared" si="78"/>
        <v>-0.29931764456187132</v>
      </c>
      <c r="AJ40" s="8">
        <f t="shared" si="79"/>
        <v>-0.21668630919258075</v>
      </c>
      <c r="AK40" s="8">
        <f t="shared" si="80"/>
        <v>0.26741655174959872</v>
      </c>
      <c r="AL40" s="8">
        <f t="shared" si="81"/>
        <v>0.32804139651841369</v>
      </c>
      <c r="AM40" s="8">
        <f t="shared" si="82"/>
        <v>0.10417970489206338</v>
      </c>
      <c r="AN40" s="8">
        <f t="shared" si="83"/>
        <v>-2.269050508535822E-2</v>
      </c>
      <c r="AO40" s="8">
        <f t="shared" si="84"/>
        <v>-0.34343807261298193</v>
      </c>
      <c r="AP40" s="8">
        <f t="shared" si="85"/>
        <v>-0.31148378860875198</v>
      </c>
      <c r="AQ40" s="8">
        <f t="shared" si="86"/>
        <v>0.14643229894762563</v>
      </c>
      <c r="AR40" s="8">
        <f t="shared" si="87"/>
        <v>0.24998498013554599</v>
      </c>
      <c r="AS40" s="8">
        <f t="shared" si="88"/>
        <v>0.23658418892178573</v>
      </c>
      <c r="AT40" s="8">
        <f t="shared" si="89"/>
        <v>0.12906593282200168</v>
      </c>
      <c r="AU40" s="8">
        <f t="shared" si="90"/>
        <v>-0.31907139283542024</v>
      </c>
      <c r="AV40" s="8">
        <f t="shared" si="91"/>
        <v>-0.34416636138389406</v>
      </c>
      <c r="AW40" s="8">
        <f t="shared" si="92"/>
        <v>-3.752923249861853E-3</v>
      </c>
      <c r="AX40" s="8">
        <f t="shared" si="93"/>
        <v>0.12207751445045394</v>
      </c>
      <c r="AY40" s="8">
        <f t="shared" si="94"/>
        <v>0.32180995821563341</v>
      </c>
      <c r="AZ40" s="8">
        <f t="shared" si="95"/>
        <v>0.25508453569279615</v>
      </c>
      <c r="BA40" s="8">
        <f t="shared" si="96"/>
        <v>-0.2310767153815787</v>
      </c>
      <c r="BB40" s="8">
        <f t="shared" si="97"/>
        <v>-0.30821659376716981</v>
      </c>
      <c r="BC40" s="8">
        <f t="shared" si="98"/>
        <v>-0.15318975183644601</v>
      </c>
      <c r="BD40" s="8">
        <f t="shared" si="99"/>
        <v>-3.0174182589109883E-2</v>
      </c>
      <c r="BE40" s="8">
        <f t="shared" si="100"/>
        <v>0.34286161559181216</v>
      </c>
      <c r="BF40" s="8">
        <f t="shared" si="101"/>
        <v>0.33023515538250847</v>
      </c>
      <c r="BG40" s="8">
        <f t="shared" si="102"/>
        <v>-9.7001602515829552E-2</v>
      </c>
      <c r="BH40" s="8">
        <f t="shared" si="103"/>
        <v>-0.2108034510175831</v>
      </c>
      <c r="BI40" s="8">
        <f t="shared" si="47"/>
        <v>-0.27207806559924297</v>
      </c>
      <c r="BM40">
        <v>9.6780620009598042E-2</v>
      </c>
      <c r="BN40">
        <v>5.9381955273195966E-2</v>
      </c>
    </row>
    <row r="41" spans="1:66">
      <c r="A41" s="1">
        <v>39</v>
      </c>
      <c r="B41" s="5">
        <v>20331</v>
      </c>
      <c r="C41" s="8">
        <f t="shared" si="48"/>
        <v>9.9199020938042235</v>
      </c>
      <c r="D41" s="8">
        <f t="shared" si="49"/>
        <v>4.4530909090909097</v>
      </c>
      <c r="E41" s="7">
        <f t="shared" si="50"/>
        <v>1.4102564102564101</v>
      </c>
      <c r="F41" s="8"/>
      <c r="G41" s="8"/>
      <c r="H41" s="8">
        <f t="shared" si="55"/>
        <v>-9.2490336072216017E-2</v>
      </c>
      <c r="I41" s="8">
        <f t="shared" si="51"/>
        <v>-0.34866478814823515</v>
      </c>
      <c r="J41" s="8">
        <f t="shared" si="52"/>
        <v>-0.31329427013225392</v>
      </c>
      <c r="K41" s="8">
        <f t="shared" si="53"/>
        <v>0.17879680384029092</v>
      </c>
      <c r="L41" s="8">
        <f t="shared" si="56"/>
        <v>0.25314898605699321</v>
      </c>
      <c r="M41" s="8">
        <f t="shared" si="54"/>
        <v>0.25697701768742165</v>
      </c>
      <c r="N41" s="8">
        <f t="shared" si="57"/>
        <v>0.18347838065632144</v>
      </c>
      <c r="O41" s="8">
        <f t="shared" si="58"/>
        <v>-0.31057572441023007</v>
      </c>
      <c r="P41" s="8">
        <f t="shared" si="59"/>
        <v>-0.3472374892562185</v>
      </c>
      <c r="Q41" s="8">
        <f t="shared" si="60"/>
        <v>-9.7712449648152483E-2</v>
      </c>
      <c r="R41" s="8">
        <f t="shared" si="61"/>
        <v>-5.4135018302325149E-3</v>
      </c>
      <c r="S41" s="8">
        <f t="shared" si="62"/>
        <v>0.36068308909503816</v>
      </c>
      <c r="T41" s="8">
        <f t="shared" si="63"/>
        <v>0.35001355629175102</v>
      </c>
      <c r="U41" s="8">
        <f t="shared" si="64"/>
        <v>-8.7247390638381911E-2</v>
      </c>
      <c r="V41" s="8">
        <f t="shared" si="65"/>
        <v>-0.17407495611847243</v>
      </c>
      <c r="W41" s="8">
        <f t="shared" si="66"/>
        <v>-0.31594225170679069</v>
      </c>
      <c r="X41" s="8">
        <f t="shared" si="67"/>
        <v>-0.26074716966314415</v>
      </c>
      <c r="Y41" s="8">
        <f t="shared" si="68"/>
        <v>0.24926393697016155</v>
      </c>
      <c r="Z41" s="8">
        <f t="shared" si="69"/>
        <v>0.30778722684639925</v>
      </c>
      <c r="AA41" s="8">
        <f t="shared" si="70"/>
        <v>0.1881186321218829</v>
      </c>
      <c r="AB41" s="8">
        <f t="shared" si="71"/>
        <v>0.10291255517489836</v>
      </c>
      <c r="AC41" s="8">
        <f t="shared" si="72"/>
        <v>-0.34573198109023512</v>
      </c>
      <c r="AD41" s="8">
        <f t="shared" si="73"/>
        <v>-0.36056122802396134</v>
      </c>
      <c r="AE41" s="8">
        <f t="shared" si="74"/>
        <v>-1.0825784362258877E-2</v>
      </c>
      <c r="AF41" s="8">
        <f t="shared" si="75"/>
        <v>8.1984794229960314E-2</v>
      </c>
      <c r="AG41" s="8">
        <f t="shared" si="76"/>
        <v>0.35128348989993291</v>
      </c>
      <c r="AH41" s="8">
        <f t="shared" si="77"/>
        <v>0.31851907272152036</v>
      </c>
      <c r="AI41" s="8">
        <f t="shared" si="78"/>
        <v>-0.1693139010058772</v>
      </c>
      <c r="AJ41" s="8">
        <f t="shared" si="79"/>
        <v>-0.24532274546743302</v>
      </c>
      <c r="AK41" s="8">
        <f t="shared" si="80"/>
        <v>-0.26445859282225304</v>
      </c>
      <c r="AL41" s="8">
        <f t="shared" si="81"/>
        <v>-0.1927165131001167</v>
      </c>
      <c r="AM41" s="8">
        <f t="shared" si="82"/>
        <v>0.30492940550189274</v>
      </c>
      <c r="AN41" s="8">
        <f t="shared" si="83"/>
        <v>0.34414860274011461</v>
      </c>
      <c r="AO41" s="8">
        <f t="shared" si="84"/>
        <v>0.10808948141809166</v>
      </c>
      <c r="AP41" s="8">
        <f t="shared" si="85"/>
        <v>1.6235628572501451E-2</v>
      </c>
      <c r="AQ41" s="8">
        <f t="shared" si="86"/>
        <v>-0.36035815673585209</v>
      </c>
      <c r="AR41" s="8">
        <f t="shared" si="87"/>
        <v>-0.3524743029420711</v>
      </c>
      <c r="AS41" s="8">
        <f t="shared" si="88"/>
        <v>7.6703732156305493E-2</v>
      </c>
      <c r="AT41" s="8">
        <f t="shared" si="89"/>
        <v>0.16451471084830377</v>
      </c>
      <c r="AU41" s="8">
        <f t="shared" si="90"/>
        <v>0.32102415279181745</v>
      </c>
      <c r="AV41" s="8">
        <f t="shared" si="91"/>
        <v>0.26811045123049254</v>
      </c>
      <c r="AW41" s="8">
        <f t="shared" si="92"/>
        <v>-0.24132629923443247</v>
      </c>
      <c r="AX41" s="8">
        <f t="shared" si="93"/>
        <v>-0.30200290405182806</v>
      </c>
      <c r="AY41" s="8">
        <f t="shared" si="94"/>
        <v>-0.19727098799739287</v>
      </c>
      <c r="AZ41" s="8">
        <f t="shared" si="95"/>
        <v>-0.11324206236411806</v>
      </c>
      <c r="BA41" s="8">
        <f t="shared" si="96"/>
        <v>0.34248771083460261</v>
      </c>
      <c r="BB41" s="8">
        <f t="shared" si="97"/>
        <v>0.36007392096902674</v>
      </c>
      <c r="BC41" s="8">
        <f t="shared" si="98"/>
        <v>2.1641815986562413E-2</v>
      </c>
      <c r="BD41" s="8">
        <f t="shared" si="99"/>
        <v>-7.1405393885843174E-2</v>
      </c>
      <c r="BE41" s="8">
        <f t="shared" si="100"/>
        <v>-0.35358572720800358</v>
      </c>
      <c r="BF41" s="8">
        <f t="shared" si="101"/>
        <v>-0.32345692769146561</v>
      </c>
      <c r="BG41" s="8">
        <f t="shared" si="102"/>
        <v>0.15967846658082349</v>
      </c>
      <c r="BH41" s="8">
        <f t="shared" si="103"/>
        <v>0.23727549840195039</v>
      </c>
      <c r="BI41" s="8">
        <f t="shared" si="47"/>
        <v>0.27170192236955409</v>
      </c>
    </row>
    <row r="42" spans="1:66">
      <c r="A42" s="1">
        <v>40</v>
      </c>
      <c r="B42" s="5">
        <v>36853</v>
      </c>
      <c r="C42" s="8">
        <f t="shared" si="48"/>
        <v>10.514692305429964</v>
      </c>
      <c r="D42" s="8">
        <f t="shared" si="49"/>
        <v>4.5672727272727274</v>
      </c>
      <c r="E42" s="7">
        <f t="shared" si="50"/>
        <v>1.375</v>
      </c>
      <c r="F42" s="8"/>
      <c r="G42" s="8"/>
      <c r="H42" s="8">
        <f t="shared" si="55"/>
        <v>-5.5291016970256915E-2</v>
      </c>
      <c r="I42" s="8">
        <f t="shared" si="51"/>
        <v>-0.37833357970028497</v>
      </c>
      <c r="J42" s="8">
        <f t="shared" si="52"/>
        <v>-0.36636146021309662</v>
      </c>
      <c r="K42" s="8">
        <f t="shared" si="53"/>
        <v>0.10941971740488429</v>
      </c>
      <c r="L42" s="8">
        <f t="shared" si="56"/>
        <v>0.16124821875053411</v>
      </c>
      <c r="M42" s="8">
        <f t="shared" si="54"/>
        <v>0.3466877644743423</v>
      </c>
      <c r="N42" s="8">
        <f t="shared" si="57"/>
        <v>0.319726068922422</v>
      </c>
      <c r="O42" s="8">
        <f t="shared" si="58"/>
        <v>-0.20968699277220754</v>
      </c>
      <c r="P42" s="8">
        <f t="shared" si="59"/>
        <v>-0.25371776939465274</v>
      </c>
      <c r="Q42" s="8">
        <f t="shared" si="60"/>
        <v>-0.28604315684847098</v>
      </c>
      <c r="R42" s="8">
        <f t="shared" si="61"/>
        <v>-0.24634710359306089</v>
      </c>
      <c r="S42" s="8">
        <f t="shared" si="62"/>
        <v>0.29241494256919714</v>
      </c>
      <c r="T42" s="8">
        <f t="shared" si="63"/>
        <v>0.32496502817622358</v>
      </c>
      <c r="U42" s="8">
        <f t="shared" si="64"/>
        <v>0.20147239153011351</v>
      </c>
      <c r="V42" s="8">
        <f t="shared" si="65"/>
        <v>0.15236236774782744</v>
      </c>
      <c r="W42" s="8">
        <f t="shared" si="66"/>
        <v>-0.35068376492320391</v>
      </c>
      <c r="X42" s="8">
        <f t="shared" si="67"/>
        <v>-0.36903049874670107</v>
      </c>
      <c r="Y42" s="8">
        <f t="shared" si="68"/>
        <v>-0.10004941319767059</v>
      </c>
      <c r="Z42" s="8">
        <f t="shared" si="69"/>
        <v>-4.5633240191568399E-2</v>
      </c>
      <c r="AA42" s="8">
        <f t="shared" si="70"/>
        <v>0.37961954833234784</v>
      </c>
      <c r="AB42" s="8">
        <f t="shared" si="71"/>
        <v>0.38222831282914749</v>
      </c>
      <c r="AC42" s="8">
        <f t="shared" si="72"/>
        <v>-9.7422255270805929E-3</v>
      </c>
      <c r="AD42" s="8">
        <f t="shared" si="73"/>
        <v>-6.4912892158202409E-2</v>
      </c>
      <c r="AE42" s="8">
        <f t="shared" si="74"/>
        <v>-0.37680195131938304</v>
      </c>
      <c r="AF42" s="8">
        <f t="shared" si="75"/>
        <v>-0.36345453567325448</v>
      </c>
      <c r="AG42" s="8">
        <f t="shared" si="76"/>
        <v>0.1187189731465704</v>
      </c>
      <c r="AH42" s="8">
        <f t="shared" si="77"/>
        <v>0.17002936797934476</v>
      </c>
      <c r="AI42" s="8">
        <f t="shared" si="78"/>
        <v>0.34246665255318176</v>
      </c>
      <c r="AJ42" s="8">
        <f t="shared" si="79"/>
        <v>0.31427950497793755</v>
      </c>
      <c r="AK42" s="8">
        <f t="shared" si="80"/>
        <v>-0.2177654399514754</v>
      </c>
      <c r="AL42" s="8">
        <f t="shared" si="81"/>
        <v>-0.26092369104756241</v>
      </c>
      <c r="AM42" s="8">
        <f t="shared" si="82"/>
        <v>-0.27948563744234395</v>
      </c>
      <c r="AN42" s="8">
        <f t="shared" si="83"/>
        <v>-0.23881647956718266</v>
      </c>
      <c r="AO42" s="8">
        <f t="shared" si="84"/>
        <v>0.29859685727343915</v>
      </c>
      <c r="AP42" s="8">
        <f t="shared" si="85"/>
        <v>0.32999298097570284</v>
      </c>
      <c r="AQ42" s="8">
        <f t="shared" si="86"/>
        <v>0.19312697013417507</v>
      </c>
      <c r="AR42" s="8">
        <f t="shared" si="87"/>
        <v>0.14337758473643375</v>
      </c>
      <c r="AS42" s="8">
        <f t="shared" si="88"/>
        <v>-0.35445205921476025</v>
      </c>
      <c r="AT42" s="8">
        <f t="shared" si="89"/>
        <v>-0.3714599182126358</v>
      </c>
      <c r="AU42" s="8">
        <f t="shared" si="90"/>
        <v>-9.0614144855530279E-2</v>
      </c>
      <c r="AV42" s="8">
        <f t="shared" si="91"/>
        <v>-3.5945832814581753E-2</v>
      </c>
      <c r="AW42" s="8">
        <f t="shared" si="92"/>
        <v>0.38065902220977671</v>
      </c>
      <c r="AX42" s="8">
        <f t="shared" si="93"/>
        <v>0.38185598950921557</v>
      </c>
      <c r="AY42" s="8">
        <f t="shared" si="94"/>
        <v>-1.9478125227418513E-2</v>
      </c>
      <c r="AZ42" s="8">
        <f t="shared" si="95"/>
        <v>-7.4492618074610148E-2</v>
      </c>
      <c r="BA42" s="8">
        <f t="shared" si="96"/>
        <v>-0.37502565770734597</v>
      </c>
      <c r="BB42" s="8">
        <f t="shared" si="97"/>
        <v>-0.36031161265286948</v>
      </c>
      <c r="BC42" s="8">
        <f t="shared" si="98"/>
        <v>0.12794114222534389</v>
      </c>
      <c r="BD42" s="8">
        <f t="shared" si="99"/>
        <v>0.17870011365405844</v>
      </c>
      <c r="BE42" s="8">
        <f t="shared" si="100"/>
        <v>0.33802317001422211</v>
      </c>
      <c r="BF42" s="8">
        <f t="shared" si="101"/>
        <v>0.30862887290838664</v>
      </c>
      <c r="BG42" s="8">
        <f t="shared" si="102"/>
        <v>-0.22570248756656636</v>
      </c>
      <c r="BH42" s="8">
        <f t="shared" si="103"/>
        <v>-0.26796018959914697</v>
      </c>
      <c r="BI42" s="8">
        <f t="shared" si="47"/>
        <v>-0.27274664228258855</v>
      </c>
      <c r="BM42">
        <v>9.0916344776074604E-2</v>
      </c>
      <c r="BN42">
        <v>5.5776076648962086E-2</v>
      </c>
    </row>
    <row r="43" spans="1:66">
      <c r="A43" s="1">
        <v>41</v>
      </c>
      <c r="B43" s="5">
        <v>56407</v>
      </c>
      <c r="C43" s="8">
        <f t="shared" si="48"/>
        <v>10.940348543259887</v>
      </c>
      <c r="D43" s="8">
        <f t="shared" si="49"/>
        <v>4.681454545454546</v>
      </c>
      <c r="E43" s="7">
        <f t="shared" si="50"/>
        <v>1.3414634146341462</v>
      </c>
      <c r="F43" s="8"/>
      <c r="G43" s="8"/>
      <c r="H43" s="8">
        <f t="shared" si="55"/>
        <v>-1.2304710035988542E-2</v>
      </c>
      <c r="I43" s="8">
        <f t="shared" si="51"/>
        <v>-0.39764052131409067</v>
      </c>
      <c r="J43" s="8">
        <f t="shared" si="52"/>
        <v>-0.39706969902506217</v>
      </c>
      <c r="K43" s="8">
        <f t="shared" si="53"/>
        <v>2.459764615076156E-2</v>
      </c>
      <c r="L43" s="8">
        <f t="shared" si="56"/>
        <v>3.6867045689132578E-2</v>
      </c>
      <c r="M43" s="8">
        <f t="shared" si="54"/>
        <v>0.39611893545015864</v>
      </c>
      <c r="N43" s="8">
        <f t="shared" si="57"/>
        <v>0.3947891403398246</v>
      </c>
      <c r="O43" s="8">
        <f t="shared" si="58"/>
        <v>-4.9101168517193206E-2</v>
      </c>
      <c r="P43" s="8">
        <f t="shared" si="59"/>
        <v>-6.1288308256012336E-2</v>
      </c>
      <c r="Q43" s="8">
        <f t="shared" si="60"/>
        <v>-0.39308158612573996</v>
      </c>
      <c r="R43" s="8">
        <f t="shared" si="61"/>
        <v>-0.39099790670327728</v>
      </c>
      <c r="S43" s="8">
        <f t="shared" si="62"/>
        <v>7.3416803483036502E-2</v>
      </c>
      <c r="T43" s="8">
        <f t="shared" si="63"/>
        <v>8.5475048890471764E-2</v>
      </c>
      <c r="U43" s="8">
        <f t="shared" si="64"/>
        <v>0.38854009586808796</v>
      </c>
      <c r="V43" s="8">
        <f t="shared" si="65"/>
        <v>0.3857105054083117</v>
      </c>
      <c r="W43" s="8">
        <f t="shared" si="66"/>
        <v>-9.7451506389979722E-2</v>
      </c>
      <c r="X43" s="8">
        <f t="shared" si="67"/>
        <v>-0.10933471615303439</v>
      </c>
      <c r="Y43" s="8">
        <f t="shared" si="68"/>
        <v>-0.38251184285424017</v>
      </c>
      <c r="Z43" s="8">
        <f t="shared" si="69"/>
        <v>-0.37894716888758034</v>
      </c>
      <c r="AA43" s="8">
        <f t="shared" si="70"/>
        <v>0.12111330757641459</v>
      </c>
      <c r="AB43" s="8">
        <f t="shared" si="71"/>
        <v>0.13277601016231827</v>
      </c>
      <c r="AC43" s="8">
        <f t="shared" si="72"/>
        <v>0.37501989441279976</v>
      </c>
      <c r="AD43" s="8">
        <f t="shared" si="73"/>
        <v>0.37073377729335966</v>
      </c>
      <c r="AE43" s="8">
        <f t="shared" si="74"/>
        <v>-0.14431166430267894</v>
      </c>
      <c r="AF43" s="8">
        <f t="shared" si="75"/>
        <v>-0.15570923195737582</v>
      </c>
      <c r="AG43" s="8">
        <f t="shared" si="76"/>
        <v>-0.3660929187559569</v>
      </c>
      <c r="AH43" s="8">
        <f t="shared" si="77"/>
        <v>-0.36110175946621142</v>
      </c>
      <c r="AI43" s="8">
        <f t="shared" si="78"/>
        <v>0.1669578072161286</v>
      </c>
      <c r="AJ43" s="8">
        <f t="shared" si="79"/>
        <v>0.17804662673397673</v>
      </c>
      <c r="AK43" s="8">
        <f t="shared" si="80"/>
        <v>0.35576507527954943</v>
      </c>
      <c r="AL43" s="8">
        <f t="shared" si="81"/>
        <v>0.35008797267137853</v>
      </c>
      <c r="AM43" s="8">
        <f t="shared" si="82"/>
        <v>-0.18896508003029469</v>
      </c>
      <c r="AN43" s="8">
        <f t="shared" si="83"/>
        <v>-0.19970271964158828</v>
      </c>
      <c r="AO43" s="8">
        <f t="shared" si="84"/>
        <v>-0.34407588385088067</v>
      </c>
      <c r="AP43" s="8">
        <f t="shared" si="85"/>
        <v>-0.33773456156313536</v>
      </c>
      <c r="AQ43" s="8">
        <f t="shared" si="86"/>
        <v>0.21024927111828065</v>
      </c>
      <c r="AR43" s="8">
        <f t="shared" si="87"/>
        <v>0.22059464285594735</v>
      </c>
      <c r="AS43" s="8">
        <f t="shared" si="88"/>
        <v>0.33107007358453377</v>
      </c>
      <c r="AT43" s="8">
        <f t="shared" si="89"/>
        <v>0.32408879691673592</v>
      </c>
      <c r="AU43" s="8">
        <f t="shared" si="90"/>
        <v>-0.2307289357516179</v>
      </c>
      <c r="AV43" s="8">
        <f t="shared" si="91"/>
        <v>-0.24064245267583231</v>
      </c>
      <c r="AW43" s="8">
        <f t="shared" si="92"/>
        <v>-0.31679741168477266</v>
      </c>
      <c r="AX43" s="8">
        <f t="shared" si="93"/>
        <v>-0.30920289474507257</v>
      </c>
      <c r="AY43" s="8">
        <f t="shared" si="94"/>
        <v>0.25032570775147944</v>
      </c>
      <c r="AZ43" s="8">
        <f t="shared" si="95"/>
        <v>0.25976943543049463</v>
      </c>
      <c r="BA43" s="8">
        <f t="shared" si="96"/>
        <v>0.30131251300955558</v>
      </c>
      <c r="BB43" s="8">
        <f t="shared" si="97"/>
        <v>0.29313381649221509</v>
      </c>
      <c r="BC43" s="8">
        <f t="shared" si="98"/>
        <v>-0.26896459935969241</v>
      </c>
      <c r="BD43" s="8">
        <f t="shared" si="99"/>
        <v>-0.27790240102733638</v>
      </c>
      <c r="BE43" s="8">
        <f t="shared" si="100"/>
        <v>-0.28467463108477553</v>
      </c>
      <c r="BF43" s="8">
        <f t="shared" si="101"/>
        <v>-0.27594305106838962</v>
      </c>
      <c r="BG43" s="8">
        <f t="shared" si="102"/>
        <v>0.28657428818210412</v>
      </c>
      <c r="BH43" s="8">
        <f t="shared" si="103"/>
        <v>0.29497196301641654</v>
      </c>
      <c r="BI43" s="8">
        <f t="shared" si="47"/>
        <v>0.26694743136852489</v>
      </c>
    </row>
    <row r="44" spans="1:66">
      <c r="A44" s="1">
        <v>42</v>
      </c>
      <c r="B44" s="5">
        <v>39437</v>
      </c>
      <c r="C44" s="8">
        <f t="shared" si="48"/>
        <v>10.582459740914768</v>
      </c>
      <c r="D44" s="8">
        <f t="shared" si="49"/>
        <v>4.7956363636363637</v>
      </c>
      <c r="E44" s="7">
        <f t="shared" si="50"/>
        <v>1.3095238095238095</v>
      </c>
      <c r="F44" s="8"/>
      <c r="G44" s="8"/>
      <c r="H44" s="8">
        <f t="shared" si="55"/>
        <v>3.1997996527086722E-2</v>
      </c>
      <c r="I44" s="8">
        <f t="shared" si="51"/>
        <v>-0.38348407340620028</v>
      </c>
      <c r="J44" s="8">
        <f t="shared" si="52"/>
        <v>-0.37949537013316575</v>
      </c>
      <c r="K44" s="8">
        <f t="shared" si="53"/>
        <v>-6.3774370913800227E-2</v>
      </c>
      <c r="L44" s="8">
        <f t="shared" si="56"/>
        <v>-9.510903600252979E-2</v>
      </c>
      <c r="M44" s="8">
        <f t="shared" si="54"/>
        <v>0.37287823429187839</v>
      </c>
      <c r="N44" s="8">
        <f t="shared" si="57"/>
        <v>0.3636784969957656</v>
      </c>
      <c r="O44" s="8">
        <f t="shared" si="58"/>
        <v>0.12578496396970645</v>
      </c>
      <c r="P44" s="8">
        <f t="shared" si="59"/>
        <v>0.1555896894877499</v>
      </c>
      <c r="Q44" s="8">
        <f t="shared" si="60"/>
        <v>-0.3519598767801026</v>
      </c>
      <c r="R44" s="8">
        <f t="shared" si="61"/>
        <v>-0.33780353827943738</v>
      </c>
      <c r="S44" s="8">
        <f t="shared" si="62"/>
        <v>-0.18431678128659937</v>
      </c>
      <c r="T44" s="8">
        <f t="shared" si="63"/>
        <v>-0.21176727192259606</v>
      </c>
      <c r="U44" s="8">
        <f t="shared" si="64"/>
        <v>0.32130753007114654</v>
      </c>
      <c r="V44" s="8">
        <f t="shared" si="65"/>
        <v>0.30258610557867993</v>
      </c>
      <c r="W44" s="8">
        <f t="shared" si="66"/>
        <v>0.23775103585197563</v>
      </c>
      <c r="X44" s="8">
        <f t="shared" si="67"/>
        <v>0.2620881062642515</v>
      </c>
      <c r="Y44" s="8">
        <f t="shared" si="68"/>
        <v>-0.28176893173800743</v>
      </c>
      <c r="Z44" s="8">
        <f t="shared" si="69"/>
        <v>-0.2590001909081458</v>
      </c>
      <c r="AA44" s="8">
        <f t="shared" si="70"/>
        <v>-0.28460992155493015</v>
      </c>
      <c r="AB44" s="8">
        <f t="shared" si="71"/>
        <v>-0.30516049280434498</v>
      </c>
      <c r="AC44" s="8">
        <f t="shared" si="72"/>
        <v>0.23443758224604003</v>
      </c>
      <c r="AD44" s="8">
        <f t="shared" si="73"/>
        <v>0.20825122946241587</v>
      </c>
      <c r="AE44" s="8">
        <f t="shared" si="74"/>
        <v>0.32359748417648687</v>
      </c>
      <c r="AF44" s="8">
        <f t="shared" si="75"/>
        <v>0.33979319875488112</v>
      </c>
      <c r="AG44" s="8">
        <f t="shared" si="76"/>
        <v>-0.18062250252359291</v>
      </c>
      <c r="AH44" s="8">
        <f t="shared" si="77"/>
        <v>-0.15174276146033752</v>
      </c>
      <c r="AI44" s="8">
        <f t="shared" si="78"/>
        <v>-0.35363546298745341</v>
      </c>
      <c r="AJ44" s="8">
        <f t="shared" si="79"/>
        <v>-0.36502840361462924</v>
      </c>
      <c r="AK44" s="8">
        <f t="shared" si="80"/>
        <v>0.12181203098427829</v>
      </c>
      <c r="AL44" s="8">
        <f t="shared" si="81"/>
        <v>9.1037615091630858E-2</v>
      </c>
      <c r="AM44" s="8">
        <f t="shared" si="82"/>
        <v>0.37389311169957057</v>
      </c>
      <c r="AN44" s="8">
        <f t="shared" si="83"/>
        <v>0.38016818916137224</v>
      </c>
      <c r="AO44" s="8">
        <f t="shared" si="84"/>
        <v>-5.9632661249708993E-2</v>
      </c>
      <c r="AP44" s="8">
        <f t="shared" si="85"/>
        <v>-2.7814684110809049E-2</v>
      </c>
      <c r="AQ44" s="8">
        <f t="shared" si="86"/>
        <v>-0.3838101740258788</v>
      </c>
      <c r="AR44" s="8">
        <f t="shared" si="87"/>
        <v>-0.38479384144877232</v>
      </c>
      <c r="AS44" s="8">
        <f t="shared" si="88"/>
        <v>-4.1959410215746109E-3</v>
      </c>
      <c r="AT44" s="8">
        <f t="shared" si="89"/>
        <v>-3.617750453976333E-2</v>
      </c>
      <c r="AU44" s="8">
        <f t="shared" si="90"/>
        <v>0.38311237842601076</v>
      </c>
      <c r="AV44" s="8">
        <f t="shared" si="91"/>
        <v>0.37877743098154804</v>
      </c>
      <c r="AW44" s="8">
        <f t="shared" si="92"/>
        <v>6.7908498120471616E-2</v>
      </c>
      <c r="AX44" s="8">
        <f t="shared" si="93"/>
        <v>9.9169148919236574E-2</v>
      </c>
      <c r="AY44" s="8">
        <f t="shared" si="94"/>
        <v>-0.37181902350551371</v>
      </c>
      <c r="AZ44" s="8">
        <f t="shared" si="95"/>
        <v>-0.36228535080151386</v>
      </c>
      <c r="BA44" s="8">
        <f t="shared" si="96"/>
        <v>-0.12974294174475731</v>
      </c>
      <c r="BB44" s="8">
        <f t="shared" si="97"/>
        <v>-0.15941811867026542</v>
      </c>
      <c r="BC44" s="8">
        <f t="shared" si="98"/>
        <v>0.35024244428337442</v>
      </c>
      <c r="BD44" s="8">
        <f t="shared" si="99"/>
        <v>0.33577371463327993</v>
      </c>
      <c r="BE44" s="8">
        <f t="shared" si="100"/>
        <v>0.18798914569551131</v>
      </c>
      <c r="BF44" s="8">
        <f t="shared" si="101"/>
        <v>0.21525813630104879</v>
      </c>
      <c r="BG44" s="8">
        <f t="shared" si="102"/>
        <v>-0.31897937408891902</v>
      </c>
      <c r="BH44" s="8">
        <f t="shared" si="103"/>
        <v>-0.29997574236094432</v>
      </c>
      <c r="BI44" s="8">
        <f t="shared" si="47"/>
        <v>-0.24103622203511205</v>
      </c>
      <c r="BM44">
        <v>6.3654689073094933E-2</v>
      </c>
      <c r="BN44">
        <v>3.9026277029713896E-2</v>
      </c>
    </row>
    <row r="45" spans="1:66">
      <c r="A45" s="1">
        <v>43</v>
      </c>
      <c r="B45" s="5">
        <v>26761</v>
      </c>
      <c r="C45" s="8">
        <f t="shared" si="48"/>
        <v>10.194700882751727</v>
      </c>
      <c r="D45" s="8">
        <f t="shared" si="49"/>
        <v>4.9098181818181823</v>
      </c>
      <c r="E45" s="7">
        <f t="shared" si="50"/>
        <v>1.2790697674418603</v>
      </c>
      <c r="F45" s="8"/>
      <c r="G45" s="8"/>
      <c r="H45" s="8">
        <f t="shared" si="55"/>
        <v>7.2715696021821943E-2</v>
      </c>
      <c r="I45" s="8">
        <f t="shared" si="51"/>
        <v>-0.36351488775546553</v>
      </c>
      <c r="J45" s="8">
        <f t="shared" si="52"/>
        <v>-0.34219015568473266</v>
      </c>
      <c r="K45" s="8">
        <f t="shared" si="53"/>
        <v>-0.14260625308963554</v>
      </c>
      <c r="L45" s="8">
        <f t="shared" si="56"/>
        <v>-0.20695629411029781</v>
      </c>
      <c r="M45" s="8">
        <f t="shared" si="54"/>
        <v>0.30757070471021564</v>
      </c>
      <c r="N45" s="8">
        <f t="shared" si="57"/>
        <v>0.26100156437663863</v>
      </c>
      <c r="O45" s="8">
        <f t="shared" si="58"/>
        <v>0.26326570126158488</v>
      </c>
      <c r="P45" s="8">
        <f t="shared" si="59"/>
        <v>0.30934675018241214</v>
      </c>
      <c r="Q45" s="8">
        <f t="shared" si="60"/>
        <v>-0.20429203170801111</v>
      </c>
      <c r="R45" s="8">
        <f t="shared" si="61"/>
        <v>-0.13964537668001439</v>
      </c>
      <c r="S45" s="8">
        <f t="shared" si="62"/>
        <v>-0.34340910710070516</v>
      </c>
      <c r="T45" s="8">
        <f t="shared" si="63"/>
        <v>-0.36412938660368582</v>
      </c>
      <c r="U45" s="8">
        <f t="shared" si="64"/>
        <v>6.9573241116324264E-2</v>
      </c>
      <c r="V45" s="8">
        <f t="shared" si="65"/>
        <v>-3.2019432303322646E-3</v>
      </c>
      <c r="W45" s="8">
        <f t="shared" si="66"/>
        <v>0.37070256760286469</v>
      </c>
      <c r="X45" s="8">
        <f t="shared" si="67"/>
        <v>0.36287326988862423</v>
      </c>
      <c r="Y45" s="8">
        <f t="shared" si="68"/>
        <v>7.585272617476857E-2</v>
      </c>
      <c r="Z45" s="8">
        <f t="shared" si="69"/>
        <v>0.14555649075580013</v>
      </c>
      <c r="AA45" s="8">
        <f t="shared" si="70"/>
        <v>-0.34094567612255094</v>
      </c>
      <c r="AB45" s="8">
        <f t="shared" si="71"/>
        <v>-0.3057717137798025</v>
      </c>
      <c r="AC45" s="8">
        <f t="shared" si="72"/>
        <v>-0.20960511711303534</v>
      </c>
      <c r="AD45" s="8">
        <f t="shared" si="73"/>
        <v>-0.26551019794005004</v>
      </c>
      <c r="AE45" s="8">
        <f t="shared" si="74"/>
        <v>0.25871795619485355</v>
      </c>
      <c r="AF45" s="8">
        <f t="shared" si="75"/>
        <v>0.20161252866607232</v>
      </c>
      <c r="AG45" s="8">
        <f t="shared" si="76"/>
        <v>0.31109971769945227</v>
      </c>
      <c r="AH45" s="8">
        <f t="shared" si="77"/>
        <v>0.34460243943398294</v>
      </c>
      <c r="AI45" s="8">
        <f t="shared" si="78"/>
        <v>-0.13667408241489989</v>
      </c>
      <c r="AJ45" s="8">
        <f t="shared" si="79"/>
        <v>-6.6425595892397271E-2</v>
      </c>
      <c r="AK45" s="8">
        <f t="shared" si="80"/>
        <v>-0.36471672059030508</v>
      </c>
      <c r="AL45" s="8">
        <f t="shared" si="81"/>
        <v>-0.37066108423378891</v>
      </c>
      <c r="AM45" s="8">
        <f t="shared" si="82"/>
        <v>-6.4036475885824989E-3</v>
      </c>
      <c r="AN45" s="8">
        <f t="shared" si="83"/>
        <v>-7.8984097545742926E-2</v>
      </c>
      <c r="AO45" s="8">
        <f t="shared" si="84"/>
        <v>0.3622045808692807</v>
      </c>
      <c r="AP45" s="8">
        <f t="shared" si="85"/>
        <v>0.33967576125510091</v>
      </c>
      <c r="AQ45" s="8">
        <f t="shared" si="86"/>
        <v>0.14849586958422251</v>
      </c>
      <c r="AR45" s="8">
        <f t="shared" si="87"/>
        <v>0.21223830310814221</v>
      </c>
      <c r="AS45" s="8">
        <f t="shared" si="88"/>
        <v>-0.30394991159989354</v>
      </c>
      <c r="AT45" s="8">
        <f t="shared" si="89"/>
        <v>-0.25641504707847962</v>
      </c>
      <c r="AU45" s="8">
        <f t="shared" si="90"/>
        <v>-0.26773488696758929</v>
      </c>
      <c r="AV45" s="8">
        <f t="shared" si="91"/>
        <v>-0.31282947648605985</v>
      </c>
      <c r="AW45" s="8">
        <f t="shared" si="92"/>
        <v>0.19891798488136866</v>
      </c>
      <c r="AX45" s="8">
        <f t="shared" si="93"/>
        <v>0.13369259195945044</v>
      </c>
      <c r="AY45" s="8">
        <f t="shared" si="94"/>
        <v>0.34577006365932056</v>
      </c>
      <c r="AZ45" s="8">
        <f t="shared" si="95"/>
        <v>0.3652768458989018</v>
      </c>
      <c r="BA45" s="8">
        <f t="shared" si="96"/>
        <v>-6.3272995171373289E-2</v>
      </c>
      <c r="BB45" s="8">
        <f t="shared" si="97"/>
        <v>9.604874220491692E-3</v>
      </c>
      <c r="BC45" s="8">
        <f t="shared" si="98"/>
        <v>-0.37059194872395063</v>
      </c>
      <c r="BD45" s="8">
        <f t="shared" si="99"/>
        <v>-0.36150887058312159</v>
      </c>
      <c r="BE45" s="8">
        <f t="shared" si="100"/>
        <v>-8.2109576527482783E-2</v>
      </c>
      <c r="BF45" s="8">
        <f t="shared" si="101"/>
        <v>-0.15142417029071045</v>
      </c>
      <c r="BG45" s="8">
        <f t="shared" si="102"/>
        <v>0.33838050582085344</v>
      </c>
      <c r="BH45" s="8">
        <f t="shared" si="103"/>
        <v>0.30210543408098278</v>
      </c>
      <c r="BI45" s="8">
        <f t="shared" si="47"/>
        <v>0.21485565565408718</v>
      </c>
    </row>
    <row r="46" spans="1:66">
      <c r="A46" s="1">
        <v>44</v>
      </c>
      <c r="B46" s="5">
        <v>15185</v>
      </c>
      <c r="C46" s="8">
        <f t="shared" si="48"/>
        <v>9.6280633774798492</v>
      </c>
      <c r="D46" s="8">
        <f t="shared" si="49"/>
        <v>5.024</v>
      </c>
      <c r="E46" s="7">
        <f t="shared" si="50"/>
        <v>1.25</v>
      </c>
      <c r="F46" s="8"/>
      <c r="G46" s="8"/>
      <c r="H46" s="8">
        <f t="shared" si="55"/>
        <v>0.10734151682416161</v>
      </c>
      <c r="I46" s="8">
        <f t="shared" si="51"/>
        <v>-0.33325033841867419</v>
      </c>
      <c r="J46" s="8">
        <f t="shared" si="52"/>
        <v>-0.28429119442738926</v>
      </c>
      <c r="K46" s="8">
        <f t="shared" si="53"/>
        <v>-0.20434408741463744</v>
      </c>
      <c r="L46" s="8">
        <f t="shared" si="56"/>
        <v>-0.28166459466691385</v>
      </c>
      <c r="M46" s="8">
        <f t="shared" si="54"/>
        <v>0.2079496222679805</v>
      </c>
      <c r="N46" s="8">
        <f t="shared" si="57"/>
        <v>0.11157870799049915</v>
      </c>
      <c r="O46" s="8">
        <f t="shared" si="58"/>
        <v>0.33185566322340126</v>
      </c>
      <c r="P46" s="8">
        <f t="shared" si="59"/>
        <v>0.35008297757813511</v>
      </c>
      <c r="Q46" s="8">
        <f t="shared" si="60"/>
        <v>-4.4607286736104501E-3</v>
      </c>
      <c r="R46" s="8">
        <f t="shared" si="61"/>
        <v>0.10308690018880257</v>
      </c>
      <c r="S46" s="8">
        <f t="shared" si="62"/>
        <v>-0.3345909148493672</v>
      </c>
      <c r="T46" s="8">
        <f t="shared" si="63"/>
        <v>-0.28687164328979664</v>
      </c>
      <c r="U46" s="8">
        <f t="shared" si="64"/>
        <v>-0.20070538001380109</v>
      </c>
      <c r="V46" s="8">
        <f t="shared" si="65"/>
        <v>-0.27899227040194252</v>
      </c>
      <c r="W46" s="8">
        <f t="shared" si="66"/>
        <v>0.21152139926315258</v>
      </c>
      <c r="X46" s="8">
        <f t="shared" si="67"/>
        <v>0.11579778583612871</v>
      </c>
      <c r="Y46" s="8">
        <f t="shared" si="68"/>
        <v>0.3304071156705356</v>
      </c>
      <c r="Z46" s="8">
        <f t="shared" si="69"/>
        <v>0.34999772829165443</v>
      </c>
      <c r="AA46" s="8">
        <f t="shared" si="70"/>
        <v>-8.9207332071899719E-3</v>
      </c>
      <c r="AB46" s="8">
        <f t="shared" si="71"/>
        <v>9.8815548764904754E-2</v>
      </c>
      <c r="AC46" s="8">
        <f t="shared" si="72"/>
        <v>-0.33587717489070817</v>
      </c>
      <c r="AD46" s="8">
        <f t="shared" si="73"/>
        <v>-0.28940552235254968</v>
      </c>
      <c r="AE46" s="8">
        <f t="shared" si="74"/>
        <v>-0.19703409076127026</v>
      </c>
      <c r="AF46" s="8">
        <f t="shared" si="75"/>
        <v>-0.27627465544881169</v>
      </c>
      <c r="AG46" s="8">
        <f t="shared" si="76"/>
        <v>0.21505883856961797</v>
      </c>
      <c r="AH46" s="8">
        <f t="shared" si="77"/>
        <v>0.11999806544982194</v>
      </c>
      <c r="AI46" s="8">
        <f t="shared" si="78"/>
        <v>0.32890493091252504</v>
      </c>
      <c r="AJ46" s="8">
        <f t="shared" si="79"/>
        <v>0.34985566152436864</v>
      </c>
      <c r="AK46" s="8">
        <f t="shared" si="80"/>
        <v>-1.3379289578263398E-2</v>
      </c>
      <c r="AL46" s="8">
        <f t="shared" si="81"/>
        <v>9.4528155949614417E-2</v>
      </c>
      <c r="AM46" s="8">
        <f t="shared" si="82"/>
        <v>-0.33710890973547109</v>
      </c>
      <c r="AN46" s="8">
        <f t="shared" si="83"/>
        <v>-0.29189242027404821</v>
      </c>
      <c r="AO46" s="8">
        <f t="shared" si="84"/>
        <v>-0.19333081564207771</v>
      </c>
      <c r="AP46" s="8">
        <f t="shared" si="85"/>
        <v>-0.27351219097620266</v>
      </c>
      <c r="AQ46" s="8">
        <f t="shared" si="86"/>
        <v>0.21856136593110381</v>
      </c>
      <c r="AR46" s="8">
        <f t="shared" si="87"/>
        <v>0.12417886497198879</v>
      </c>
      <c r="AS46" s="8">
        <f t="shared" si="88"/>
        <v>0.32734935280910699</v>
      </c>
      <c r="AT46" s="8">
        <f t="shared" si="89"/>
        <v>0.34965680033892993</v>
      </c>
      <c r="AU46" s="8">
        <f t="shared" si="90"/>
        <v>-1.7835673999440523E-2</v>
      </c>
      <c r="AV46" s="8">
        <f t="shared" si="91"/>
        <v>9.0225417744193723E-2</v>
      </c>
      <c r="AW46" s="8">
        <f t="shared" si="92"/>
        <v>-0.33828591942786856</v>
      </c>
      <c r="AX46" s="8">
        <f t="shared" si="93"/>
        <v>-0.29433193333945917</v>
      </c>
      <c r="AY46" s="8">
        <f t="shared" si="94"/>
        <v>-0.18959615583373196</v>
      </c>
      <c r="AZ46" s="8">
        <f t="shared" si="95"/>
        <v>-0.27070532543351639</v>
      </c>
      <c r="BA46" s="8">
        <f t="shared" si="96"/>
        <v>0.2220284127588327</v>
      </c>
      <c r="BB46" s="8">
        <f t="shared" si="97"/>
        <v>0.12833950570538366</v>
      </c>
      <c r="BC46" s="8">
        <f t="shared" si="98"/>
        <v>0.32574063388771507</v>
      </c>
      <c r="BD46" s="8">
        <f t="shared" si="99"/>
        <v>0.34940117701780909</v>
      </c>
      <c r="BE46" s="8">
        <f t="shared" si="100"/>
        <v>-2.2289163035929534E-2</v>
      </c>
      <c r="BF46" s="8">
        <f t="shared" si="101"/>
        <v>8.5908032641013127E-2</v>
      </c>
      <c r="BG46" s="8">
        <f t="shared" si="102"/>
        <v>-0.33940801289601763</v>
      </c>
      <c r="BH46" s="8">
        <f t="shared" si="103"/>
        <v>-0.29672366552625273</v>
      </c>
      <c r="BI46" s="8">
        <f t="shared" si="47"/>
        <v>-0.1858307176086266</v>
      </c>
      <c r="BM46">
        <v>7.6403774918864676E-3</v>
      </c>
      <c r="BN46">
        <v>4.6780868525540548E-3</v>
      </c>
    </row>
    <row r="47" spans="1:66">
      <c r="A47" s="1">
        <v>45</v>
      </c>
      <c r="B47" s="5">
        <v>4473</v>
      </c>
      <c r="C47" s="8">
        <f t="shared" si="48"/>
        <v>8.405814603432848</v>
      </c>
      <c r="D47" s="8">
        <f t="shared" si="49"/>
        <v>5.1381818181818186</v>
      </c>
      <c r="E47" s="7">
        <f t="shared" si="50"/>
        <v>1.2222222222222221</v>
      </c>
      <c r="F47" s="8"/>
      <c r="G47" s="8"/>
      <c r="H47" s="8">
        <f t="shared" si="55"/>
        <v>0.12625318284954981</v>
      </c>
      <c r="I47" s="8">
        <f t="shared" si="51"/>
        <v>-0.27837354141615117</v>
      </c>
      <c r="J47" s="8">
        <f t="shared" si="52"/>
        <v>-0.20137000937235044</v>
      </c>
      <c r="K47" s="8">
        <f t="shared" si="53"/>
        <v>-0.2299604619615967</v>
      </c>
      <c r="L47" s="8">
        <f t="shared" si="56"/>
        <v>-0.29260211150455612</v>
      </c>
      <c r="M47" s="8">
        <f t="shared" si="54"/>
        <v>8.8406442544006744E-2</v>
      </c>
      <c r="N47" s="8">
        <f t="shared" si="57"/>
        <v>-4.0344473944641954E-2</v>
      </c>
      <c r="O47" s="8">
        <f t="shared" si="58"/>
        <v>0.30299177903425295</v>
      </c>
      <c r="P47" s="8">
        <f t="shared" si="59"/>
        <v>0.25927410978891158</v>
      </c>
      <c r="Q47" s="8">
        <f t="shared" si="60"/>
        <v>0.16189079879158946</v>
      </c>
      <c r="R47" s="8">
        <f t="shared" si="61"/>
        <v>0.25452716443463907</v>
      </c>
      <c r="S47" s="8">
        <f t="shared" si="62"/>
        <v>-0.16925607021632533</v>
      </c>
      <c r="T47" s="8">
        <f t="shared" si="63"/>
        <v>-4.9012804000283496E-2</v>
      </c>
      <c r="U47" s="8">
        <f t="shared" si="64"/>
        <v>-0.30171085460129082</v>
      </c>
      <c r="V47" s="8">
        <f t="shared" si="65"/>
        <v>-0.2950159515248203</v>
      </c>
      <c r="W47" s="8">
        <f t="shared" si="66"/>
        <v>-7.9983017485691116E-2</v>
      </c>
      <c r="X47" s="8">
        <f t="shared" si="67"/>
        <v>-0.19469571856101972</v>
      </c>
      <c r="Y47" s="8">
        <f t="shared" si="68"/>
        <v>0.23563801033411325</v>
      </c>
      <c r="Z47" s="8">
        <f t="shared" si="69"/>
        <v>0.1341805605085977</v>
      </c>
      <c r="AA47" s="8">
        <f t="shared" si="70"/>
        <v>0.27464025910599854</v>
      </c>
      <c r="AB47" s="8">
        <f t="shared" si="71"/>
        <v>0.30554038980330228</v>
      </c>
      <c r="AC47" s="8">
        <f t="shared" si="72"/>
        <v>-8.761560309529938E-3</v>
      </c>
      <c r="AD47" s="8">
        <f t="shared" si="73"/>
        <v>0.1182220522887724</v>
      </c>
      <c r="AE47" s="8">
        <f t="shared" si="74"/>
        <v>-0.28187806068022075</v>
      </c>
      <c r="AF47" s="8">
        <f t="shared" si="75"/>
        <v>-0.207878817442401</v>
      </c>
      <c r="AG47" s="8">
        <f t="shared" si="76"/>
        <v>-0.22409393565859917</v>
      </c>
      <c r="AH47" s="8">
        <f t="shared" si="77"/>
        <v>-0.28994781562064281</v>
      </c>
      <c r="AI47" s="8">
        <f t="shared" si="78"/>
        <v>9.675721656305121E-2</v>
      </c>
      <c r="AJ47" s="8">
        <f t="shared" si="79"/>
        <v>-3.1642989427893009E-2</v>
      </c>
      <c r="AK47" s="8">
        <f t="shared" si="80"/>
        <v>0.30402370953640723</v>
      </c>
      <c r="AL47" s="8">
        <f t="shared" si="81"/>
        <v>0.26380798771291036</v>
      </c>
      <c r="AM47" s="8">
        <f t="shared" si="82"/>
        <v>0.15439248802670552</v>
      </c>
      <c r="AN47" s="8">
        <f t="shared" si="83"/>
        <v>0.24957105261594334</v>
      </c>
      <c r="AO47" s="8">
        <f t="shared" si="84"/>
        <v>-0.17648224963542794</v>
      </c>
      <c r="AP47" s="8">
        <f t="shared" si="85"/>
        <v>-5.76408560960164E-2</v>
      </c>
      <c r="AQ47" s="8">
        <f t="shared" si="86"/>
        <v>-0.30018198888129477</v>
      </c>
      <c r="AR47" s="8">
        <f t="shared" si="87"/>
        <v>-0.29718735202525509</v>
      </c>
      <c r="AS47" s="8">
        <f t="shared" si="88"/>
        <v>-7.1493863627786813E-2</v>
      </c>
      <c r="AT47" s="8">
        <f t="shared" si="89"/>
        <v>-0.18786142983677465</v>
      </c>
      <c r="AU47" s="8">
        <f t="shared" si="90"/>
        <v>0.24112191505521446</v>
      </c>
      <c r="AV47" s="8">
        <f t="shared" si="91"/>
        <v>0.14199767067027486</v>
      </c>
      <c r="AW47" s="8">
        <f t="shared" si="92"/>
        <v>0.27068128170309014</v>
      </c>
      <c r="AX47" s="8">
        <f t="shared" si="93"/>
        <v>0.30516370568773554</v>
      </c>
      <c r="AY47" s="8">
        <f t="shared" si="94"/>
        <v>-1.7515920505088357E-2</v>
      </c>
      <c r="AZ47" s="8">
        <f t="shared" si="95"/>
        <v>0.11009376868443214</v>
      </c>
      <c r="BA47" s="8">
        <f t="shared" si="96"/>
        <v>-0.28515093693879079</v>
      </c>
      <c r="BB47" s="8">
        <f t="shared" si="97"/>
        <v>-0.21421679393394349</v>
      </c>
      <c r="BC47" s="8">
        <f t="shared" si="98"/>
        <v>-0.21804325244518313</v>
      </c>
      <c r="BD47" s="8">
        <f t="shared" si="99"/>
        <v>-0.28705524513214986</v>
      </c>
      <c r="BE47" s="8">
        <f t="shared" si="100"/>
        <v>0.10502847700663294</v>
      </c>
      <c r="BF47" s="8">
        <f t="shared" si="101"/>
        <v>-2.2915501194654027E-2</v>
      </c>
      <c r="BG47" s="8">
        <f t="shared" si="102"/>
        <v>0.30480579808331942</v>
      </c>
      <c r="BH47" s="8">
        <f t="shared" si="103"/>
        <v>0.26812507233628285</v>
      </c>
      <c r="BI47" s="8">
        <f t="shared" si="47"/>
        <v>0.14676729991682258</v>
      </c>
    </row>
    <row r="48" spans="1:66">
      <c r="A48" s="1">
        <v>46</v>
      </c>
      <c r="B48" s="5">
        <v>5781</v>
      </c>
      <c r="C48" s="8">
        <f t="shared" si="48"/>
        <v>8.6623319570824755</v>
      </c>
      <c r="D48" s="8">
        <f t="shared" si="49"/>
        <v>5.2523636363636363</v>
      </c>
      <c r="E48" s="7">
        <f t="shared" si="50"/>
        <v>1.1956521739130435</v>
      </c>
      <c r="F48" s="8"/>
      <c r="G48" s="8"/>
      <c r="H48" s="8">
        <f t="shared" si="55"/>
        <v>0.1619428483427926</v>
      </c>
      <c r="I48" s="8">
        <f t="shared" si="51"/>
        <v>-0.27017709784045191</v>
      </c>
      <c r="J48" s="8">
        <f t="shared" si="52"/>
        <v>-0.14847963611247753</v>
      </c>
      <c r="K48" s="8">
        <f t="shared" si="53"/>
        <v>-0.27780379404675543</v>
      </c>
      <c r="L48" s="8">
        <f t="shared" si="56"/>
        <v>-0.31461384296235234</v>
      </c>
      <c r="M48" s="8">
        <f t="shared" si="54"/>
        <v>-1.5468682662921267E-2</v>
      </c>
      <c r="N48" s="8">
        <f t="shared" si="57"/>
        <v>-0.17501528604478311</v>
      </c>
      <c r="O48" s="8">
        <f t="shared" si="58"/>
        <v>0.26189845356078106</v>
      </c>
      <c r="P48" s="8">
        <f t="shared" si="59"/>
        <v>0.13465813661994983</v>
      </c>
      <c r="Q48" s="8">
        <f t="shared" si="60"/>
        <v>0.28476013865867672</v>
      </c>
      <c r="R48" s="8">
        <f t="shared" si="61"/>
        <v>0.3134746208710803</v>
      </c>
      <c r="S48" s="8">
        <f t="shared" si="62"/>
        <v>3.0900038779883489E-2</v>
      </c>
      <c r="T48" s="8">
        <f t="shared" si="63"/>
        <v>0.18766540490680167</v>
      </c>
      <c r="U48" s="8">
        <f t="shared" si="64"/>
        <v>-0.25298783790536661</v>
      </c>
      <c r="V48" s="8">
        <f t="shared" si="65"/>
        <v>-0.12051170169272271</v>
      </c>
      <c r="W48" s="8">
        <f t="shared" si="66"/>
        <v>-0.29102934574023642</v>
      </c>
      <c r="X48" s="8">
        <f t="shared" si="67"/>
        <v>-0.31157897206281404</v>
      </c>
      <c r="Y48" s="8">
        <f t="shared" si="68"/>
        <v>-4.6256831875367416E-2</v>
      </c>
      <c r="Z48" s="8">
        <f t="shared" si="69"/>
        <v>-0.19986267968934734</v>
      </c>
      <c r="AA48" s="8">
        <f t="shared" si="70"/>
        <v>0.2434667525438724</v>
      </c>
      <c r="AB48" s="8">
        <f t="shared" si="71"/>
        <v>0.10607446724042667</v>
      </c>
      <c r="AC48" s="8">
        <f t="shared" si="72"/>
        <v>0.29659628744562111</v>
      </c>
      <c r="AD48" s="8">
        <f t="shared" si="73"/>
        <v>0.3089314708134574</v>
      </c>
      <c r="AE48" s="8">
        <f t="shared" si="74"/>
        <v>6.1502005397383167E-2</v>
      </c>
      <c r="AF48" s="8">
        <f t="shared" si="75"/>
        <v>0.2115776778836736</v>
      </c>
      <c r="AG48" s="8">
        <f t="shared" si="76"/>
        <v>-0.23335817223362523</v>
      </c>
      <c r="AH48" s="8">
        <f t="shared" si="77"/>
        <v>-9.1381270883499899E-2</v>
      </c>
      <c r="AI48" s="8">
        <f t="shared" si="78"/>
        <v>-0.30144753052327738</v>
      </c>
      <c r="AJ48" s="8">
        <f t="shared" si="79"/>
        <v>-0.30553850564873125</v>
      </c>
      <c r="AK48" s="8">
        <f t="shared" si="80"/>
        <v>-7.6598772136412752E-2</v>
      </c>
      <c r="AL48" s="8">
        <f t="shared" si="81"/>
        <v>-0.2227821307336062</v>
      </c>
      <c r="AM48" s="8">
        <f t="shared" si="82"/>
        <v>0.22268648938060939</v>
      </c>
      <c r="AN48" s="8">
        <f t="shared" si="83"/>
        <v>7.6467567888624466E-2</v>
      </c>
      <c r="AO48" s="8">
        <f t="shared" si="84"/>
        <v>0.30557136873088175</v>
      </c>
      <c r="AP48" s="8">
        <f t="shared" si="85"/>
        <v>0.30140826392840603</v>
      </c>
      <c r="AQ48" s="8">
        <f t="shared" si="86"/>
        <v>9.1510702994404905E-2</v>
      </c>
      <c r="AR48" s="8">
        <f t="shared" si="87"/>
        <v>0.23344900144917816</v>
      </c>
      <c r="AS48" s="8">
        <f t="shared" si="88"/>
        <v>-0.2114774551796183</v>
      </c>
      <c r="AT48" s="8">
        <f t="shared" si="89"/>
        <v>-6.1369345613775293E-2</v>
      </c>
      <c r="AU48" s="8">
        <f t="shared" si="90"/>
        <v>-0.30895785108296381</v>
      </c>
      <c r="AV48" s="8">
        <f t="shared" si="91"/>
        <v>-0.2965507120898826</v>
      </c>
      <c r="AW48" s="8">
        <f t="shared" si="92"/>
        <v>-0.10620181488962142</v>
      </c>
      <c r="AX48" s="8">
        <f t="shared" si="93"/>
        <v>-0.24355255044747351</v>
      </c>
      <c r="AY48" s="8">
        <f t="shared" si="94"/>
        <v>0.19975811747560276</v>
      </c>
      <c r="AZ48" s="8">
        <f t="shared" si="95"/>
        <v>4.6123036669269417E-2</v>
      </c>
      <c r="BA48" s="8">
        <f t="shared" si="96"/>
        <v>0.31159880586303779</v>
      </c>
      <c r="BB48" s="8">
        <f t="shared" si="97"/>
        <v>0.29097757159877524</v>
      </c>
      <c r="BC48" s="8">
        <f t="shared" si="98"/>
        <v>0.12063665758526916</v>
      </c>
      <c r="BD48" s="8">
        <f t="shared" si="99"/>
        <v>0.25306839746326792</v>
      </c>
      <c r="BE48" s="8">
        <f t="shared" si="100"/>
        <v>-0.18755675549614123</v>
      </c>
      <c r="BF48" s="8">
        <f t="shared" si="101"/>
        <v>-3.0765431004442206E-2</v>
      </c>
      <c r="BG48" s="8">
        <f t="shared" si="102"/>
        <v>-0.31348786034227349</v>
      </c>
      <c r="BH48" s="8">
        <f t="shared" si="103"/>
        <v>-0.28470229066455216</v>
      </c>
      <c r="BI48" s="8">
        <f t="shared" si="47"/>
        <v>-0.1347803992323168</v>
      </c>
      <c r="BM48">
        <v>0.27789591650808776</v>
      </c>
      <c r="BN48">
        <v>0.17124128124824395</v>
      </c>
    </row>
    <row r="49" spans="1:66">
      <c r="A49" s="1">
        <v>47</v>
      </c>
      <c r="B49" s="5">
        <v>9117</v>
      </c>
      <c r="C49" s="8">
        <f t="shared" si="48"/>
        <v>9.1178960815849024</v>
      </c>
      <c r="D49" s="8">
        <f t="shared" si="49"/>
        <v>5.366545454545455</v>
      </c>
      <c r="E49" s="7">
        <f t="shared" si="50"/>
        <v>1.1702127659574468</v>
      </c>
      <c r="F49" s="8"/>
      <c r="G49" s="8"/>
      <c r="H49" s="8">
        <f t="shared" si="55"/>
        <v>0.20175088099640789</v>
      </c>
      <c r="I49" s="8">
        <f t="shared" si="51"/>
        <v>-0.26311313370994843</v>
      </c>
      <c r="J49" s="8">
        <f t="shared" si="52"/>
        <v>-8.6033042002965437E-2</v>
      </c>
      <c r="K49" s="8">
        <f t="shared" si="53"/>
        <v>-0.32020345844042963</v>
      </c>
      <c r="L49" s="8">
        <f t="shared" si="56"/>
        <v>-0.30645138454431842</v>
      </c>
      <c r="M49" s="8">
        <f t="shared" si="54"/>
        <v>-0.12656811614449442</v>
      </c>
      <c r="N49" s="8">
        <f t="shared" si="57"/>
        <v>-0.28691220702866249</v>
      </c>
      <c r="O49" s="8">
        <f t="shared" si="58"/>
        <v>0.16617257466693433</v>
      </c>
      <c r="P49" s="8">
        <f t="shared" si="59"/>
        <v>-4.2715073488257947E-2</v>
      </c>
      <c r="Q49" s="8">
        <f t="shared" si="60"/>
        <v>0.32879683941666571</v>
      </c>
      <c r="R49" s="8">
        <f t="shared" si="61"/>
        <v>0.23492881089171797</v>
      </c>
      <c r="S49" s="8">
        <f t="shared" si="62"/>
        <v>0.2339666491756878</v>
      </c>
      <c r="T49" s="8">
        <f t="shared" si="63"/>
        <v>0.32861877078431306</v>
      </c>
      <c r="U49" s="8">
        <f t="shared" si="64"/>
        <v>-4.4064073821005821E-2</v>
      </c>
      <c r="V49" s="8">
        <f t="shared" si="65"/>
        <v>0.16499370696167842</v>
      </c>
      <c r="W49" s="8">
        <f t="shared" si="66"/>
        <v>-0.28759175192717146</v>
      </c>
      <c r="X49" s="8">
        <f t="shared" si="67"/>
        <v>-0.12782470609776395</v>
      </c>
      <c r="Y49" s="8">
        <f t="shared" si="68"/>
        <v>-0.30592937685766008</v>
      </c>
      <c r="Z49" s="8">
        <f t="shared" si="69"/>
        <v>-0.32055383575310414</v>
      </c>
      <c r="AA49" s="8">
        <f t="shared" si="70"/>
        <v>-8.471822411658482E-2</v>
      </c>
      <c r="AB49" s="8">
        <f t="shared" si="71"/>
        <v>-0.26228294598790092</v>
      </c>
      <c r="AC49" s="8">
        <f t="shared" si="72"/>
        <v>0.20282898056590384</v>
      </c>
      <c r="AD49" s="8">
        <f t="shared" si="73"/>
        <v>1.360699283328158E-3</v>
      </c>
      <c r="AE49" s="8">
        <f t="shared" si="74"/>
        <v>0.33155706539139884</v>
      </c>
      <c r="AF49" s="8">
        <f t="shared" si="75"/>
        <v>0.26393888999295778</v>
      </c>
      <c r="AG49" s="8">
        <f t="shared" si="76"/>
        <v>0.20066938347137384</v>
      </c>
      <c r="AH49" s="8">
        <f t="shared" si="77"/>
        <v>0.3198476881544523</v>
      </c>
      <c r="AI49" s="8">
        <f t="shared" si="78"/>
        <v>-8.7346410892194914E-2</v>
      </c>
      <c r="AJ49" s="8">
        <f t="shared" si="79"/>
        <v>0.12530939448885448</v>
      </c>
      <c r="AK49" s="8">
        <f t="shared" si="80"/>
        <v>-0.30696823087468283</v>
      </c>
      <c r="AL49" s="8">
        <f t="shared" si="81"/>
        <v>-0.16734864363833762</v>
      </c>
      <c r="AM49" s="8">
        <f t="shared" si="82"/>
        <v>-0.28622782985919565</v>
      </c>
      <c r="AN49" s="8">
        <f t="shared" si="83"/>
        <v>-0.32896937034313056</v>
      </c>
      <c r="AO49" s="8">
        <f t="shared" si="84"/>
        <v>-4.1365353734014502E-2</v>
      </c>
      <c r="AP49" s="8">
        <f t="shared" si="85"/>
        <v>-0.23300054691542066</v>
      </c>
      <c r="AQ49" s="8">
        <f t="shared" si="86"/>
        <v>0.23588701585846306</v>
      </c>
      <c r="AR49" s="8">
        <f t="shared" si="87"/>
        <v>4.5412332011947498E-2</v>
      </c>
      <c r="AS49" s="8">
        <f t="shared" si="88"/>
        <v>0.32843516744516349</v>
      </c>
      <c r="AT49" s="8">
        <f t="shared" si="89"/>
        <v>0.28826645310960047</v>
      </c>
      <c r="AU49" s="8">
        <f t="shared" si="90"/>
        <v>0.16381206037745341</v>
      </c>
      <c r="AV49" s="8">
        <f t="shared" si="91"/>
        <v>0.30540221660653527</v>
      </c>
      <c r="AW49" s="8">
        <f t="shared" si="92"/>
        <v>-0.12907914318475644</v>
      </c>
      <c r="AX49" s="8">
        <f t="shared" si="93"/>
        <v>8.3401979377653285E-2</v>
      </c>
      <c r="AY49" s="8">
        <f t="shared" si="94"/>
        <v>-0.32089881419130462</v>
      </c>
      <c r="AZ49" s="8">
        <f t="shared" si="95"/>
        <v>-0.20390366402214799</v>
      </c>
      <c r="BA49" s="8">
        <f t="shared" si="96"/>
        <v>-0.26144834080911455</v>
      </c>
      <c r="BB49" s="8">
        <f t="shared" si="97"/>
        <v>-0.33154868907608626</v>
      </c>
      <c r="BC49" s="8">
        <f t="shared" si="98"/>
        <v>2.7213756493057527E-3</v>
      </c>
      <c r="BD49" s="8">
        <f t="shared" si="99"/>
        <v>-0.19958450620574533</v>
      </c>
      <c r="BE49" s="8">
        <f t="shared" si="100"/>
        <v>0.26476020092926494</v>
      </c>
      <c r="BF49" s="8">
        <f t="shared" si="101"/>
        <v>8.8658308664080934E-2</v>
      </c>
      <c r="BG49" s="8">
        <f t="shared" si="102"/>
        <v>0.31948653088717288</v>
      </c>
      <c r="BH49" s="8">
        <f t="shared" si="103"/>
        <v>0.30747990714385537</v>
      </c>
      <c r="BI49" s="8">
        <f t="shared" si="47"/>
        <v>0.12404856233065345</v>
      </c>
    </row>
    <row r="50" spans="1:66">
      <c r="A50" s="1">
        <v>48</v>
      </c>
      <c r="B50" s="5">
        <v>19267</v>
      </c>
      <c r="C50" s="8">
        <f t="shared" si="48"/>
        <v>9.8661490668807605</v>
      </c>
      <c r="D50" s="8">
        <f t="shared" si="49"/>
        <v>5.4807272727272727</v>
      </c>
      <c r="E50" s="7">
        <f t="shared" si="50"/>
        <v>1.1458333333333335</v>
      </c>
      <c r="F50" s="8"/>
      <c r="G50" s="8"/>
      <c r="H50" s="8">
        <f t="shared" si="55"/>
        <v>0.24932344217820643</v>
      </c>
      <c r="I50" s="8">
        <f t="shared" si="51"/>
        <v>-0.25797879258753503</v>
      </c>
      <c r="J50" s="8">
        <f t="shared" si="52"/>
        <v>-1.2238732744470102E-2</v>
      </c>
      <c r="K50" s="8">
        <f t="shared" si="53"/>
        <v>-0.35856024551715332</v>
      </c>
      <c r="L50" s="8">
        <f t="shared" si="56"/>
        <v>-0.26633384436538221</v>
      </c>
      <c r="M50" s="8">
        <f t="shared" si="54"/>
        <v>-0.24037786834496272</v>
      </c>
      <c r="N50" s="8">
        <f t="shared" si="57"/>
        <v>-0.35793405420186675</v>
      </c>
      <c r="O50" s="8">
        <f t="shared" si="58"/>
        <v>2.4463219067141866E-2</v>
      </c>
      <c r="P50" s="8">
        <f t="shared" si="59"/>
        <v>-0.23115248412816569</v>
      </c>
      <c r="Q50" s="8">
        <f t="shared" si="60"/>
        <v>0.27437887186496335</v>
      </c>
      <c r="R50" s="8">
        <f t="shared" si="61"/>
        <v>3.6659229129676243E-2</v>
      </c>
      <c r="S50" s="8">
        <f t="shared" si="62"/>
        <v>0.35689121194578294</v>
      </c>
      <c r="T50" s="8">
        <f t="shared" si="63"/>
        <v>0.28210451032135148</v>
      </c>
      <c r="U50" s="8">
        <f t="shared" si="64"/>
        <v>0.22165802827974074</v>
      </c>
      <c r="V50" s="8">
        <f t="shared" si="65"/>
        <v>0.35543293266303477</v>
      </c>
      <c r="W50" s="8">
        <f t="shared" si="66"/>
        <v>-4.8812566241352717E-2</v>
      </c>
      <c r="X50" s="8">
        <f t="shared" si="67"/>
        <v>0.21190555276279249</v>
      </c>
      <c r="Y50" s="8">
        <f t="shared" si="68"/>
        <v>-0.28950176675247979</v>
      </c>
      <c r="Z50" s="8">
        <f t="shared" si="69"/>
        <v>-6.090908338463432E-2</v>
      </c>
      <c r="AA50" s="8">
        <f t="shared" si="70"/>
        <v>-0.35356091385467869</v>
      </c>
      <c r="AB50" s="8">
        <f t="shared" si="71"/>
        <v>-0.29656203042736179</v>
      </c>
      <c r="AC50" s="8">
        <f t="shared" si="72"/>
        <v>-0.20190640988664121</v>
      </c>
      <c r="AD50" s="8">
        <f t="shared" si="73"/>
        <v>-0.35127733463272903</v>
      </c>
      <c r="AE50" s="8">
        <f t="shared" si="74"/>
        <v>7.2934699682918686E-2</v>
      </c>
      <c r="AF50" s="8">
        <f t="shared" si="75"/>
        <v>-0.19167223909223316</v>
      </c>
      <c r="AG50" s="8">
        <f t="shared" si="76"/>
        <v>0.30327708288936323</v>
      </c>
      <c r="AH50" s="8">
        <f t="shared" si="77"/>
        <v>8.4875416791304739E-2</v>
      </c>
      <c r="AI50" s="8">
        <f t="shared" si="78"/>
        <v>0.34858485318357446</v>
      </c>
      <c r="AJ50" s="8">
        <f t="shared" si="79"/>
        <v>0.30963910752284485</v>
      </c>
      <c r="AK50" s="8">
        <f t="shared" si="80"/>
        <v>0.1812149534033215</v>
      </c>
      <c r="AL50" s="8">
        <f t="shared" si="81"/>
        <v>0.34548660367373479</v>
      </c>
      <c r="AM50" s="8">
        <f t="shared" si="82"/>
        <v>-9.6717335191265241E-2</v>
      </c>
      <c r="AN50" s="8">
        <f t="shared" si="83"/>
        <v>0.17054672555918854</v>
      </c>
      <c r="AO50" s="8">
        <f t="shared" si="84"/>
        <v>-0.31564069865204436</v>
      </c>
      <c r="AP50" s="8">
        <f t="shared" si="85"/>
        <v>-0.10844667037030617</v>
      </c>
      <c r="AQ50" s="8">
        <f t="shared" si="86"/>
        <v>-0.34198619260155227</v>
      </c>
      <c r="AR50" s="8">
        <f t="shared" si="87"/>
        <v>-0.32127487016161693</v>
      </c>
      <c r="AS50" s="8">
        <f t="shared" si="88"/>
        <v>-0.15967997384502547</v>
      </c>
      <c r="AT50" s="8">
        <f t="shared" si="89"/>
        <v>-0.33808769459906957</v>
      </c>
      <c r="AU50" s="8">
        <f t="shared" si="90"/>
        <v>0.12004976886774135</v>
      </c>
      <c r="AV50" s="8">
        <f t="shared" si="91"/>
        <v>-0.14862734763653029</v>
      </c>
      <c r="AW50" s="8">
        <f t="shared" si="92"/>
        <v>0.32653506362876528</v>
      </c>
      <c r="AX50" s="8">
        <f t="shared" si="93"/>
        <v>0.13151312416791983</v>
      </c>
      <c r="AY50" s="8">
        <f t="shared" si="94"/>
        <v>0.33379564768897929</v>
      </c>
      <c r="AZ50" s="8">
        <f t="shared" si="95"/>
        <v>0.33141515595754173</v>
      </c>
      <c r="BA50" s="8">
        <f t="shared" si="96"/>
        <v>0.13740171267546183</v>
      </c>
      <c r="BB50" s="8">
        <f t="shared" si="97"/>
        <v>0.32911504800216851</v>
      </c>
      <c r="BC50" s="8">
        <f t="shared" si="98"/>
        <v>-0.14282339242239758</v>
      </c>
      <c r="BD50" s="8">
        <f t="shared" si="99"/>
        <v>0.1260161360933611</v>
      </c>
      <c r="BE50" s="8">
        <f t="shared" si="100"/>
        <v>-0.33590946650639569</v>
      </c>
      <c r="BF50" s="8">
        <f t="shared" si="101"/>
        <v>-0.15396740798278619</v>
      </c>
      <c r="BG50" s="8">
        <f t="shared" si="102"/>
        <v>-0.32405134396199331</v>
      </c>
      <c r="BH50" s="8">
        <f t="shared" si="103"/>
        <v>-0.34001276370069911</v>
      </c>
      <c r="BI50" s="8">
        <f t="shared" si="47"/>
        <v>-0.11448387120081326</v>
      </c>
      <c r="BM50">
        <v>8.1896358493633886E-2</v>
      </c>
      <c r="BN50">
        <v>5.0231733324628762E-2</v>
      </c>
    </row>
    <row r="51" spans="1:66">
      <c r="A51" s="1">
        <v>49</v>
      </c>
      <c r="B51" s="5">
        <v>36116</v>
      </c>
      <c r="C51" s="8">
        <f t="shared" si="48"/>
        <v>10.49449125942737</v>
      </c>
      <c r="D51" s="8">
        <f t="shared" si="49"/>
        <v>5.5949090909090913</v>
      </c>
      <c r="E51" s="7">
        <f t="shared" si="50"/>
        <v>1.1224489795918366</v>
      </c>
      <c r="F51" s="8"/>
      <c r="G51" s="8"/>
      <c r="H51" s="8">
        <f t="shared" si="55"/>
        <v>0.29473955049243999</v>
      </c>
      <c r="I51" s="8">
        <f t="shared" si="51"/>
        <v>-0.24240625297946447</v>
      </c>
      <c r="J51" s="8">
        <f t="shared" si="52"/>
        <v>7.366167518425E-2</v>
      </c>
      <c r="K51" s="8">
        <f t="shared" si="53"/>
        <v>-0.37444111915904715</v>
      </c>
      <c r="L51" s="8">
        <f t="shared" si="56"/>
        <v>-0.18095552159011047</v>
      </c>
      <c r="M51" s="8">
        <f t="shared" si="54"/>
        <v>-0.33598704337233121</v>
      </c>
      <c r="N51" s="8">
        <f t="shared" si="57"/>
        <v>-0.35318081790186856</v>
      </c>
      <c r="O51" s="8">
        <f t="shared" si="58"/>
        <v>-0.14455277228125668</v>
      </c>
      <c r="P51" s="8">
        <f t="shared" si="59"/>
        <v>-0.36459732242784698</v>
      </c>
      <c r="Q51" s="8">
        <f t="shared" si="60"/>
        <v>0.11269865388048923</v>
      </c>
      <c r="R51" s="8">
        <f t="shared" si="61"/>
        <v>-0.21000692075700311</v>
      </c>
      <c r="S51" s="8">
        <f t="shared" si="62"/>
        <v>0.31863660703408125</v>
      </c>
      <c r="T51" s="8">
        <f t="shared" si="63"/>
        <v>4.0202941206752038E-2</v>
      </c>
      <c r="U51" s="8">
        <f t="shared" si="64"/>
        <v>0.37949429195490697</v>
      </c>
      <c r="V51" s="8">
        <f t="shared" si="65"/>
        <v>0.27210777052434343</v>
      </c>
      <c r="W51" s="8">
        <f t="shared" si="66"/>
        <v>0.26756224570798659</v>
      </c>
      <c r="X51" s="8">
        <f t="shared" si="67"/>
        <v>0.38011764406973347</v>
      </c>
      <c r="Y51" s="8">
        <f t="shared" si="68"/>
        <v>3.3804892765768445E-2</v>
      </c>
      <c r="Z51" s="8">
        <f t="shared" si="69"/>
        <v>0.31505396440676431</v>
      </c>
      <c r="AA51" s="8">
        <f t="shared" si="70"/>
        <v>-0.21534436054749842</v>
      </c>
      <c r="AB51" s="8">
        <f t="shared" si="71"/>
        <v>0.10654125015424194</v>
      </c>
      <c r="AC51" s="8">
        <f t="shared" si="72"/>
        <v>-0.36644393312429246</v>
      </c>
      <c r="AD51" s="8">
        <f t="shared" si="73"/>
        <v>-0.15048137416199883</v>
      </c>
      <c r="AE51" s="8">
        <f t="shared" si="74"/>
        <v>-0.35069580855542914</v>
      </c>
      <c r="AF51" s="8">
        <f t="shared" si="75"/>
        <v>-0.33898745754883369</v>
      </c>
      <c r="AG51" s="8">
        <f t="shared" si="76"/>
        <v>-0.17527035611479591</v>
      </c>
      <c r="AH51" s="8">
        <f t="shared" si="77"/>
        <v>-0.37314720977646004</v>
      </c>
      <c r="AI51" s="8">
        <f t="shared" si="78"/>
        <v>7.9958451361142768E-2</v>
      </c>
      <c r="AJ51" s="8">
        <f t="shared" si="79"/>
        <v>-0.2374071573690035</v>
      </c>
      <c r="AK51" s="8">
        <f t="shared" si="80"/>
        <v>0.29878091595347733</v>
      </c>
      <c r="AL51" s="8">
        <f t="shared" si="81"/>
        <v>6.4281148315467494E-3</v>
      </c>
      <c r="AM51" s="8">
        <f t="shared" si="82"/>
        <v>0.38156372134643801</v>
      </c>
      <c r="AN51" s="8">
        <f t="shared" si="83"/>
        <v>0.24733656505557469</v>
      </c>
      <c r="AO51" s="8">
        <f t="shared" si="84"/>
        <v>0.29061455175978224</v>
      </c>
      <c r="AP51" s="8">
        <f t="shared" si="85"/>
        <v>0.37562877970000158</v>
      </c>
      <c r="AQ51" s="8">
        <f t="shared" si="86"/>
        <v>6.7343997276055334E-2</v>
      </c>
      <c r="AR51" s="8">
        <f t="shared" si="87"/>
        <v>0.33289129181877702</v>
      </c>
      <c r="AS51" s="8">
        <f t="shared" si="88"/>
        <v>-0.18658934036877767</v>
      </c>
      <c r="AT51" s="8">
        <f t="shared" si="89"/>
        <v>0.13858315309813016</v>
      </c>
      <c r="AU51" s="8">
        <f t="shared" si="90"/>
        <v>-0.3555656110838194</v>
      </c>
      <c r="AV51" s="8">
        <f t="shared" si="91"/>
        <v>-0.11882407901033054</v>
      </c>
      <c r="AW51" s="8">
        <f t="shared" si="92"/>
        <v>-0.36264725609795595</v>
      </c>
      <c r="AX51" s="8">
        <f t="shared" si="93"/>
        <v>-0.32212883552505772</v>
      </c>
      <c r="AY51" s="8">
        <f t="shared" si="94"/>
        <v>-0.20460989084426004</v>
      </c>
      <c r="AZ51" s="8">
        <f t="shared" si="95"/>
        <v>-0.37876325714482284</v>
      </c>
      <c r="BA51" s="8">
        <f t="shared" si="96"/>
        <v>4.6589581937107993E-2</v>
      </c>
      <c r="BB51" s="8">
        <f t="shared" si="97"/>
        <v>-0.26294079926546077</v>
      </c>
      <c r="BC51" s="8">
        <f t="shared" si="98"/>
        <v>0.2765760839076119</v>
      </c>
      <c r="BD51" s="8">
        <f t="shared" si="99"/>
        <v>-2.7397252080463629E-2</v>
      </c>
      <c r="BE51" s="8">
        <f t="shared" si="100"/>
        <v>0.38063313661118531</v>
      </c>
      <c r="BF51" s="8">
        <f t="shared" si="101"/>
        <v>0.22062069570047416</v>
      </c>
      <c r="BG51" s="8">
        <f t="shared" si="102"/>
        <v>0.3113819242291827</v>
      </c>
      <c r="BH51" s="8">
        <f t="shared" si="103"/>
        <v>0.36818656420571744</v>
      </c>
      <c r="BI51" s="8">
        <f t="shared" si="47"/>
        <v>0.10035361501420273</v>
      </c>
    </row>
    <row r="52" spans="1:66">
      <c r="A52" s="1">
        <v>50</v>
      </c>
      <c r="B52" s="5">
        <v>58850</v>
      </c>
      <c r="C52" s="8">
        <f t="shared" si="48"/>
        <v>10.982747112688422</v>
      </c>
      <c r="D52" s="8">
        <f t="shared" si="49"/>
        <v>5.709090909090909</v>
      </c>
      <c r="E52" s="7">
        <f t="shared" si="50"/>
        <v>1.1000000000000001</v>
      </c>
      <c r="F52" s="8"/>
      <c r="G52" s="8"/>
      <c r="H52" s="8">
        <f t="shared" si="55"/>
        <v>0.33534698310497235</v>
      </c>
      <c r="I52" s="8">
        <f t="shared" si="51"/>
        <v>-0.21688912455183318</v>
      </c>
      <c r="J52" s="8">
        <f t="shared" si="52"/>
        <v>0.1637986759216343</v>
      </c>
      <c r="K52" s="8">
        <f t="shared" si="53"/>
        <v>-0.36423685315023613</v>
      </c>
      <c r="L52" s="8">
        <f t="shared" si="56"/>
        <v>-6.0268578915032983E-2</v>
      </c>
      <c r="M52" s="8">
        <f t="shared" si="54"/>
        <v>-0.39479892327871119</v>
      </c>
      <c r="N52" s="8">
        <f t="shared" si="57"/>
        <v>-0.26501185372945857</v>
      </c>
      <c r="O52" s="8">
        <f t="shared" si="58"/>
        <v>-0.29877618514423687</v>
      </c>
      <c r="P52" s="8">
        <f t="shared" si="59"/>
        <v>-0.38478408958269184</v>
      </c>
      <c r="Q52" s="8">
        <f t="shared" si="60"/>
        <v>-0.10695651373565924</v>
      </c>
      <c r="R52" s="8">
        <f t="shared" si="61"/>
        <v>-0.38118258419582279</v>
      </c>
      <c r="S52" s="8">
        <f t="shared" si="62"/>
        <v>0.11915674102736167</v>
      </c>
      <c r="T52" s="8">
        <f t="shared" si="63"/>
        <v>-0.25536209215903305</v>
      </c>
      <c r="U52" s="8">
        <f t="shared" si="64"/>
        <v>0.3070646402870717</v>
      </c>
      <c r="V52" s="8">
        <f t="shared" si="65"/>
        <v>-4.7664574711116188E-2</v>
      </c>
      <c r="W52" s="8">
        <f t="shared" si="66"/>
        <v>0.3965180698834237</v>
      </c>
      <c r="X52" s="8">
        <f t="shared" si="67"/>
        <v>0.17531568717955126</v>
      </c>
      <c r="Y52" s="8">
        <f t="shared" si="68"/>
        <v>0.35883547937074034</v>
      </c>
      <c r="Z52" s="8">
        <f t="shared" si="69"/>
        <v>0.34208428956818965</v>
      </c>
      <c r="AA52" s="8">
        <f t="shared" si="70"/>
        <v>0.20609907873907207</v>
      </c>
      <c r="AB52" s="8">
        <f t="shared" si="71"/>
        <v>0.39917003404744472</v>
      </c>
      <c r="AC52" s="8">
        <f t="shared" si="72"/>
        <v>-1.2719093718856213E-2</v>
      </c>
      <c r="AD52" s="8">
        <f t="shared" si="73"/>
        <v>0.3282694562627444</v>
      </c>
      <c r="AE52" s="8">
        <f t="shared" si="74"/>
        <v>-0.22745912932091647</v>
      </c>
      <c r="AF52" s="8">
        <f t="shared" si="75"/>
        <v>0.15211548560020782</v>
      </c>
      <c r="AG52" s="8">
        <f t="shared" si="76"/>
        <v>-0.36926869684158203</v>
      </c>
      <c r="AH52" s="8">
        <f t="shared" si="77"/>
        <v>-7.2811438693045238E-2</v>
      </c>
      <c r="AI52" s="8">
        <f t="shared" si="78"/>
        <v>-0.39267924037554641</v>
      </c>
      <c r="AJ52" s="8">
        <f t="shared" si="79"/>
        <v>-0.27439275218835868</v>
      </c>
      <c r="AK52" s="8">
        <f t="shared" si="80"/>
        <v>-0.29018461188175576</v>
      </c>
      <c r="AL52" s="8">
        <f t="shared" si="81"/>
        <v>-0.38799521904435597</v>
      </c>
      <c r="AM52" s="8">
        <f t="shared" si="82"/>
        <v>-9.464777559557036E-2</v>
      </c>
      <c r="AN52" s="8">
        <f t="shared" si="83"/>
        <v>-0.37719435672764634</v>
      </c>
      <c r="AO52" s="8">
        <f t="shared" si="84"/>
        <v>0.13123607994482439</v>
      </c>
      <c r="AP52" s="8">
        <f t="shared" si="85"/>
        <v>-0.24545325747283483</v>
      </c>
      <c r="AQ52" s="8">
        <f t="shared" si="86"/>
        <v>0.31504156840398306</v>
      </c>
      <c r="AR52" s="8">
        <f t="shared" si="87"/>
        <v>-3.5012213251907134E-2</v>
      </c>
      <c r="AS52" s="8">
        <f t="shared" si="88"/>
        <v>0.39783493605975612</v>
      </c>
      <c r="AT52" s="8">
        <f t="shared" si="89"/>
        <v>0.1866548349929055</v>
      </c>
      <c r="AU52" s="8">
        <f t="shared" si="90"/>
        <v>0.35307005537178948</v>
      </c>
      <c r="AV52" s="8">
        <f t="shared" si="91"/>
        <v>0.34847454043671588</v>
      </c>
      <c r="AW52" s="8">
        <f t="shared" si="92"/>
        <v>0.19509993873368317</v>
      </c>
      <c r="AX52" s="8">
        <f t="shared" si="93"/>
        <v>0.3985624748833671</v>
      </c>
      <c r="AY52" s="8">
        <f t="shared" si="94"/>
        <v>-2.5425283505058533E-2</v>
      </c>
      <c r="AZ52" s="8">
        <f t="shared" si="95"/>
        <v>0.3208588894217933</v>
      </c>
      <c r="BA52" s="8">
        <f t="shared" si="96"/>
        <v>-0.2377983694340243</v>
      </c>
      <c r="BB52" s="8">
        <f t="shared" si="97"/>
        <v>0.14027796919036098</v>
      </c>
      <c r="BC52" s="8">
        <f t="shared" si="98"/>
        <v>-0.37392590547633281</v>
      </c>
      <c r="BD52" s="8">
        <f t="shared" si="99"/>
        <v>-8.5280428907541742E-2</v>
      </c>
      <c r="BE52" s="8">
        <f t="shared" si="100"/>
        <v>-0.39016117166090858</v>
      </c>
      <c r="BF52" s="8">
        <f t="shared" si="101"/>
        <v>-0.28349527031032651</v>
      </c>
      <c r="BG52" s="8">
        <f t="shared" si="102"/>
        <v>-0.28129863692905116</v>
      </c>
      <c r="BH52" s="8">
        <f t="shared" si="103"/>
        <v>-0.39081271478594048</v>
      </c>
      <c r="BI52" s="8">
        <f t="shared" si="47"/>
        <v>-8.2243014220724997E-2</v>
      </c>
      <c r="BM52">
        <v>4.6388475156700984E-2</v>
      </c>
      <c r="BN52">
        <v>2.8428898539092452E-2</v>
      </c>
    </row>
    <row r="53" spans="1:66">
      <c r="A53" s="1">
        <v>51</v>
      </c>
      <c r="B53" s="5">
        <v>61478</v>
      </c>
      <c r="C53" s="8">
        <f t="shared" si="48"/>
        <v>11.026434666219032</v>
      </c>
      <c r="D53" s="8">
        <f t="shared" si="49"/>
        <v>5.8232727272727276</v>
      </c>
      <c r="E53" s="7">
        <f t="shared" si="50"/>
        <v>1.0784313725490196</v>
      </c>
      <c r="F53" s="8"/>
      <c r="G53" s="8"/>
      <c r="H53" s="8">
        <f t="shared" si="55"/>
        <v>0.35929789889002456</v>
      </c>
      <c r="I53" s="8">
        <f t="shared" si="51"/>
        <v>-0.17797458342966138</v>
      </c>
      <c r="J53" s="8">
        <f t="shared" si="52"/>
        <v>0.2429661849539467</v>
      </c>
      <c r="K53" s="8">
        <f t="shared" si="53"/>
        <v>-0.31896295311943734</v>
      </c>
      <c r="L53" s="8">
        <f t="shared" si="56"/>
        <v>7.6141872158533838E-2</v>
      </c>
      <c r="M53" s="8">
        <f t="shared" si="54"/>
        <v>-0.39366527380242894</v>
      </c>
      <c r="N53" s="8">
        <f t="shared" si="57"/>
        <v>-0.10650604591770661</v>
      </c>
      <c r="O53" s="8">
        <f t="shared" si="58"/>
        <v>-0.38655710403085752</v>
      </c>
      <c r="P53" s="8">
        <f t="shared" si="59"/>
        <v>-0.26702015531750073</v>
      </c>
      <c r="Q53" s="8">
        <f t="shared" si="60"/>
        <v>-0.29911564510731564</v>
      </c>
      <c r="R53" s="8">
        <f t="shared" si="61"/>
        <v>-0.37204283247391606</v>
      </c>
      <c r="S53" s="8">
        <f t="shared" si="62"/>
        <v>-0.14951275296286093</v>
      </c>
      <c r="T53" s="8">
        <f t="shared" si="63"/>
        <v>-0.39974853853759729</v>
      </c>
      <c r="U53" s="8">
        <f t="shared" si="64"/>
        <v>3.1161489547243241E-2</v>
      </c>
      <c r="V53" s="8">
        <f t="shared" si="65"/>
        <v>-0.34437954593565817</v>
      </c>
      <c r="W53" s="8">
        <f t="shared" si="66"/>
        <v>0.20535983257418605</v>
      </c>
      <c r="X53" s="8">
        <f t="shared" si="67"/>
        <v>-0.21744249429873452</v>
      </c>
      <c r="Y53" s="8">
        <f t="shared" si="68"/>
        <v>0.33688083080949061</v>
      </c>
      <c r="Z53" s="8">
        <f t="shared" si="69"/>
        <v>-4.5317110624243769E-2</v>
      </c>
      <c r="AA53" s="8">
        <f t="shared" si="70"/>
        <v>0.39839213342938623</v>
      </c>
      <c r="AB53" s="8">
        <f t="shared" si="71"/>
        <v>0.1362259567853224</v>
      </c>
      <c r="AC53" s="8">
        <f t="shared" si="72"/>
        <v>0.3771106219555096</v>
      </c>
      <c r="AD53" s="8">
        <f t="shared" si="73"/>
        <v>0.28945890115659295</v>
      </c>
      <c r="AE53" s="8">
        <f t="shared" si="74"/>
        <v>0.27745896459650676</v>
      </c>
      <c r="AF53" s="8">
        <f t="shared" si="75"/>
        <v>0.38253725164833596</v>
      </c>
      <c r="AG53" s="8">
        <f t="shared" si="76"/>
        <v>0.12014650887597821</v>
      </c>
      <c r="AH53" s="8">
        <f t="shared" si="77"/>
        <v>0.39611770822577341</v>
      </c>
      <c r="AI53" s="8">
        <f t="shared" si="78"/>
        <v>-6.2134480956300711E-2</v>
      </c>
      <c r="AJ53" s="8">
        <f t="shared" si="79"/>
        <v>0.32737801582316273</v>
      </c>
      <c r="AK53" s="8">
        <f t="shared" si="80"/>
        <v>-0.23150284501369919</v>
      </c>
      <c r="AL53" s="8">
        <f t="shared" si="81"/>
        <v>0.190603478030615</v>
      </c>
      <c r="AM53" s="8">
        <f t="shared" si="82"/>
        <v>-0.35276089161977792</v>
      </c>
      <c r="AN53" s="8">
        <f t="shared" si="83"/>
        <v>1.4218222560550239E-2</v>
      </c>
      <c r="AO53" s="8">
        <f t="shared" si="84"/>
        <v>-0.40070908979079389</v>
      </c>
      <c r="AP53" s="8">
        <f t="shared" si="85"/>
        <v>-0.16512182683846163</v>
      </c>
      <c r="AQ53" s="8">
        <f t="shared" si="86"/>
        <v>-0.36538297004003478</v>
      </c>
      <c r="AR53" s="8">
        <f t="shared" si="87"/>
        <v>-0.31014668885016622</v>
      </c>
      <c r="AS53" s="8">
        <f t="shared" si="88"/>
        <v>-0.25412391443747684</v>
      </c>
      <c r="AT53" s="8">
        <f t="shared" si="89"/>
        <v>-0.39071767490118453</v>
      </c>
      <c r="AU53" s="8">
        <f t="shared" si="90"/>
        <v>-9.0053489735601761E-2</v>
      </c>
      <c r="AV53" s="8">
        <f t="shared" si="91"/>
        <v>-0.39009073281344886</v>
      </c>
      <c r="AW53" s="8">
        <f t="shared" si="92"/>
        <v>9.273161632805875E-2</v>
      </c>
      <c r="AX53" s="8">
        <f t="shared" si="93"/>
        <v>-0.30839615205645549</v>
      </c>
      <c r="AY53" s="8">
        <f t="shared" si="94"/>
        <v>0.25624547974651074</v>
      </c>
      <c r="AZ53" s="8">
        <f t="shared" si="95"/>
        <v>-0.16261148732955416</v>
      </c>
      <c r="BA53" s="8">
        <f t="shared" si="96"/>
        <v>0.36650707589652082</v>
      </c>
      <c r="BB53" s="8">
        <f t="shared" si="97"/>
        <v>1.6966672575325577E-2</v>
      </c>
      <c r="BC53" s="8">
        <f t="shared" si="98"/>
        <v>0.40060212744750812</v>
      </c>
      <c r="BD53" s="8">
        <f t="shared" si="99"/>
        <v>0.19301886283761491</v>
      </c>
      <c r="BE53" s="8">
        <f t="shared" si="100"/>
        <v>0.35144508971192334</v>
      </c>
      <c r="BF53" s="8">
        <f t="shared" si="101"/>
        <v>0.32895837645153742</v>
      </c>
      <c r="BG53" s="8">
        <f t="shared" si="102"/>
        <v>0.22925165006192738</v>
      </c>
      <c r="BH53" s="8">
        <f t="shared" si="103"/>
        <v>0.39653461825158848</v>
      </c>
      <c r="BI53" s="8">
        <f t="shared" si="47"/>
        <v>5.9415730423977846E-2</v>
      </c>
    </row>
    <row r="54" spans="1:66">
      <c r="A54" s="1">
        <v>52</v>
      </c>
      <c r="B54" s="5">
        <v>36300</v>
      </c>
      <c r="C54" s="8">
        <f t="shared" si="48"/>
        <v>10.499573020252942</v>
      </c>
      <c r="D54" s="8">
        <f t="shared" si="49"/>
        <v>5.9374545454545453</v>
      </c>
      <c r="E54" s="7">
        <f t="shared" si="50"/>
        <v>1.0576923076923077</v>
      </c>
      <c r="F54" s="8"/>
      <c r="G54" s="8"/>
      <c r="H54" s="8">
        <f t="shared" si="55"/>
        <v>0.35921065153593501</v>
      </c>
      <c r="I54" s="8">
        <f t="shared" si="51"/>
        <v>-0.12938692129986568</v>
      </c>
      <c r="J54" s="8">
        <f t="shared" si="52"/>
        <v>0.29410826567064285</v>
      </c>
      <c r="K54" s="8">
        <f t="shared" si="53"/>
        <v>-0.24346169235535831</v>
      </c>
      <c r="L54" s="8">
        <f t="shared" si="56"/>
        <v>0.19419996660471273</v>
      </c>
      <c r="M54" s="8">
        <f t="shared" si="54"/>
        <v>-0.32872426218801831</v>
      </c>
      <c r="N54" s="8">
        <f t="shared" si="57"/>
        <v>7.1309290060212915E-2</v>
      </c>
      <c r="O54" s="8">
        <f t="shared" si="58"/>
        <v>-0.3750843274937477</v>
      </c>
      <c r="P54" s="8">
        <f t="shared" si="59"/>
        <v>-6.0020404526079402E-2</v>
      </c>
      <c r="Q54" s="8">
        <f t="shared" si="60"/>
        <v>-0.37705545828280268</v>
      </c>
      <c r="R54" s="8">
        <f t="shared" si="61"/>
        <v>-0.18424705158176963</v>
      </c>
      <c r="S54" s="8">
        <f t="shared" si="62"/>
        <v>-0.33440438329028116</v>
      </c>
      <c r="T54" s="8">
        <f t="shared" si="63"/>
        <v>-0.28666918773666605</v>
      </c>
      <c r="U54" s="8">
        <f t="shared" si="64"/>
        <v>-0.25217859620262917</v>
      </c>
      <c r="V54" s="8">
        <f t="shared" si="65"/>
        <v>-0.35516578003475446</v>
      </c>
      <c r="W54" s="8">
        <f t="shared" si="66"/>
        <v>-0.14010901567220072</v>
      </c>
      <c r="X54" s="8">
        <f t="shared" si="67"/>
        <v>-0.38163067599973116</v>
      </c>
      <c r="Y54" s="8">
        <f t="shared" si="68"/>
        <v>-1.145839065125615E-2</v>
      </c>
      <c r="Z54" s="8">
        <f t="shared" si="69"/>
        <v>-0.36293191716820433</v>
      </c>
      <c r="AA54" s="8">
        <f t="shared" si="70"/>
        <v>0.11854826477405823</v>
      </c>
      <c r="AB54" s="8">
        <f t="shared" si="71"/>
        <v>-0.30128238720519285</v>
      </c>
      <c r="AC54" s="8">
        <f t="shared" si="72"/>
        <v>0.23452545861860885</v>
      </c>
      <c r="AD54" s="8">
        <f t="shared" si="73"/>
        <v>-0.20397793066596537</v>
      </c>
      <c r="AE54" s="8">
        <f t="shared" si="74"/>
        <v>0.32274799981031516</v>
      </c>
      <c r="AF54" s="8">
        <f t="shared" si="75"/>
        <v>-8.2533934445945964E-2</v>
      </c>
      <c r="AG54" s="8">
        <f t="shared" si="76"/>
        <v>0.37277529055075637</v>
      </c>
      <c r="AH54" s="8">
        <f t="shared" si="77"/>
        <v>4.8677447780314173E-2</v>
      </c>
      <c r="AI54" s="8">
        <f t="shared" si="78"/>
        <v>0.37868690716464354</v>
      </c>
      <c r="AJ54" s="8">
        <f t="shared" si="79"/>
        <v>0.17412815198412807</v>
      </c>
      <c r="AK54" s="8">
        <f t="shared" si="80"/>
        <v>0.33978324600680504</v>
      </c>
      <c r="AL54" s="8">
        <f t="shared" si="81"/>
        <v>0.27897185512346268</v>
      </c>
      <c r="AM54" s="8">
        <f t="shared" si="82"/>
        <v>0.2606683172717818</v>
      </c>
      <c r="AN54" s="8">
        <f t="shared" si="83"/>
        <v>0.35080094661049566</v>
      </c>
      <c r="AO54" s="8">
        <f t="shared" si="84"/>
        <v>0.15070488856539699</v>
      </c>
      <c r="AP54" s="8">
        <f t="shared" si="85"/>
        <v>0.38111489308592972</v>
      </c>
      <c r="AQ54" s="8">
        <f t="shared" si="86"/>
        <v>2.2906458661891338E-2</v>
      </c>
      <c r="AR54" s="8">
        <f t="shared" si="87"/>
        <v>0.36632622451594443</v>
      </c>
      <c r="AS54" s="8">
        <f t="shared" si="88"/>
        <v>-0.10760281042901441</v>
      </c>
      <c r="AT54" s="8">
        <f t="shared" si="89"/>
        <v>0.30818508931417204</v>
      </c>
      <c r="AU54" s="8">
        <f t="shared" si="90"/>
        <v>-0.22537794547103401</v>
      </c>
      <c r="AV54" s="8">
        <f t="shared" si="91"/>
        <v>0.21357213498844396</v>
      </c>
      <c r="AW54" s="8">
        <f t="shared" si="92"/>
        <v>-0.31648098005536829</v>
      </c>
      <c r="AX54" s="8">
        <f t="shared" si="93"/>
        <v>9.3684225620115191E-2</v>
      </c>
      <c r="AY54" s="8">
        <f t="shared" si="94"/>
        <v>-0.37013042762016729</v>
      </c>
      <c r="AZ54" s="8">
        <f t="shared" si="95"/>
        <v>-3.7290638471385841E-2</v>
      </c>
      <c r="BA54" s="8">
        <f t="shared" si="96"/>
        <v>-0.37997720439879673</v>
      </c>
      <c r="BB54" s="8">
        <f t="shared" si="97"/>
        <v>-0.16385238373105526</v>
      </c>
      <c r="BC54" s="8">
        <f t="shared" si="98"/>
        <v>-0.34485600462508925</v>
      </c>
      <c r="BD54" s="8">
        <f t="shared" si="99"/>
        <v>-0.27102320220783033</v>
      </c>
      <c r="BE54" s="8">
        <f t="shared" si="100"/>
        <v>-0.26892320733871605</v>
      </c>
      <c r="BF54" s="8">
        <f t="shared" si="101"/>
        <v>-0.3461200834564474</v>
      </c>
      <c r="BG54" s="8">
        <f t="shared" si="102"/>
        <v>-0.16116499436425533</v>
      </c>
      <c r="BH54" s="8">
        <f t="shared" si="103"/>
        <v>-0.38025577119928633</v>
      </c>
      <c r="BI54" s="8">
        <f t="shared" si="47"/>
        <v>-3.4333890690752891E-2</v>
      </c>
      <c r="BM54">
        <v>3.592469823390166E-2</v>
      </c>
      <c r="BN54">
        <v>2.2010806899125372E-2</v>
      </c>
    </row>
    <row r="55" spans="1:66">
      <c r="A55" s="1">
        <v>53</v>
      </c>
      <c r="B55" s="5">
        <v>9704</v>
      </c>
      <c r="C55" s="8">
        <f t="shared" si="48"/>
        <v>9.1802934506238856</v>
      </c>
      <c r="D55" s="8">
        <f t="shared" si="49"/>
        <v>6.0516363636363639</v>
      </c>
      <c r="E55" s="7">
        <f t="shared" si="50"/>
        <v>1.0377358490566038</v>
      </c>
      <c r="F55" s="8"/>
      <c r="G55" s="8"/>
      <c r="H55" s="8">
        <f t="shared" si="55"/>
        <v>0.32491966264898631</v>
      </c>
      <c r="I55" s="8">
        <f t="shared" si="51"/>
        <v>-7.6608849047763772E-2</v>
      </c>
      <c r="J55" s="8">
        <f t="shared" si="52"/>
        <v>0.29866762744497405</v>
      </c>
      <c r="K55" s="8">
        <f t="shared" si="53"/>
        <v>-0.1491286399211911</v>
      </c>
      <c r="L55" s="8">
        <f t="shared" si="56"/>
        <v>0.25647397037098607</v>
      </c>
      <c r="M55" s="8">
        <f t="shared" si="54"/>
        <v>-0.21368857117425974</v>
      </c>
      <c r="N55" s="8">
        <f t="shared" si="57"/>
        <v>0.20059081139107349</v>
      </c>
      <c r="O55" s="8">
        <f t="shared" si="58"/>
        <v>-0.26684270519132597</v>
      </c>
      <c r="P55" s="8">
        <f t="shared" si="59"/>
        <v>0.13400095850816199</v>
      </c>
      <c r="Q55" s="8">
        <f t="shared" si="60"/>
        <v>-0.30575389784473389</v>
      </c>
      <c r="R55" s="8">
        <f t="shared" si="61"/>
        <v>6.0258698017417615E-2</v>
      </c>
      <c r="S55" s="8">
        <f t="shared" si="62"/>
        <v>-0.32834523331639792</v>
      </c>
      <c r="T55" s="8">
        <f t="shared" si="63"/>
        <v>-1.6699918348214451E-2</v>
      </c>
      <c r="U55" s="8">
        <f t="shared" si="64"/>
        <v>-0.33341088112945128</v>
      </c>
      <c r="V55" s="8">
        <f t="shared" si="65"/>
        <v>-9.2767163305956774E-2</v>
      </c>
      <c r="W55" s="8">
        <f t="shared" si="66"/>
        <v>-0.32068045830783026</v>
      </c>
      <c r="X55" s="8">
        <f t="shared" si="67"/>
        <v>-0.16388288723001634</v>
      </c>
      <c r="Y55" s="8">
        <f t="shared" si="68"/>
        <v>-0.29083346128241133</v>
      </c>
      <c r="Z55" s="8">
        <f t="shared" si="69"/>
        <v>-0.22625123186315413</v>
      </c>
      <c r="AA55" s="8">
        <f t="shared" si="70"/>
        <v>-0.2454629972292349</v>
      </c>
      <c r="AB55" s="8">
        <f t="shared" si="71"/>
        <v>-0.27654323726651298</v>
      </c>
      <c r="AC55" s="8">
        <f t="shared" si="72"/>
        <v>-0.18699075070845417</v>
      </c>
      <c r="AD55" s="8">
        <f t="shared" si="73"/>
        <v>-0.31207452770080579</v>
      </c>
      <c r="AE55" s="8">
        <f t="shared" si="74"/>
        <v>-0.1185377243272077</v>
      </c>
      <c r="AF55" s="8">
        <f t="shared" si="75"/>
        <v>-0.33094859231381851</v>
      </c>
      <c r="AG55" s="8">
        <f t="shared" si="76"/>
        <v>-4.3757652746189223E-2</v>
      </c>
      <c r="AH55" s="8">
        <f t="shared" si="77"/>
        <v>-0.33215801291368013</v>
      </c>
      <c r="AI55" s="8">
        <f t="shared" si="78"/>
        <v>3.3358018310289665E-2</v>
      </c>
      <c r="AJ55" s="8">
        <f t="shared" si="79"/>
        <v>-0.31563823571513561</v>
      </c>
      <c r="AK55" s="8">
        <f t="shared" si="80"/>
        <v>0.10869317864056886</v>
      </c>
      <c r="AL55" s="8">
        <f t="shared" si="81"/>
        <v>-0.28227101694911072</v>
      </c>
      <c r="AM55" s="8">
        <f t="shared" si="82"/>
        <v>0.17822675421739839</v>
      </c>
      <c r="AN55" s="8">
        <f t="shared" si="83"/>
        <v>-0.23383735842343881</v>
      </c>
      <c r="AO55" s="8">
        <f t="shared" si="84"/>
        <v>0.23824733520839708</v>
      </c>
      <c r="AP55" s="8">
        <f t="shared" si="85"/>
        <v>-0.1729224451365779</v>
      </c>
      <c r="AQ55" s="8">
        <f t="shared" si="86"/>
        <v>0.28555127542411946</v>
      </c>
      <c r="AR55" s="8">
        <f t="shared" si="87"/>
        <v>-0.10277765897470324</v>
      </c>
      <c r="AS55" s="8">
        <f t="shared" si="88"/>
        <v>0.3176136894783248</v>
      </c>
      <c r="AT55" s="8">
        <f t="shared" si="89"/>
        <v>-2.7147033620705332E-2</v>
      </c>
      <c r="AU55" s="8">
        <f t="shared" si="90"/>
        <v>0.33272322055118186</v>
      </c>
      <c r="AV55" s="8">
        <f t="shared" si="91"/>
        <v>4.9932586217809154E-2</v>
      </c>
      <c r="AW55" s="8">
        <f t="shared" si="92"/>
        <v>0.33007338541899311</v>
      </c>
      <c r="AX55" s="8">
        <f t="shared" si="93"/>
        <v>0.12434701460159112</v>
      </c>
      <c r="AY55" s="8">
        <f t="shared" si="94"/>
        <v>0.30980562113690868</v>
      </c>
      <c r="AZ55" s="8">
        <f t="shared" si="95"/>
        <v>0.19212432230243059</v>
      </c>
      <c r="BA55" s="8">
        <f t="shared" si="96"/>
        <v>0.27300173572376035</v>
      </c>
      <c r="BB55" s="8">
        <f t="shared" si="97"/>
        <v>0.2496468416809669</v>
      </c>
      <c r="BC55" s="8">
        <f t="shared" si="98"/>
        <v>0.22162616579969155</v>
      </c>
      <c r="BD55" s="8">
        <f t="shared" si="99"/>
        <v>0.29384426257073998</v>
      </c>
      <c r="BE55" s="8">
        <f t="shared" si="100"/>
        <v>0.15842112322102797</v>
      </c>
      <c r="BF55" s="8">
        <f t="shared" si="101"/>
        <v>0.32235751252227557</v>
      </c>
      <c r="BG55" s="8">
        <f t="shared" si="102"/>
        <v>8.6760227344129554E-2</v>
      </c>
      <c r="BH55" s="8">
        <f t="shared" si="103"/>
        <v>0.33366467416910167</v>
      </c>
      <c r="BI55" s="8">
        <f t="shared" si="47"/>
        <v>1.0468435412290842E-2</v>
      </c>
    </row>
    <row r="56" spans="1:66">
      <c r="A56" s="1">
        <v>54</v>
      </c>
      <c r="B56" s="5">
        <v>3410</v>
      </c>
      <c r="C56" s="8">
        <f t="shared" si="48"/>
        <v>8.1344675702775628</v>
      </c>
      <c r="D56" s="8">
        <f t="shared" si="49"/>
        <v>6.1658181818181816</v>
      </c>
      <c r="E56" s="7">
        <f t="shared" si="50"/>
        <v>1.0185185185185186</v>
      </c>
      <c r="F56" s="8"/>
      <c r="G56" s="8"/>
      <c r="H56" s="8">
        <f t="shared" si="55"/>
        <v>0.29376383773851122</v>
      </c>
      <c r="I56" s="8">
        <f t="shared" si="51"/>
        <v>-3.4637407333083965E-2</v>
      </c>
      <c r="J56" s="8">
        <f t="shared" si="52"/>
        <v>0.28768688855476121</v>
      </c>
      <c r="K56" s="8">
        <f t="shared" si="53"/>
        <v>-6.8798230379107414E-2</v>
      </c>
      <c r="L56" s="8">
        <f t="shared" si="56"/>
        <v>0.27765158736850515</v>
      </c>
      <c r="M56" s="8">
        <f t="shared" si="54"/>
        <v>-0.10201244228703522</v>
      </c>
      <c r="N56" s="8">
        <f t="shared" si="57"/>
        <v>0.26379601226437843</v>
      </c>
      <c r="O56" s="8">
        <f t="shared" si="58"/>
        <v>-0.13382304085256855</v>
      </c>
      <c r="P56" s="8">
        <f t="shared" si="59"/>
        <v>0.24631080538020955</v>
      </c>
      <c r="Q56" s="8">
        <f t="shared" si="60"/>
        <v>-0.16379233651965788</v>
      </c>
      <c r="R56" s="8">
        <f t="shared" si="61"/>
        <v>0.22543654981671571</v>
      </c>
      <c r="S56" s="8">
        <f t="shared" si="62"/>
        <v>-0.19150797465471717</v>
      </c>
      <c r="T56" s="8">
        <f t="shared" si="63"/>
        <v>0.20146045939766777</v>
      </c>
      <c r="U56" s="8">
        <f t="shared" si="64"/>
        <v>-0.21658860923164217</v>
      </c>
      <c r="V56" s="8">
        <f t="shared" si="65"/>
        <v>0.17471242682689836</v>
      </c>
      <c r="W56" s="8">
        <f t="shared" si="66"/>
        <v>-0.23868914986205808</v>
      </c>
      <c r="X56" s="8">
        <f t="shared" si="67"/>
        <v>0.14556048461649548</v>
      </c>
      <c r="Y56" s="8">
        <f t="shared" si="68"/>
        <v>-0.25750550997566501</v>
      </c>
      <c r="Z56" s="8">
        <f t="shared" si="69"/>
        <v>0.11440574124034614</v>
      </c>
      <c r="AA56" s="8">
        <f t="shared" si="70"/>
        <v>-0.27277879081934375</v>
      </c>
      <c r="AB56" s="8">
        <f t="shared" si="71"/>
        <v>8.1676862187691268E-2</v>
      </c>
      <c r="AC56" s="8">
        <f t="shared" si="72"/>
        <v>-0.28429884370638797</v>
      </c>
      <c r="AD56" s="8">
        <f t="shared" si="73"/>
        <v>4.7824171853183287E-2</v>
      </c>
      <c r="AE56" s="8">
        <f t="shared" si="74"/>
        <v>-0.29190716150203222</v>
      </c>
      <c r="AF56" s="8">
        <f t="shared" si="75"/>
        <v>1.3313457416936646E-2</v>
      </c>
      <c r="AG56" s="8">
        <f t="shared" si="76"/>
        <v>-0.29549905956064187</v>
      </c>
      <c r="AH56" s="8">
        <f t="shared" si="77"/>
        <v>-2.138044003154721E-2</v>
      </c>
      <c r="AI56" s="8">
        <f t="shared" si="78"/>
        <v>-0.29502511610653376</v>
      </c>
      <c r="AJ56" s="8">
        <f t="shared" si="79"/>
        <v>-5.5780158944337299E-2</v>
      </c>
      <c r="AK56" s="8">
        <f t="shared" si="80"/>
        <v>-0.29049185223988777</v>
      </c>
      <c r="AL56" s="8">
        <f t="shared" si="81"/>
        <v>-8.9412385445614889E-2</v>
      </c>
      <c r="AM56" s="8">
        <f t="shared" si="82"/>
        <v>-0.28196164221138503</v>
      </c>
      <c r="AN56" s="8">
        <f t="shared" si="83"/>
        <v>-0.12181436576933641</v>
      </c>
      <c r="AO56" s="8">
        <f t="shared" si="84"/>
        <v>-0.26955185520012781</v>
      </c>
      <c r="AP56" s="8">
        <f t="shared" si="85"/>
        <v>-0.15254027339784618</v>
      </c>
      <c r="AQ56" s="8">
        <f t="shared" si="86"/>
        <v>-0.25343324040331938</v>
      </c>
      <c r="AR56" s="8">
        <f t="shared" si="87"/>
        <v>-0.18116734329447146</v>
      </c>
      <c r="AS56" s="8">
        <f t="shared" si="88"/>
        <v>-0.23382757765763956</v>
      </c>
      <c r="AT56" s="8">
        <f t="shared" si="89"/>
        <v>-0.20730168882774128</v>
      </c>
      <c r="AU56" s="8">
        <f t="shared" si="90"/>
        <v>-0.21100462591797045</v>
      </c>
      <c r="AV56" s="8">
        <f t="shared" si="91"/>
        <v>-0.23058372135079475</v>
      </c>
      <c r="AW56" s="8">
        <f t="shared" si="92"/>
        <v>-0.18527841158007421</v>
      </c>
      <c r="AX56" s="8">
        <f t="shared" si="93"/>
        <v>-0.25069309786668376</v>
      </c>
      <c r="AY56" s="8">
        <f t="shared" si="94"/>
        <v>-0.15700290771709186</v>
      </c>
      <c r="AZ56" s="8">
        <f t="shared" si="95"/>
        <v>-0.26735312870352584</v>
      </c>
      <c r="BA56" s="8">
        <f t="shared" si="96"/>
        <v>-0.12656716368020682</v>
      </c>
      <c r="BB56" s="8">
        <f t="shared" si="97"/>
        <v>-0.28033458455318228</v>
      </c>
      <c r="BC56" s="8">
        <f t="shared" si="98"/>
        <v>-9.4389952076537373E-2</v>
      </c>
      <c r="BD56" s="8">
        <f t="shared" si="99"/>
        <v>-0.28945885049156878</v>
      </c>
      <c r="BE56" s="8">
        <f t="shared" si="100"/>
        <v>-6.091400677771875E-2</v>
      </c>
      <c r="BF56" s="8">
        <f t="shared" si="101"/>
        <v>-0.29460038358369001</v>
      </c>
      <c r="BG56" s="8">
        <f t="shared" si="102"/>
        <v>-2.6599931239742532E-2</v>
      </c>
      <c r="BH56" s="8">
        <f t="shared" si="103"/>
        <v>-0.29568844025860114</v>
      </c>
      <c r="BI56" s="8">
        <f t="shared" si="47"/>
        <v>8.0801390490486437E-3</v>
      </c>
      <c r="BM56">
        <v>7.0351404271572382E-2</v>
      </c>
      <c r="BN56">
        <v>4.3138801821019389E-2</v>
      </c>
    </row>
    <row r="57" spans="1:66">
      <c r="A57" s="1">
        <v>55</v>
      </c>
      <c r="B57" s="5">
        <v>3774</v>
      </c>
      <c r="C57" s="8">
        <f t="shared" si="48"/>
        <v>8.2358907259284955</v>
      </c>
      <c r="D57" s="8">
        <f t="shared" si="49"/>
        <v>6.28</v>
      </c>
      <c r="E57" s="7">
        <f t="shared" si="50"/>
        <v>1</v>
      </c>
      <c r="F57" s="8"/>
      <c r="G57" s="8"/>
      <c r="H57" s="8">
        <f t="shared" si="55"/>
        <v>0.29948541616514218</v>
      </c>
      <c r="I57" s="8">
        <f>(2/55)*(C57*SIN(D57))</f>
        <v>-9.5395627263231196E-4</v>
      </c>
      <c r="J57" s="8">
        <f t="shared" si="52"/>
        <v>0.2994808582110573</v>
      </c>
      <c r="K57" s="8">
        <f t="shared" si="53"/>
        <v>-1.9079028662590094E-3</v>
      </c>
      <c r="L57" s="8">
        <f t="shared" si="56"/>
        <v>0.29947326167230015</v>
      </c>
      <c r="M57" s="8">
        <f t="shared" si="54"/>
        <v>-2.861830101972948E-3</v>
      </c>
      <c r="N57" s="8">
        <f t="shared" si="57"/>
        <v>0.29946262662594642</v>
      </c>
      <c r="O57" s="8">
        <f t="shared" si="58"/>
        <v>-3.81572830106233E-3</v>
      </c>
      <c r="P57" s="8">
        <f t="shared" si="59"/>
        <v>0.29944895317990117</v>
      </c>
      <c r="Q57" s="8">
        <f t="shared" si="60"/>
        <v>-4.769587785111295E-3</v>
      </c>
      <c r="R57" s="8">
        <f t="shared" si="61"/>
        <v>0.29943224147289749</v>
      </c>
      <c r="S57" s="8">
        <f t="shared" si="62"/>
        <v>-5.7233988760973277E-3</v>
      </c>
      <c r="T57" s="8">
        <f t="shared" si="63"/>
        <v>0.29941249167449535</v>
      </c>
      <c r="U57" s="8">
        <f t="shared" si="64"/>
        <v>-6.6771518964857243E-3</v>
      </c>
      <c r="V57" s="8">
        <f t="shared" si="65"/>
        <v>0.29938970398507964</v>
      </c>
      <c r="W57" s="8">
        <f t="shared" si="66"/>
        <v>-7.6308371693341627E-3</v>
      </c>
      <c r="X57" s="8">
        <f t="shared" si="67"/>
        <v>0.29936387863585812</v>
      </c>
      <c r="Y57" s="8">
        <f t="shared" si="68"/>
        <v>-8.5844450183866442E-3</v>
      </c>
      <c r="Z57" s="8">
        <f t="shared" si="69"/>
        <v>0.2993350158888593</v>
      </c>
      <c r="AA57" s="8">
        <f t="shared" si="70"/>
        <v>-9.5379657681727171E-3</v>
      </c>
      <c r="AB57" s="8">
        <f t="shared" si="71"/>
        <v>0.29930311603692955</v>
      </c>
      <c r="AC57" s="8">
        <f t="shared" si="72"/>
        <v>-1.0491389744107784E-2</v>
      </c>
      <c r="AD57" s="8">
        <f t="shared" si="73"/>
        <v>0.29926817940373046</v>
      </c>
      <c r="AE57" s="8">
        <f t="shared" si="74"/>
        <v>-1.1444707272582752E-2</v>
      </c>
      <c r="AF57" s="8">
        <f t="shared" si="75"/>
        <v>0.29923020634373498</v>
      </c>
      <c r="AG57" s="8">
        <f t="shared" si="76"/>
        <v>-1.239790868107494E-2</v>
      </c>
      <c r="AH57" s="8">
        <f t="shared" si="77"/>
        <v>0.29918919724222448</v>
      </c>
      <c r="AI57" s="8">
        <f t="shared" si="78"/>
        <v>-1.3350984298237721E-2</v>
      </c>
      <c r="AJ57" s="8">
        <f t="shared" si="79"/>
        <v>0.2991451525152844</v>
      </c>
      <c r="AK57" s="8">
        <f t="shared" si="80"/>
        <v>-1.4303924454000756E-2</v>
      </c>
      <c r="AL57" s="8">
        <f t="shared" si="81"/>
        <v>0.29909807260980004</v>
      </c>
      <c r="AM57" s="8">
        <f t="shared" si="82"/>
        <v>-1.5256719479668134E-2</v>
      </c>
      <c r="AN57" s="8">
        <f t="shared" si="83"/>
        <v>0.29904795800345241</v>
      </c>
      <c r="AO57" s="8">
        <f t="shared" si="84"/>
        <v>-1.6209359708016451E-2</v>
      </c>
      <c r="AP57" s="8">
        <f t="shared" si="85"/>
        <v>0.29899480920471294</v>
      </c>
      <c r="AQ57" s="8">
        <f t="shared" si="86"/>
        <v>-1.7161835473392905E-2</v>
      </c>
      <c r="AR57" s="8">
        <f t="shared" si="87"/>
        <v>0.29893862675283855</v>
      </c>
      <c r="AS57" s="8">
        <f t="shared" si="88"/>
        <v>-1.811413711181337E-2</v>
      </c>
      <c r="AT57" s="8">
        <f t="shared" si="89"/>
        <v>0.29887941121786615</v>
      </c>
      <c r="AU57" s="8">
        <f t="shared" si="90"/>
        <v>-1.9066254961060423E-2</v>
      </c>
      <c r="AV57" s="8">
        <f t="shared" si="91"/>
        <v>0.29881716320060653</v>
      </c>
      <c r="AW57" s="8">
        <f t="shared" si="92"/>
        <v>-2.0018179360785676E-2</v>
      </c>
      <c r="AX57" s="8">
        <f t="shared" si="93"/>
        <v>0.29875188333263936</v>
      </c>
      <c r="AY57" s="8">
        <f t="shared" si="94"/>
        <v>-2.0969900652590742E-2</v>
      </c>
      <c r="AZ57" s="8">
        <f t="shared" si="95"/>
        <v>0.29868357227630532</v>
      </c>
      <c r="BA57" s="8">
        <f t="shared" si="96"/>
        <v>-2.1921409180150758E-2</v>
      </c>
      <c r="BB57" s="8">
        <f t="shared" si="97"/>
        <v>0.29861223072470017</v>
      </c>
      <c r="BC57" s="8">
        <f t="shared" si="98"/>
        <v>-2.2872695289295364E-2</v>
      </c>
      <c r="BD57" s="8">
        <f t="shared" si="99"/>
        <v>0.2985378594016676</v>
      </c>
      <c r="BE57" s="8">
        <f t="shared" si="100"/>
        <v>-2.3823749328110874E-2</v>
      </c>
      <c r="BF57" s="8">
        <f t="shared" si="101"/>
        <v>0.29846045906179197</v>
      </c>
      <c r="BG57" s="8">
        <f t="shared" si="102"/>
        <v>-2.477456164703825E-2</v>
      </c>
      <c r="BH57" s="8">
        <f t="shared" si="103"/>
        <v>0.29838003049039058</v>
      </c>
      <c r="BI57" s="8">
        <f t="shared" si="47"/>
        <v>-2.5725122598970977E-2</v>
      </c>
    </row>
    <row r="58" spans="1:66">
      <c r="A58" s="3"/>
      <c r="B58" s="4">
        <f>SUM(B3:B57)</f>
        <v>1407987</v>
      </c>
      <c r="C58" s="4"/>
      <c r="D58" s="4"/>
      <c r="H58" s="10">
        <f>SUM(H3:H57)^2</f>
        <v>2.7950987161834959E-2</v>
      </c>
      <c r="I58" s="10">
        <f>SUM(I3:I57)^2</f>
        <v>7.5402040710290056E-3</v>
      </c>
      <c r="J58" s="10">
        <f t="shared" ref="J58:BI58" si="104">SUM(J3:J57)^2</f>
        <v>2.68232393756788E-3</v>
      </c>
      <c r="K58" s="10">
        <f t="shared" si="104"/>
        <v>1.5580639020370076E-5</v>
      </c>
      <c r="L58" s="10">
        <f t="shared" si="104"/>
        <v>3.2896217509409935E-4</v>
      </c>
      <c r="M58" s="10">
        <f t="shared" si="104"/>
        <v>7.4194929025886189E-2</v>
      </c>
      <c r="N58" s="10">
        <f t="shared" si="104"/>
        <v>3.0624235129462999E-2</v>
      </c>
      <c r="O58" s="10">
        <f t="shared" si="104"/>
        <v>1.6414790213804102E-3</v>
      </c>
      <c r="P58" s="10">
        <f t="shared" si="104"/>
        <v>2.7569445629827296E-2</v>
      </c>
      <c r="Q58" s="10">
        <f t="shared" si="104"/>
        <v>2.9681800735035105E-3</v>
      </c>
      <c r="R58" s="10">
        <f t="shared" si="104"/>
        <v>0.89024336470323207</v>
      </c>
      <c r="S58" s="10">
        <f t="shared" si="104"/>
        <v>0.27723906024611183</v>
      </c>
      <c r="T58" s="10">
        <f t="shared" si="104"/>
        <v>4.9469198945272054E-2</v>
      </c>
      <c r="U58" s="10">
        <f t="shared" si="104"/>
        <v>1.585284934345595E-2</v>
      </c>
      <c r="V58" s="10">
        <f t="shared" si="104"/>
        <v>9.5242379824312818E-3</v>
      </c>
      <c r="W58" s="10">
        <f t="shared" si="104"/>
        <v>1.4699663499686742E-2</v>
      </c>
      <c r="X58" s="10">
        <f t="shared" si="104"/>
        <v>5.3575485034655135E-5</v>
      </c>
      <c r="Y58" s="10">
        <f t="shared" si="104"/>
        <v>1.4565492590382095E-2</v>
      </c>
      <c r="Z58" s="10">
        <f t="shared" si="104"/>
        <v>1.2779318393959786E-2</v>
      </c>
      <c r="AA58" s="10">
        <f t="shared" si="104"/>
        <v>1.9548790733904108E-4</v>
      </c>
      <c r="AB58" s="10">
        <f t="shared" si="104"/>
        <v>2.6473897626201718E-4</v>
      </c>
      <c r="AC58" s="10">
        <f t="shared" si="104"/>
        <v>1.0500635107996793E-2</v>
      </c>
      <c r="AD58" s="10">
        <f t="shared" si="104"/>
        <v>7.3572591185663708E-3</v>
      </c>
      <c r="AE58" s="10">
        <f t="shared" si="104"/>
        <v>7.4961364111896522E-3</v>
      </c>
      <c r="AF58" s="10">
        <f t="shared" si="104"/>
        <v>2.1470274242948008E-3</v>
      </c>
      <c r="AG58" s="10">
        <f t="shared" si="104"/>
        <v>6.0822906531061687E-3</v>
      </c>
      <c r="AH58" s="10">
        <f t="shared" si="104"/>
        <v>1.5867706626465332E-4</v>
      </c>
      <c r="AI58" s="10">
        <f t="shared" si="104"/>
        <v>1.4990833457625735E-4</v>
      </c>
      <c r="AJ58" s="10">
        <f t="shared" si="104"/>
        <v>4.0392229701260831E-3</v>
      </c>
      <c r="AK58" s="10">
        <f t="shared" si="104"/>
        <v>1.8971959826518797E-3</v>
      </c>
      <c r="AL58" s="10">
        <f t="shared" si="104"/>
        <v>7.1142689583995758E-3</v>
      </c>
      <c r="AM58" s="10">
        <f t="shared" si="104"/>
        <v>3.1862686868926941E-3</v>
      </c>
      <c r="AN58" s="10">
        <f t="shared" si="104"/>
        <v>3.173469236758957E-3</v>
      </c>
      <c r="AO58" s="10">
        <f t="shared" si="104"/>
        <v>1.409663667892364E-3</v>
      </c>
      <c r="AP58" s="10">
        <f t="shared" si="104"/>
        <v>2.9530480652365844E-4</v>
      </c>
      <c r="AQ58" s="10">
        <f t="shared" si="104"/>
        <v>9.5633939821876759E-4</v>
      </c>
      <c r="AR58" s="10">
        <f t="shared" si="104"/>
        <v>5.7671019064599609E-4</v>
      </c>
      <c r="AS58" s="10">
        <f t="shared" si="104"/>
        <v>2.9425850824302963E-3</v>
      </c>
      <c r="AT58" s="10">
        <f t="shared" si="104"/>
        <v>1.9724586729277056E-3</v>
      </c>
      <c r="AU58" s="10">
        <f t="shared" si="104"/>
        <v>1.3335902280204616E-3</v>
      </c>
      <c r="AV58" s="10">
        <f t="shared" si="104"/>
        <v>4.962977872162073E-4</v>
      </c>
      <c r="AW58" s="10">
        <f t="shared" si="104"/>
        <v>1.8184181790781538E-3</v>
      </c>
      <c r="AX58" s="10">
        <f t="shared" si="104"/>
        <v>1.381742164530107E-4</v>
      </c>
      <c r="AY58" s="10">
        <f t="shared" si="104"/>
        <v>1.3965769234286084E-4</v>
      </c>
      <c r="AZ58" s="10">
        <f t="shared" si="104"/>
        <v>9.7279869081365864E-4</v>
      </c>
      <c r="BA58" s="10">
        <f t="shared" si="104"/>
        <v>9.132507364025896E-3</v>
      </c>
      <c r="BB58" s="10">
        <f t="shared" si="104"/>
        <v>2.6060264426686578E-3</v>
      </c>
      <c r="BC58" s="10">
        <f t="shared" si="104"/>
        <v>3.7202295709984709E-4</v>
      </c>
      <c r="BD58" s="10">
        <f t="shared" si="104"/>
        <v>3.9922811539804426E-4</v>
      </c>
      <c r="BE58" s="10">
        <f t="shared" si="104"/>
        <v>1.2876255266638097E-3</v>
      </c>
      <c r="BF58" s="10">
        <f t="shared" si="104"/>
        <v>1.3681542402933921E-5</v>
      </c>
      <c r="BG58" s="10">
        <f t="shared" si="104"/>
        <v>1.2926711206480354E-3</v>
      </c>
      <c r="BH58" s="10">
        <f t="shared" si="104"/>
        <v>2.5579258077759433E-3</v>
      </c>
      <c r="BI58" s="10">
        <f t="shared" si="104"/>
        <v>3.0707482668868902E-7</v>
      </c>
    </row>
    <row r="59" spans="1:66">
      <c r="A59" s="3"/>
      <c r="H59" s="27">
        <f>H58+I58</f>
        <v>3.5491191232863963E-2</v>
      </c>
      <c r="I59" s="27"/>
      <c r="J59" s="27">
        <f t="shared" ref="J59" si="105">J58+K58</f>
        <v>2.6979045765882499E-3</v>
      </c>
      <c r="K59" s="27"/>
      <c r="L59" s="27">
        <f t="shared" ref="L59" si="106">L58+M58</f>
        <v>7.4523891200980283E-2</v>
      </c>
      <c r="M59" s="27"/>
      <c r="N59" s="27">
        <f t="shared" ref="N59" si="107">N58+O58</f>
        <v>3.2265714150843408E-2</v>
      </c>
      <c r="O59" s="27"/>
      <c r="P59" s="27">
        <f t="shared" ref="P59" si="108">P58+Q58</f>
        <v>3.0537625703330806E-2</v>
      </c>
      <c r="Q59" s="27"/>
      <c r="R59" s="27">
        <f t="shared" ref="R59" si="109">R58+S58</f>
        <v>1.1674824249493438</v>
      </c>
      <c r="S59" s="27"/>
      <c r="T59" s="27">
        <f t="shared" ref="T59" si="110">T58+U58</f>
        <v>6.5322048288728007E-2</v>
      </c>
      <c r="U59" s="27"/>
      <c r="V59" s="27">
        <f t="shared" ref="V59" si="111">V58+W58</f>
        <v>2.4223901482118025E-2</v>
      </c>
      <c r="W59" s="27"/>
      <c r="X59" s="27">
        <f t="shared" ref="X59" si="112">X58+Y58</f>
        <v>1.461906807541675E-2</v>
      </c>
      <c r="Y59" s="27"/>
      <c r="Z59" s="27">
        <f t="shared" ref="Z59" si="113">Z58+AA58</f>
        <v>1.2974806301298828E-2</v>
      </c>
      <c r="AA59" s="27"/>
      <c r="AB59" s="27">
        <f t="shared" ref="AB59" si="114">AB58+AC58</f>
        <v>1.0765374084258811E-2</v>
      </c>
      <c r="AC59" s="27"/>
      <c r="AD59" s="27">
        <f t="shared" ref="AD59" si="115">AD58+AE58</f>
        <v>1.4853395529756022E-2</v>
      </c>
      <c r="AE59" s="27"/>
      <c r="AF59" s="27">
        <f t="shared" ref="AF59" si="116">AF58+AG58</f>
        <v>8.2293180774009704E-3</v>
      </c>
      <c r="AG59" s="27"/>
      <c r="AH59" s="27">
        <f t="shared" ref="AH59" si="117">AH58+AI58</f>
        <v>3.085854008409107E-4</v>
      </c>
      <c r="AI59" s="27"/>
      <c r="AJ59" s="27">
        <f t="shared" ref="AJ59" si="118">AJ58+AK58</f>
        <v>5.936418952777963E-3</v>
      </c>
      <c r="AK59" s="27"/>
      <c r="AL59" s="27">
        <f t="shared" ref="AL59" si="119">AL58+AM58</f>
        <v>1.030053764529227E-2</v>
      </c>
      <c r="AM59" s="27"/>
      <c r="AN59" s="27">
        <f t="shared" ref="AN59" si="120">AN58+AO58</f>
        <v>4.583132904651321E-3</v>
      </c>
      <c r="AO59" s="27"/>
      <c r="AP59" s="27">
        <f t="shared" ref="AP59" si="121">AP58+AQ58</f>
        <v>1.251644204742426E-3</v>
      </c>
      <c r="AQ59" s="27"/>
      <c r="AR59" s="27">
        <f t="shared" ref="AR59" si="122">AR58+AS58</f>
        <v>3.5192952730762925E-3</v>
      </c>
      <c r="AS59" s="27"/>
      <c r="AT59" s="27">
        <f t="shared" ref="AT59" si="123">AT58+AU58</f>
        <v>3.3060489009481674E-3</v>
      </c>
      <c r="AU59" s="27"/>
      <c r="AV59" s="27">
        <f t="shared" ref="AV59" si="124">AV58+AW58</f>
        <v>2.3147159662943611E-3</v>
      </c>
      <c r="AW59" s="27"/>
      <c r="AX59" s="27">
        <f t="shared" ref="AX59" si="125">AX58+AY58</f>
        <v>2.7783190879587154E-4</v>
      </c>
      <c r="AY59" s="27"/>
      <c r="AZ59" s="27">
        <f t="shared" ref="AZ59" si="126">AZ58+BA58</f>
        <v>1.0105306054839554E-2</v>
      </c>
      <c r="BA59" s="27"/>
      <c r="BB59" s="27">
        <f t="shared" ref="BB59" si="127">BB58+BC58</f>
        <v>2.9780493997685047E-3</v>
      </c>
      <c r="BC59" s="27"/>
      <c r="BD59" s="27">
        <f t="shared" ref="BD59" si="128">BD58+BE58</f>
        <v>1.6868536420618541E-3</v>
      </c>
      <c r="BE59" s="27"/>
      <c r="BF59" s="27">
        <f t="shared" ref="BF59" si="129">BF58+BG58</f>
        <v>1.3063526630509694E-3</v>
      </c>
      <c r="BG59" s="27"/>
      <c r="BH59" s="27">
        <f t="shared" ref="BH59" si="130">BH58+BI58</f>
        <v>2.5582328826026322E-3</v>
      </c>
      <c r="BI59" s="27"/>
    </row>
    <row r="60" spans="1:66">
      <c r="A60" s="3"/>
      <c r="C60">
        <f>2*SUM(H59:BI59)</f>
        <v>3.0888393389053417</v>
      </c>
      <c r="F60" s="31" t="s">
        <v>60</v>
      </c>
      <c r="G60" s="31"/>
      <c r="H60" s="30">
        <f>$A$57/2*H59</f>
        <v>0.97600775890375902</v>
      </c>
      <c r="I60" s="30"/>
      <c r="J60" s="30">
        <f t="shared" ref="J60" si="131">$A$57/2*J59</f>
        <v>7.419237585617687E-2</v>
      </c>
      <c r="K60" s="30"/>
      <c r="L60" s="30">
        <f t="shared" ref="L60" si="132">$A$57/2*L59</f>
        <v>2.0494070080269577</v>
      </c>
      <c r="M60" s="30"/>
      <c r="N60" s="30">
        <f t="shared" ref="N60" si="133">$A$57/2*N59</f>
        <v>0.8873071391481937</v>
      </c>
      <c r="O60" s="30"/>
      <c r="P60" s="30">
        <f t="shared" ref="P60" si="134">$A$57/2*P59</f>
        <v>0.83978470684159712</v>
      </c>
      <c r="Q60" s="30"/>
      <c r="R60" s="30">
        <f t="shared" ref="R60" si="135">$A$57/2*R59</f>
        <v>32.105766686106954</v>
      </c>
      <c r="S60" s="30"/>
      <c r="T60" s="30">
        <f t="shared" ref="T60" si="136">$A$57/2*T59</f>
        <v>1.7963563279400203</v>
      </c>
      <c r="U60" s="30"/>
      <c r="V60" s="30">
        <f t="shared" ref="V60" si="137">$A$57/2*V59</f>
        <v>0.6661572907582457</v>
      </c>
      <c r="W60" s="30"/>
      <c r="X60" s="30">
        <f t="shared" ref="X60" si="138">$A$57/2*X59</f>
        <v>0.40202437207396063</v>
      </c>
      <c r="Y60" s="30"/>
      <c r="Z60" s="30">
        <f t="shared" ref="Z60" si="139">$A$57/2*Z59</f>
        <v>0.35680717328571776</v>
      </c>
      <c r="AA60" s="30"/>
      <c r="AB60" s="30">
        <f t="shared" ref="AB60" si="140">$A$57/2*AB59</f>
        <v>0.29604778731711728</v>
      </c>
      <c r="AC60" s="30"/>
      <c r="AD60" s="30">
        <f t="shared" ref="AD60" si="141">$A$57/2*AD59</f>
        <v>0.40846837706829059</v>
      </c>
      <c r="AE60" s="30"/>
      <c r="AF60" s="30">
        <f t="shared" ref="AF60" si="142">$A$57/2*AF59</f>
        <v>0.22630624712852668</v>
      </c>
      <c r="AG60" s="30"/>
      <c r="AH60" s="30">
        <f t="shared" ref="AH60" si="143">$A$57/2*AH59</f>
        <v>8.4860985231250442E-3</v>
      </c>
      <c r="AI60" s="30"/>
      <c r="AJ60" s="30">
        <f t="shared" ref="AJ60" si="144">$A$57/2*AJ59</f>
        <v>0.163251521201394</v>
      </c>
      <c r="AK60" s="30"/>
      <c r="AL60" s="30">
        <f t="shared" ref="AL60" si="145">$A$57/2*AL59</f>
        <v>0.28326478524553739</v>
      </c>
      <c r="AM60" s="30"/>
      <c r="AN60" s="30">
        <f t="shared" ref="AN60" si="146">$A$57/2*AN59</f>
        <v>0.12603615487791134</v>
      </c>
      <c r="AO60" s="30"/>
      <c r="AP60" s="30">
        <f t="shared" ref="AP60" si="147">$A$57/2*AP59</f>
        <v>3.4420215630416716E-2</v>
      </c>
      <c r="AQ60" s="30"/>
      <c r="AR60" s="30">
        <f t="shared" ref="AR60" si="148">$A$57/2*AR59</f>
        <v>9.6780620009598042E-2</v>
      </c>
      <c r="AS60" s="30"/>
      <c r="AT60" s="30">
        <f t="shared" ref="AT60" si="149">$A$57/2*AT59</f>
        <v>9.0916344776074604E-2</v>
      </c>
      <c r="AU60" s="30"/>
      <c r="AV60" s="30">
        <f t="shared" ref="AV60" si="150">$A$57/2*AV59</f>
        <v>6.3654689073094933E-2</v>
      </c>
      <c r="AW60" s="30"/>
      <c r="AX60" s="30">
        <f t="shared" ref="AX60" si="151">$A$57/2*AX59</f>
        <v>7.6403774918864676E-3</v>
      </c>
      <c r="AY60" s="30"/>
      <c r="AZ60" s="30">
        <f t="shared" ref="AZ60" si="152">$A$57/2*AZ59</f>
        <v>0.27789591650808776</v>
      </c>
      <c r="BA60" s="30"/>
      <c r="BB60" s="30">
        <f t="shared" ref="BB60" si="153">$A$57/2*BB59</f>
        <v>8.1896358493633886E-2</v>
      </c>
      <c r="BC60" s="30"/>
      <c r="BD60" s="30">
        <f t="shared" ref="BD60" si="154">$A$57/2*BD59</f>
        <v>4.6388475156700984E-2</v>
      </c>
      <c r="BE60" s="30"/>
      <c r="BF60" s="30">
        <f t="shared" ref="BF60" si="155">$A$57/2*BF59</f>
        <v>3.592469823390166E-2</v>
      </c>
      <c r="BG60" s="30"/>
      <c r="BH60" s="30">
        <f t="shared" ref="BH60" si="156">$A$57/2*BH59</f>
        <v>7.0351404271572382E-2</v>
      </c>
      <c r="BI60" s="30"/>
    </row>
    <row r="61" spans="1:66">
      <c r="A61" s="3"/>
      <c r="B61" s="4" t="s">
        <v>2</v>
      </c>
      <c r="C61">
        <f>SUM(H59:BI59)</f>
        <v>1.5444196694526708</v>
      </c>
      <c r="F61" s="31" t="s">
        <v>61</v>
      </c>
      <c r="G61" s="32"/>
      <c r="H61" s="33">
        <f>($C$61-H$59)*2</f>
        <v>3.0178569564396138</v>
      </c>
      <c r="I61" s="34"/>
      <c r="J61" s="33">
        <f t="shared" ref="J61" si="157">($C$61-J$59)*2</f>
        <v>3.0834435297521652</v>
      </c>
      <c r="K61" s="34"/>
      <c r="L61" s="33">
        <f t="shared" ref="L61" si="158">($C$61-L$59)*2</f>
        <v>2.9397915565033812</v>
      </c>
      <c r="M61" s="34"/>
      <c r="N61" s="33">
        <f>($C$61-N$59)*2</f>
        <v>3.024307910603655</v>
      </c>
      <c r="O61" s="34"/>
      <c r="P61" s="33">
        <f t="shared" ref="P61" si="159">($C$61-P$59)*2</f>
        <v>3.0277640874986802</v>
      </c>
      <c r="Q61" s="34"/>
      <c r="R61" s="33">
        <f t="shared" ref="R61" si="160">($C$61-R$59)*2</f>
        <v>0.75387448900665399</v>
      </c>
      <c r="S61" s="34"/>
      <c r="T61" s="33">
        <f t="shared" ref="T61" si="161">($C$61-T$59)*2</f>
        <v>2.9581952423278857</v>
      </c>
      <c r="U61" s="34"/>
      <c r="V61" s="33">
        <f t="shared" ref="V61:BF61" si="162">($C$61-V$59)*2</f>
        <v>3.0403915359411058</v>
      </c>
      <c r="W61" s="34"/>
      <c r="X61" s="33">
        <f t="shared" ref="X61:BH61" si="163">($C$61-X$59)*2</f>
        <v>3.0596012027545081</v>
      </c>
      <c r="Y61" s="34"/>
      <c r="Z61" s="33">
        <f t="shared" ref="Z61" si="164">($C$61-Z$59)*2</f>
        <v>3.0628897263027439</v>
      </c>
      <c r="AA61" s="34"/>
      <c r="AB61" s="33">
        <f t="shared" ref="AB61:AZ61" si="165">($C$61-AB$59)*2</f>
        <v>3.067308590736824</v>
      </c>
      <c r="AC61" s="34"/>
      <c r="AD61" s="33">
        <f t="shared" ref="AD61:BB61" si="166">($C$61-AD$59)*2</f>
        <v>3.0591325478458296</v>
      </c>
      <c r="AE61" s="34"/>
      <c r="AF61" s="33">
        <f t="shared" ref="AF61" si="167">($C$61-AF$59)*2</f>
        <v>3.0723807027505399</v>
      </c>
      <c r="AG61" s="34"/>
      <c r="AH61" s="33">
        <f t="shared" si="162"/>
        <v>3.0882221681036599</v>
      </c>
      <c r="AI61" s="34"/>
      <c r="AJ61" s="33">
        <f t="shared" si="163"/>
        <v>3.0769665009997857</v>
      </c>
      <c r="AK61" s="34"/>
      <c r="AL61" s="33">
        <f t="shared" ref="AL61" si="168">($C$61-AL$59)*2</f>
        <v>3.0682382636147572</v>
      </c>
      <c r="AM61" s="34"/>
      <c r="AN61" s="33">
        <f t="shared" si="165"/>
        <v>3.0796730730960391</v>
      </c>
      <c r="AO61" s="34"/>
      <c r="AP61" s="33">
        <f t="shared" si="166"/>
        <v>3.086336050495857</v>
      </c>
      <c r="AQ61" s="34"/>
      <c r="AR61" s="33">
        <f t="shared" ref="AR61" si="169">($C$61-AR$59)*2</f>
        <v>3.0818007483591892</v>
      </c>
      <c r="AS61" s="34"/>
      <c r="AT61" s="33">
        <f t="shared" si="162"/>
        <v>3.0822272411034453</v>
      </c>
      <c r="AU61" s="34"/>
      <c r="AV61" s="33">
        <f t="shared" si="163"/>
        <v>3.0842099069727529</v>
      </c>
      <c r="AW61" s="34"/>
      <c r="AX61" s="33">
        <f t="shared" ref="AX61" si="170">($C$61-AX$59)*2</f>
        <v>3.0882836750877498</v>
      </c>
      <c r="AY61" s="34"/>
      <c r="AZ61" s="33">
        <f t="shared" si="165"/>
        <v>3.0686287267956627</v>
      </c>
      <c r="BA61" s="34"/>
      <c r="BB61" s="33">
        <f t="shared" si="166"/>
        <v>3.0828832401058048</v>
      </c>
      <c r="BC61" s="34"/>
      <c r="BD61" s="33">
        <f t="shared" ref="BD61" si="171">($C$61-BD$59)*2</f>
        <v>3.0854656316212181</v>
      </c>
      <c r="BE61" s="34"/>
      <c r="BF61" s="33">
        <f t="shared" si="162"/>
        <v>3.0862266335792397</v>
      </c>
      <c r="BG61" s="34"/>
      <c r="BH61" s="33">
        <f t="shared" si="163"/>
        <v>3.0837228731401365</v>
      </c>
      <c r="BI61" s="34"/>
    </row>
    <row r="62" spans="1:66">
      <c r="A62" s="3"/>
      <c r="F62" s="31" t="s">
        <v>62</v>
      </c>
      <c r="G62" s="32"/>
      <c r="H62" s="33">
        <f>(($A$57-3)*H59)/H61</f>
        <v>0.61154056363435016</v>
      </c>
      <c r="I62" s="34"/>
      <c r="J62" s="33">
        <f t="shared" ref="J62" si="172">($A$57-3)*J59/J61</f>
        <v>4.549817002611526E-2</v>
      </c>
      <c r="K62" s="34"/>
      <c r="L62" s="33">
        <f t="shared" ref="L62" si="173">($A$57-3)*L59/L61</f>
        <v>1.3182030997667837</v>
      </c>
      <c r="M62" s="34"/>
      <c r="N62" s="33">
        <f t="shared" ref="N62" si="174">($A$57-3)*N59/N61</f>
        <v>0.55477722025630749</v>
      </c>
      <c r="O62" s="34"/>
      <c r="P62" s="33">
        <f t="shared" ref="P62" si="175">($A$57-3)*P59/P61</f>
        <v>0.52446508072729559</v>
      </c>
      <c r="Q62" s="34"/>
      <c r="R62" s="35">
        <f>($A$57-3)*R59/R61</f>
        <v>80.529434252854841</v>
      </c>
      <c r="S62" s="36"/>
      <c r="T62" s="33">
        <f t="shared" ref="T62" si="176">($A$57-3)*T59/T61</f>
        <v>1.1482496024639883</v>
      </c>
      <c r="U62" s="34"/>
      <c r="V62" s="33">
        <f t="shared" ref="V62" si="177">($A$57-3)*V59/V61</f>
        <v>0.41430284954409152</v>
      </c>
      <c r="W62" s="34"/>
      <c r="X62" s="33">
        <f t="shared" ref="X62" si="178">($A$57-3)*X59/X61</f>
        <v>0.24846098871881839</v>
      </c>
      <c r="Y62" s="34"/>
      <c r="Z62" s="33">
        <f t="shared" ref="Z62" si="179">($A$57-3)*Z59/Z61</f>
        <v>0.22027888300176141</v>
      </c>
      <c r="AA62" s="34"/>
      <c r="AB62" s="33">
        <f t="shared" ref="AB62" si="180">($A$57-3)*AB59/AB61</f>
        <v>0.18250509716304222</v>
      </c>
      <c r="AC62" s="34"/>
      <c r="AD62" s="33">
        <f t="shared" ref="AD62" si="181">($A$57-3)*AD59/AD61</f>
        <v>0.25248221692492628</v>
      </c>
      <c r="AE62" s="34"/>
      <c r="AF62" s="33">
        <f t="shared" ref="AF62" si="182">($A$57-3)*AF59/AF61</f>
        <v>0.13928109222979831</v>
      </c>
      <c r="AG62" s="34"/>
      <c r="AH62" s="33">
        <f t="shared" ref="AH62" si="183">($A$57-3)*AH59/AH61</f>
        <v>5.1960124532040271E-3</v>
      </c>
      <c r="AI62" s="34"/>
      <c r="AJ62" s="33">
        <f t="shared" ref="AJ62" si="184">($A$57-3)*AJ59/AJ61</f>
        <v>0.10032406444598975</v>
      </c>
      <c r="AK62" s="34"/>
      <c r="AL62" s="33">
        <f t="shared" ref="AL62" si="185">($A$57-3)*AL59/AL61</f>
        <v>0.17457182641486363</v>
      </c>
      <c r="AM62" s="34"/>
      <c r="AN62" s="33">
        <f t="shared" ref="AN62" si="186">($A$57-3)*AN59/AN61</f>
        <v>7.7385782641622824E-2</v>
      </c>
      <c r="AO62" s="34"/>
      <c r="AP62" s="33">
        <f t="shared" ref="AP62" si="187">($A$57-3)*AP59/AP61</f>
        <v>2.1088273467871194E-2</v>
      </c>
      <c r="AQ62" s="34"/>
      <c r="AR62" s="33">
        <f t="shared" ref="AR62" si="188">($A$57-3)*AR59/AR61</f>
        <v>5.9381955273195966E-2</v>
      </c>
      <c r="AS62" s="34"/>
      <c r="AT62" s="33">
        <f t="shared" ref="AT62" si="189">($A$57-3)*AT59/AT61</f>
        <v>5.5776076648962086E-2</v>
      </c>
      <c r="AU62" s="34"/>
      <c r="AV62" s="33">
        <f t="shared" ref="AV62" si="190">($A$57-3)*AV59/AV61</f>
        <v>3.9026277029713896E-2</v>
      </c>
      <c r="AW62" s="34"/>
      <c r="AX62" s="33">
        <f t="shared" ref="AX62" si="191">($A$57-3)*AX59/AX61</f>
        <v>4.6780868525540548E-3</v>
      </c>
      <c r="AY62" s="34"/>
      <c r="AZ62" s="33">
        <f t="shared" ref="AZ62" si="192">($A$57-3)*AZ59/AZ61</f>
        <v>0.17124128124824395</v>
      </c>
      <c r="BA62" s="34"/>
      <c r="BB62" s="33">
        <f t="shared" ref="BB62" si="193">($A$57-3)*BB59/BB61</f>
        <v>5.0231733324628762E-2</v>
      </c>
      <c r="BC62" s="34"/>
      <c r="BD62" s="33">
        <f t="shared" ref="BD62" si="194">($A$57-3)*BD59/BD61</f>
        <v>2.8428898539092452E-2</v>
      </c>
      <c r="BE62" s="34"/>
      <c r="BF62" s="33">
        <f t="shared" ref="BF62" si="195">($A$57-3)*BF59/BF61</f>
        <v>2.2010806899125372E-2</v>
      </c>
      <c r="BG62" s="34"/>
      <c r="BH62" s="33">
        <f t="shared" ref="BH62" si="196">($A$57-3)*BH59/BH61</f>
        <v>4.3138801821019389E-2</v>
      </c>
      <c r="BI62" s="34"/>
    </row>
    <row r="63" spans="1:66">
      <c r="F63" s="31" t="s">
        <v>63</v>
      </c>
      <c r="G63" s="31"/>
      <c r="H63" s="37">
        <f>_xlfn.F.INV.RT(0.05,2,52)</f>
        <v>3.1751409712748968</v>
      </c>
      <c r="I63" s="37"/>
    </row>
    <row r="64" spans="1:66">
      <c r="H64" s="31" t="str">
        <f>IF(H62&gt;$H$63,"Signifikan","Tidak Signifikan")</f>
        <v>Tidak Signifikan</v>
      </c>
      <c r="I64" s="31"/>
      <c r="J64" s="31" t="str">
        <f t="shared" ref="J64" si="197">IF(J62&gt;$H$63,"Signifikan","Tidak Signifikan")</f>
        <v>Tidak Signifikan</v>
      </c>
      <c r="K64" s="31"/>
      <c r="L64" s="31" t="str">
        <f t="shared" ref="L64" si="198">IF(L62&gt;$H$63,"Signifikan","Tidak Signifikan")</f>
        <v>Tidak Signifikan</v>
      </c>
      <c r="M64" s="31"/>
      <c r="N64" s="31" t="str">
        <f t="shared" ref="N64" si="199">IF(N62&gt;$H$63,"Signifikan","Tidak Signifikan")</f>
        <v>Tidak Signifikan</v>
      </c>
      <c r="O64" s="31"/>
      <c r="P64" s="31" t="str">
        <f t="shared" ref="P64" si="200">IF(P62&gt;$H$63,"Signifikan","Tidak Signifikan")</f>
        <v>Tidak Signifikan</v>
      </c>
      <c r="Q64" s="31"/>
      <c r="R64" s="31" t="str">
        <f t="shared" ref="R64" si="201">IF(R62&gt;$H$63,"Signifikan","Tidak Signifikan")</f>
        <v>Signifikan</v>
      </c>
      <c r="S64" s="31"/>
      <c r="T64" s="31" t="str">
        <f t="shared" ref="T64" si="202">IF(T62&gt;$H$63,"Signifikan","Tidak Signifikan")</f>
        <v>Tidak Signifikan</v>
      </c>
      <c r="U64" s="31"/>
      <c r="V64" s="31" t="str">
        <f t="shared" ref="V64" si="203">IF(V62&gt;$H$63,"Signifikan","Tidak Signifikan")</f>
        <v>Tidak Signifikan</v>
      </c>
      <c r="W64" s="31"/>
      <c r="X64" s="31" t="str">
        <f t="shared" ref="X64" si="204">IF(X62&gt;$H$63,"Signifikan","Tidak Signifikan")</f>
        <v>Tidak Signifikan</v>
      </c>
      <c r="Y64" s="31"/>
      <c r="Z64" s="31" t="str">
        <f t="shared" ref="Z64" si="205">IF(Z62&gt;$H$63,"Signifikan","Tidak Signifikan")</f>
        <v>Tidak Signifikan</v>
      </c>
      <c r="AA64" s="31"/>
      <c r="AB64" s="31" t="str">
        <f t="shared" ref="AB64" si="206">IF(AB62&gt;$H$63,"Signifikan","Tidak Signifikan")</f>
        <v>Tidak Signifikan</v>
      </c>
      <c r="AC64" s="31"/>
      <c r="AD64" s="31" t="str">
        <f t="shared" ref="AD64" si="207">IF(AD62&gt;$H$63,"Signifikan","Tidak Signifikan")</f>
        <v>Tidak Signifikan</v>
      </c>
      <c r="AE64" s="31"/>
      <c r="AF64" s="31" t="str">
        <f t="shared" ref="AF64" si="208">IF(AF62&gt;$H$63,"Signifikan","Tidak Signifikan")</f>
        <v>Tidak Signifikan</v>
      </c>
      <c r="AG64" s="31"/>
      <c r="AH64" s="31" t="str">
        <f t="shared" ref="AH64" si="209">IF(AH62&gt;$H$63,"Signifikan","Tidak Signifikan")</f>
        <v>Tidak Signifikan</v>
      </c>
      <c r="AI64" s="31"/>
      <c r="AJ64" s="31" t="str">
        <f t="shared" ref="AJ64" si="210">IF(AJ62&gt;$H$63,"Signifikan","Tidak Signifikan")</f>
        <v>Tidak Signifikan</v>
      </c>
      <c r="AK64" s="31"/>
      <c r="AL64" s="31" t="str">
        <f t="shared" ref="AL64" si="211">IF(AL62&gt;$H$63,"Signifikan","Tidak Signifikan")</f>
        <v>Tidak Signifikan</v>
      </c>
      <c r="AM64" s="31"/>
      <c r="AN64" s="31" t="str">
        <f t="shared" ref="AN64" si="212">IF(AN62&gt;$H$63,"Signifikan","Tidak Signifikan")</f>
        <v>Tidak Signifikan</v>
      </c>
      <c r="AO64" s="31"/>
      <c r="AP64" s="31" t="str">
        <f t="shared" ref="AP64" si="213">IF(AP62&gt;$H$63,"Signifikan","Tidak Signifikan")</f>
        <v>Tidak Signifikan</v>
      </c>
      <c r="AQ64" s="31"/>
      <c r="AR64" s="31" t="str">
        <f t="shared" ref="AR64" si="214">IF(AR62&gt;$H$63,"Signifikan","Tidak Signifikan")</f>
        <v>Tidak Signifikan</v>
      </c>
      <c r="AS64" s="31"/>
      <c r="AT64" s="31" t="str">
        <f t="shared" ref="AT64" si="215">IF(AT62&gt;$H$63,"Signifikan","Tidak Signifikan")</f>
        <v>Tidak Signifikan</v>
      </c>
      <c r="AU64" s="31"/>
      <c r="AV64" s="31" t="str">
        <f t="shared" ref="AV64" si="216">IF(AV62&gt;$H$63,"Signifikan","Tidak Signifikan")</f>
        <v>Tidak Signifikan</v>
      </c>
      <c r="AW64" s="31"/>
      <c r="AX64" s="31" t="str">
        <f t="shared" ref="AX64" si="217">IF(AX62&gt;$H$63,"Signifikan","Tidak Signifikan")</f>
        <v>Tidak Signifikan</v>
      </c>
      <c r="AY64" s="31"/>
      <c r="AZ64" s="31" t="str">
        <f t="shared" ref="AZ64" si="218">IF(AZ62&gt;$H$63,"Signifikan","Tidak Signifikan")</f>
        <v>Tidak Signifikan</v>
      </c>
      <c r="BA64" s="31"/>
      <c r="BB64" s="31" t="str">
        <f t="shared" ref="BB64" si="219">IF(BB62&gt;$H$63,"Signifikan","Tidak Signifikan")</f>
        <v>Tidak Signifikan</v>
      </c>
      <c r="BC64" s="31"/>
      <c r="BD64" s="31" t="str">
        <f t="shared" ref="BD64" si="220">IF(BD62&gt;$H$63,"Signifikan","Tidak Signifikan")</f>
        <v>Tidak Signifikan</v>
      </c>
      <c r="BE64" s="31"/>
      <c r="BF64" s="31" t="str">
        <f t="shared" ref="BF64" si="221">IF(BF62&gt;$H$63,"Signifikan","Tidak Signifikan")</f>
        <v>Tidak Signifikan</v>
      </c>
      <c r="BG64" s="31"/>
      <c r="BH64" s="31" t="str">
        <f t="shared" ref="BH64" si="222">IF(BH62&gt;$H$63,"Signifikan","Tidak Signifikan")</f>
        <v>Tidak Signifikan</v>
      </c>
      <c r="BI64" s="31"/>
    </row>
    <row r="66" spans="2:3">
      <c r="B66" t="s">
        <v>106</v>
      </c>
    </row>
    <row r="67" spans="2:3">
      <c r="B67" s="7" t="s">
        <v>103</v>
      </c>
      <c r="C67" s="7">
        <f>F8/$F$30</f>
        <v>0.75593599851204296</v>
      </c>
    </row>
    <row r="68" spans="2:3">
      <c r="B68" s="7" t="s">
        <v>104</v>
      </c>
      <c r="C68" s="19">
        <f>1-(0.05/27)^(1/26)</f>
        <v>0.2149308127383982</v>
      </c>
    </row>
    <row r="69" spans="2:3">
      <c r="B69" s="7" t="s">
        <v>105</v>
      </c>
      <c r="C69" s="7" t="str">
        <f>IF(C67&gt;C68,"Signifikan","Tidak Signifikan")</f>
        <v>Signifikan</v>
      </c>
    </row>
    <row r="70" spans="2:3">
      <c r="B70" s="42" t="s">
        <v>107</v>
      </c>
      <c r="C70" s="7">
        <f>ROUNDUP(E8,0)</f>
        <v>10</v>
      </c>
    </row>
  </sheetData>
  <mergeCells count="148">
    <mergeCell ref="AJ64:AK64"/>
    <mergeCell ref="R64:S64"/>
    <mergeCell ref="T64:U64"/>
    <mergeCell ref="V64:W64"/>
    <mergeCell ref="X64:Y64"/>
    <mergeCell ref="Z64:AA64"/>
    <mergeCell ref="BF64:BG64"/>
    <mergeCell ref="BH64:BI64"/>
    <mergeCell ref="AV64:AW64"/>
    <mergeCell ref="AX64:AY64"/>
    <mergeCell ref="AZ64:BA64"/>
    <mergeCell ref="BB64:BC64"/>
    <mergeCell ref="BD64:BE64"/>
    <mergeCell ref="AL64:AM64"/>
    <mergeCell ref="AN64:AO64"/>
    <mergeCell ref="AP64:AQ64"/>
    <mergeCell ref="AR64:AS64"/>
    <mergeCell ref="AT64:AU64"/>
    <mergeCell ref="H64:I64"/>
    <mergeCell ref="J64:K64"/>
    <mergeCell ref="L64:M64"/>
    <mergeCell ref="N64:O64"/>
    <mergeCell ref="P64:Q64"/>
    <mergeCell ref="BD62:BE62"/>
    <mergeCell ref="BF62:BG62"/>
    <mergeCell ref="BH62:BI62"/>
    <mergeCell ref="F63:G63"/>
    <mergeCell ref="H63:I63"/>
    <mergeCell ref="AT62:AU62"/>
    <mergeCell ref="AV62:AW62"/>
    <mergeCell ref="AX62:AY62"/>
    <mergeCell ref="AZ62:BA62"/>
    <mergeCell ref="BB62:BC62"/>
    <mergeCell ref="AJ62:AK62"/>
    <mergeCell ref="AL62:AM62"/>
    <mergeCell ref="AN62:AO62"/>
    <mergeCell ref="AP62:AQ62"/>
    <mergeCell ref="AR62:AS62"/>
    <mergeCell ref="AB64:AC64"/>
    <mergeCell ref="AD64:AE64"/>
    <mergeCell ref="AF64:AG64"/>
    <mergeCell ref="AH64:AI64"/>
    <mergeCell ref="BH61:BI61"/>
    <mergeCell ref="H62:I62"/>
    <mergeCell ref="J62:K62"/>
    <mergeCell ref="L62:M62"/>
    <mergeCell ref="N62:O62"/>
    <mergeCell ref="P62:Q62"/>
    <mergeCell ref="R62:S62"/>
    <mergeCell ref="T62:U62"/>
    <mergeCell ref="V62:W62"/>
    <mergeCell ref="X62:Y62"/>
    <mergeCell ref="Z62:AA62"/>
    <mergeCell ref="AB62:AC62"/>
    <mergeCell ref="AD62:AE62"/>
    <mergeCell ref="AF62:AG62"/>
    <mergeCell ref="AH62:AI62"/>
    <mergeCell ref="AV61:AW61"/>
    <mergeCell ref="AX61:AY61"/>
    <mergeCell ref="AZ61:BA61"/>
    <mergeCell ref="BB61:BC61"/>
    <mergeCell ref="BD61:BE61"/>
    <mergeCell ref="AL61:AM61"/>
    <mergeCell ref="AN61:AO61"/>
    <mergeCell ref="AP61:AQ61"/>
    <mergeCell ref="AR61:AS61"/>
    <mergeCell ref="AT61:AU61"/>
    <mergeCell ref="F62:G62"/>
    <mergeCell ref="H61:I61"/>
    <mergeCell ref="J61:K61"/>
    <mergeCell ref="L61:M61"/>
    <mergeCell ref="N61:O61"/>
    <mergeCell ref="BD60:BE60"/>
    <mergeCell ref="BF60:BG60"/>
    <mergeCell ref="BF61:BG61"/>
    <mergeCell ref="Z60:AA60"/>
    <mergeCell ref="AB60:AC60"/>
    <mergeCell ref="AD60:AE60"/>
    <mergeCell ref="AF60:AG60"/>
    <mergeCell ref="AH60:AI60"/>
    <mergeCell ref="BH60:BI60"/>
    <mergeCell ref="F60:G60"/>
    <mergeCell ref="F61:G61"/>
    <mergeCell ref="P61:Q61"/>
    <mergeCell ref="R61:S61"/>
    <mergeCell ref="T61:U61"/>
    <mergeCell ref="V61:W61"/>
    <mergeCell ref="X61:Y61"/>
    <mergeCell ref="Z61:AA61"/>
    <mergeCell ref="AB61:AC61"/>
    <mergeCell ref="AD61:AE61"/>
    <mergeCell ref="AF61:AG61"/>
    <mergeCell ref="AH61:AI61"/>
    <mergeCell ref="AJ61:AK61"/>
    <mergeCell ref="AT60:AU60"/>
    <mergeCell ref="AV60:AW60"/>
    <mergeCell ref="AX60:AY60"/>
    <mergeCell ref="AZ60:BA60"/>
    <mergeCell ref="BB60:BC60"/>
    <mergeCell ref="AJ60:AK60"/>
    <mergeCell ref="AL60:AM60"/>
    <mergeCell ref="AN60:AO60"/>
    <mergeCell ref="AP60:AQ60"/>
    <mergeCell ref="AR60:AS60"/>
    <mergeCell ref="AN59:AO59"/>
    <mergeCell ref="AP59:AQ59"/>
    <mergeCell ref="H60:I60"/>
    <mergeCell ref="J60:K60"/>
    <mergeCell ref="L60:M60"/>
    <mergeCell ref="N60:O60"/>
    <mergeCell ref="P60:Q60"/>
    <mergeCell ref="R60:S60"/>
    <mergeCell ref="T60:U60"/>
    <mergeCell ref="V60:W60"/>
    <mergeCell ref="X60:Y60"/>
    <mergeCell ref="XFD1:XFD2"/>
    <mergeCell ref="E1:E2"/>
    <mergeCell ref="F1:F2"/>
    <mergeCell ref="G1:G2"/>
    <mergeCell ref="AR59:AS59"/>
    <mergeCell ref="AT59:AU59"/>
    <mergeCell ref="AB59:AC59"/>
    <mergeCell ref="AD59:AE59"/>
    <mergeCell ref="AF59:AG59"/>
    <mergeCell ref="AH59:AI59"/>
    <mergeCell ref="AJ59:AK59"/>
    <mergeCell ref="R59:S59"/>
    <mergeCell ref="T59:U59"/>
    <mergeCell ref="V59:W59"/>
    <mergeCell ref="X59:Y59"/>
    <mergeCell ref="Z59:AA59"/>
    <mergeCell ref="BF59:BG59"/>
    <mergeCell ref="BH59:BI59"/>
    <mergeCell ref="BD59:BE59"/>
    <mergeCell ref="AV59:AW59"/>
    <mergeCell ref="AX59:AY59"/>
    <mergeCell ref="AZ59:BA59"/>
    <mergeCell ref="BB59:BC59"/>
    <mergeCell ref="AL59:AM59"/>
    <mergeCell ref="A1:A2"/>
    <mergeCell ref="B1:B2"/>
    <mergeCell ref="C1:C2"/>
    <mergeCell ref="D1:D2"/>
    <mergeCell ref="H59:I59"/>
    <mergeCell ref="J59:K59"/>
    <mergeCell ref="L59:M59"/>
    <mergeCell ref="N59:O59"/>
    <mergeCell ref="P59:Q59"/>
  </mergeCells>
  <phoneticPr fontId="5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6BBE1-C09A-45FF-9F1E-194562CA3CA6}">
  <dimension ref="A1:XFD127"/>
  <sheetViews>
    <sheetView tabSelected="1" topLeftCell="A90" zoomScale="98" zoomScaleNormal="49" workbookViewId="0">
      <selection activeCell="C100" sqref="C100"/>
    </sheetView>
  </sheetViews>
  <sheetFormatPr defaultRowHeight="14.5"/>
  <cols>
    <col min="1" max="1" width="8.90625" bestFit="1" customWidth="1"/>
    <col min="2" max="2" width="13.36328125" customWidth="1"/>
    <col min="3" max="3" width="20.90625" customWidth="1"/>
    <col min="4" max="4" width="8.90625" bestFit="1" customWidth="1"/>
    <col min="5" max="5" width="8.81640625" bestFit="1" customWidth="1"/>
    <col min="6" max="6" width="13.08984375" customWidth="1"/>
    <col min="7" max="7" width="12.54296875" customWidth="1"/>
    <col min="8" max="8" width="8.90625" bestFit="1" customWidth="1"/>
    <col min="9" max="9" width="9.36328125" customWidth="1"/>
    <col min="10" max="10" width="8.90625" bestFit="1" customWidth="1"/>
    <col min="11" max="11" width="12" bestFit="1" customWidth="1"/>
    <col min="12" max="20" width="8.90625" bestFit="1" customWidth="1"/>
    <col min="21" max="30" width="8.81640625" bestFit="1" customWidth="1"/>
    <col min="31" max="32" width="14.26953125" bestFit="1" customWidth="1"/>
    <col min="33" max="33" width="8.81640625" bestFit="1" customWidth="1"/>
  </cols>
  <sheetData>
    <row r="1" spans="1:196 16384:16384">
      <c r="A1" s="40" t="s">
        <v>0</v>
      </c>
      <c r="B1" s="40" t="s">
        <v>1</v>
      </c>
      <c r="C1" s="26" t="s">
        <v>3</v>
      </c>
      <c r="D1" s="26" t="s">
        <v>5</v>
      </c>
      <c r="E1" s="26" t="s">
        <v>4</v>
      </c>
      <c r="F1" s="29" t="s">
        <v>64</v>
      </c>
      <c r="G1" s="26" t="s">
        <v>62</v>
      </c>
      <c r="H1" s="9">
        <v>1</v>
      </c>
      <c r="I1" s="9">
        <v>1</v>
      </c>
      <c r="J1" s="9">
        <v>2</v>
      </c>
      <c r="K1" s="9">
        <v>2</v>
      </c>
      <c r="L1" s="9">
        <v>3</v>
      </c>
      <c r="M1" s="9">
        <v>3</v>
      </c>
      <c r="N1" s="9">
        <v>4</v>
      </c>
      <c r="O1" s="9">
        <v>4</v>
      </c>
      <c r="P1" s="9">
        <v>5</v>
      </c>
      <c r="Q1" s="9">
        <v>5</v>
      </c>
      <c r="R1" s="9">
        <v>6</v>
      </c>
      <c r="S1" s="9">
        <v>6</v>
      </c>
      <c r="T1" s="9">
        <v>7</v>
      </c>
      <c r="U1" s="9">
        <v>7</v>
      </c>
      <c r="V1" s="9">
        <v>8</v>
      </c>
      <c r="W1" s="9">
        <v>8</v>
      </c>
      <c r="X1" s="9">
        <v>9</v>
      </c>
      <c r="Y1" s="9">
        <v>9</v>
      </c>
      <c r="Z1" s="9">
        <v>10</v>
      </c>
      <c r="AA1" s="9">
        <v>10</v>
      </c>
      <c r="AB1" s="9">
        <v>11</v>
      </c>
      <c r="AC1" s="9">
        <v>11</v>
      </c>
      <c r="AD1" s="9">
        <v>12</v>
      </c>
      <c r="AE1" s="9">
        <v>12</v>
      </c>
      <c r="AF1" s="9">
        <v>13</v>
      </c>
      <c r="AG1" s="9">
        <v>13</v>
      </c>
      <c r="AH1" s="9">
        <v>14</v>
      </c>
      <c r="AI1" s="9">
        <v>14</v>
      </c>
      <c r="AJ1" s="9">
        <v>15</v>
      </c>
      <c r="AK1" s="9">
        <v>15</v>
      </c>
      <c r="AL1" s="9">
        <v>16</v>
      </c>
      <c r="AM1" s="9">
        <v>16</v>
      </c>
      <c r="AN1" s="9">
        <v>17</v>
      </c>
      <c r="AO1" s="9">
        <v>17</v>
      </c>
      <c r="AP1" s="9">
        <v>18</v>
      </c>
      <c r="AQ1" s="9">
        <v>18</v>
      </c>
      <c r="AR1" s="9">
        <v>19</v>
      </c>
      <c r="AS1" s="9">
        <v>19</v>
      </c>
      <c r="AT1" s="9">
        <v>20</v>
      </c>
      <c r="AU1" s="9">
        <v>20</v>
      </c>
      <c r="AV1" s="9">
        <v>21</v>
      </c>
      <c r="AW1" s="9">
        <v>21</v>
      </c>
      <c r="AX1" s="9">
        <v>22</v>
      </c>
      <c r="AY1" s="9">
        <v>22</v>
      </c>
      <c r="AZ1" s="9">
        <v>23</v>
      </c>
      <c r="BA1" s="9">
        <v>23</v>
      </c>
      <c r="BB1" s="9">
        <v>24</v>
      </c>
      <c r="BC1" s="9">
        <v>24</v>
      </c>
      <c r="BD1" s="9">
        <v>25</v>
      </c>
      <c r="BE1" s="9">
        <v>25</v>
      </c>
      <c r="BF1" s="9">
        <v>26</v>
      </c>
      <c r="BG1" s="9">
        <v>26</v>
      </c>
      <c r="BH1" s="9">
        <v>27</v>
      </c>
      <c r="BI1" s="9">
        <v>27</v>
      </c>
      <c r="BJ1" s="9">
        <v>28</v>
      </c>
      <c r="BK1" s="9">
        <v>28</v>
      </c>
      <c r="BL1" s="9">
        <f>BJ1+1</f>
        <v>29</v>
      </c>
      <c r="BM1" s="9">
        <f>BK1+1</f>
        <v>29</v>
      </c>
      <c r="BN1" s="9">
        <f t="shared" ref="BN1:BS1" si="0">BL1+1</f>
        <v>30</v>
      </c>
      <c r="BO1" s="9">
        <f t="shared" si="0"/>
        <v>30</v>
      </c>
      <c r="BP1" s="9">
        <f t="shared" si="0"/>
        <v>31</v>
      </c>
      <c r="BQ1" s="9">
        <f t="shared" si="0"/>
        <v>31</v>
      </c>
      <c r="BR1" s="9">
        <f t="shared" si="0"/>
        <v>32</v>
      </c>
      <c r="BS1" s="9">
        <f t="shared" si="0"/>
        <v>32</v>
      </c>
      <c r="BT1" s="9">
        <f t="shared" ref="BT1" si="1">BR1+1</f>
        <v>33</v>
      </c>
      <c r="BU1" s="9">
        <f t="shared" ref="BU1" si="2">BS1+1</f>
        <v>33</v>
      </c>
      <c r="BV1" s="9">
        <f t="shared" ref="BV1" si="3">BT1+1</f>
        <v>34</v>
      </c>
      <c r="BW1" s="9">
        <f t="shared" ref="BW1" si="4">BU1+1</f>
        <v>34</v>
      </c>
      <c r="BX1" s="9">
        <f t="shared" ref="BX1" si="5">BV1+1</f>
        <v>35</v>
      </c>
      <c r="BY1" s="9">
        <f t="shared" ref="BY1" si="6">BW1+1</f>
        <v>35</v>
      </c>
      <c r="BZ1" s="9">
        <f t="shared" ref="BZ1" si="7">BX1+1</f>
        <v>36</v>
      </c>
      <c r="CA1" s="9">
        <f t="shared" ref="CA1" si="8">BY1+1</f>
        <v>36</v>
      </c>
      <c r="CB1" s="9">
        <f t="shared" ref="CB1" si="9">BZ1+1</f>
        <v>37</v>
      </c>
      <c r="CC1" s="9">
        <f t="shared" ref="CC1" si="10">CA1+1</f>
        <v>37</v>
      </c>
      <c r="CD1" s="9">
        <f>CB1+1</f>
        <v>38</v>
      </c>
      <c r="CE1" s="9">
        <f>CC1+1</f>
        <v>38</v>
      </c>
      <c r="CF1" s="9">
        <f t="shared" ref="CF1" si="11">CD1+1</f>
        <v>39</v>
      </c>
      <c r="CG1" s="9">
        <f t="shared" ref="CG1" si="12">CE1+1</f>
        <v>39</v>
      </c>
      <c r="CH1" s="9">
        <f t="shared" ref="CH1" si="13">CF1+1</f>
        <v>40</v>
      </c>
      <c r="CI1" s="9">
        <f t="shared" ref="CI1" si="14">CG1+1</f>
        <v>40</v>
      </c>
      <c r="CJ1" s="9">
        <f t="shared" ref="CJ1" si="15">CH1+1</f>
        <v>41</v>
      </c>
      <c r="CK1" s="9">
        <f t="shared" ref="CK1" si="16">CI1+1</f>
        <v>41</v>
      </c>
      <c r="CL1" s="9">
        <f t="shared" ref="CL1" si="17">CJ1+1</f>
        <v>42</v>
      </c>
      <c r="CM1" s="9">
        <f t="shared" ref="CM1" si="18">CK1+1</f>
        <v>42</v>
      </c>
      <c r="CN1" s="9">
        <f t="shared" ref="CN1" si="19">CL1+1</f>
        <v>43</v>
      </c>
      <c r="CO1" s="9">
        <f t="shared" ref="CO1" si="20">CM1+1</f>
        <v>43</v>
      </c>
      <c r="CP1" s="9">
        <f>CN1+1</f>
        <v>44</v>
      </c>
      <c r="CQ1" s="9">
        <f>CO1+1</f>
        <v>44</v>
      </c>
      <c r="CR1" s="9">
        <f t="shared" ref="CR1" si="21">CP1+1</f>
        <v>45</v>
      </c>
      <c r="CS1" s="9">
        <f t="shared" ref="CS1" si="22">CQ1+1</f>
        <v>45</v>
      </c>
      <c r="CT1" s="9">
        <f t="shared" ref="CT1" si="23">CR1+1</f>
        <v>46</v>
      </c>
      <c r="CU1" s="9">
        <f t="shared" ref="CU1" si="24">CS1+1</f>
        <v>46</v>
      </c>
      <c r="XFD1" s="28"/>
    </row>
    <row r="2" spans="1:196 16384:16384">
      <c r="A2" s="41"/>
      <c r="B2" s="41"/>
      <c r="C2" s="26"/>
      <c r="D2" s="26"/>
      <c r="E2" s="26"/>
      <c r="F2" s="29"/>
      <c r="G2" s="26"/>
      <c r="H2" s="9" t="s">
        <v>6</v>
      </c>
      <c r="I2" s="9" t="s">
        <v>7</v>
      </c>
      <c r="J2" s="9" t="s">
        <v>8</v>
      </c>
      <c r="K2" s="9" t="s">
        <v>9</v>
      </c>
      <c r="L2" s="9" t="s">
        <v>10</v>
      </c>
      <c r="M2" s="9" t="s">
        <v>11</v>
      </c>
      <c r="N2" s="9" t="s">
        <v>12</v>
      </c>
      <c r="O2" s="9" t="s">
        <v>13</v>
      </c>
      <c r="P2" s="9" t="s">
        <v>14</v>
      </c>
      <c r="Q2" s="9" t="s">
        <v>15</v>
      </c>
      <c r="R2" s="9" t="s">
        <v>16</v>
      </c>
      <c r="S2" s="9" t="s">
        <v>17</v>
      </c>
      <c r="T2" s="9" t="s">
        <v>18</v>
      </c>
      <c r="U2" s="9" t="s">
        <v>19</v>
      </c>
      <c r="V2" s="9" t="s">
        <v>20</v>
      </c>
      <c r="W2" s="9" t="s">
        <v>21</v>
      </c>
      <c r="X2" s="9" t="s">
        <v>22</v>
      </c>
      <c r="Y2" s="9" t="s">
        <v>23</v>
      </c>
      <c r="Z2" s="9" t="s">
        <v>24</v>
      </c>
      <c r="AA2" s="9" t="s">
        <v>25</v>
      </c>
      <c r="AB2" s="9" t="s">
        <v>26</v>
      </c>
      <c r="AC2" s="9" t="s">
        <v>27</v>
      </c>
      <c r="AD2" s="9" t="s">
        <v>28</v>
      </c>
      <c r="AE2" s="9" t="s">
        <v>29</v>
      </c>
      <c r="AF2" s="9" t="s">
        <v>30</v>
      </c>
      <c r="AG2" s="9" t="s">
        <v>31</v>
      </c>
      <c r="AH2" s="9" t="s">
        <v>32</v>
      </c>
      <c r="AI2" s="9" t="s">
        <v>33</v>
      </c>
      <c r="AJ2" s="9" t="s">
        <v>34</v>
      </c>
      <c r="AK2" s="9" t="s">
        <v>35</v>
      </c>
      <c r="AL2" s="9" t="s">
        <v>36</v>
      </c>
      <c r="AM2" s="9" t="s">
        <v>37</v>
      </c>
      <c r="AN2" s="9" t="s">
        <v>38</v>
      </c>
      <c r="AO2" s="9" t="s">
        <v>39</v>
      </c>
      <c r="AP2" s="9" t="s">
        <v>40</v>
      </c>
      <c r="AQ2" s="9" t="s">
        <v>41</v>
      </c>
      <c r="AR2" s="9" t="s">
        <v>42</v>
      </c>
      <c r="AS2" s="9" t="s">
        <v>43</v>
      </c>
      <c r="AT2" s="9" t="s">
        <v>44</v>
      </c>
      <c r="AU2" s="9" t="s">
        <v>45</v>
      </c>
      <c r="AV2" s="9" t="s">
        <v>46</v>
      </c>
      <c r="AW2" s="9" t="s">
        <v>47</v>
      </c>
      <c r="AX2" s="9" t="s">
        <v>48</v>
      </c>
      <c r="AY2" s="9" t="s">
        <v>49</v>
      </c>
      <c r="AZ2" s="9" t="s">
        <v>50</v>
      </c>
      <c r="BA2" s="9" t="s">
        <v>51</v>
      </c>
      <c r="BB2" s="9" t="s">
        <v>52</v>
      </c>
      <c r="BC2" s="9" t="s">
        <v>53</v>
      </c>
      <c r="BD2" s="9" t="s">
        <v>54</v>
      </c>
      <c r="BE2" s="9" t="s">
        <v>55</v>
      </c>
      <c r="BF2" s="9" t="s">
        <v>56</v>
      </c>
      <c r="BG2" s="9" t="s">
        <v>57</v>
      </c>
      <c r="BH2" s="9" t="s">
        <v>58</v>
      </c>
      <c r="BI2" s="9" t="s">
        <v>59</v>
      </c>
      <c r="BJ2" s="9" t="s">
        <v>65</v>
      </c>
      <c r="BK2" s="9" t="s">
        <v>66</v>
      </c>
      <c r="BL2" s="9" t="s">
        <v>67</v>
      </c>
      <c r="BM2" s="9" t="s">
        <v>70</v>
      </c>
      <c r="BN2" s="9" t="s">
        <v>68</v>
      </c>
      <c r="BO2" s="9" t="s">
        <v>71</v>
      </c>
      <c r="BP2" s="9" t="s">
        <v>69</v>
      </c>
      <c r="BQ2" s="9" t="s">
        <v>72</v>
      </c>
      <c r="BR2" s="9" t="s">
        <v>73</v>
      </c>
      <c r="BS2" s="9" t="s">
        <v>74</v>
      </c>
      <c r="BT2" s="9" t="s">
        <v>75</v>
      </c>
      <c r="BU2" s="9" t="s">
        <v>76</v>
      </c>
      <c r="BV2" s="9" t="s">
        <v>77</v>
      </c>
      <c r="BW2" s="9" t="s">
        <v>78</v>
      </c>
      <c r="BX2" s="9" t="s">
        <v>79</v>
      </c>
      <c r="BY2" s="9" t="s">
        <v>80</v>
      </c>
      <c r="BZ2" s="9" t="s">
        <v>81</v>
      </c>
      <c r="CA2" s="9" t="s">
        <v>82</v>
      </c>
      <c r="CB2" s="9" t="s">
        <v>83</v>
      </c>
      <c r="CC2" s="9" t="s">
        <v>84</v>
      </c>
      <c r="CD2" s="9" t="s">
        <v>85</v>
      </c>
      <c r="CE2" s="9" t="s">
        <v>86</v>
      </c>
      <c r="CF2" s="9" t="s">
        <v>87</v>
      </c>
      <c r="CG2" s="9" t="s">
        <v>88</v>
      </c>
      <c r="CH2" s="9" t="s">
        <v>89</v>
      </c>
      <c r="CI2" s="9" t="s">
        <v>90</v>
      </c>
      <c r="CJ2" s="9" t="s">
        <v>91</v>
      </c>
      <c r="CK2" s="9" t="s">
        <v>92</v>
      </c>
      <c r="CL2" s="9" t="s">
        <v>93</v>
      </c>
      <c r="CM2" s="9" t="s">
        <v>94</v>
      </c>
      <c r="CN2" s="9" t="s">
        <v>95</v>
      </c>
      <c r="CO2" s="9" t="s">
        <v>96</v>
      </c>
      <c r="CP2" s="9" t="s">
        <v>97</v>
      </c>
      <c r="CQ2" s="9" t="s">
        <v>98</v>
      </c>
      <c r="CR2" s="9" t="s">
        <v>99</v>
      </c>
      <c r="CS2" s="9" t="s">
        <v>100</v>
      </c>
      <c r="CT2" s="9" t="s">
        <v>101</v>
      </c>
      <c r="CU2" s="9" t="s">
        <v>102</v>
      </c>
      <c r="XFD2" s="28"/>
    </row>
    <row r="3" spans="1:196 16384:16384">
      <c r="A3" s="15">
        <v>1</v>
      </c>
      <c r="B3" s="16">
        <v>118</v>
      </c>
      <c r="C3" s="8">
        <f>LN(B3)</f>
        <v>4.7706846244656651</v>
      </c>
      <c r="D3" s="8">
        <f>(2*3.14*A3)/93</f>
        <v>6.7526881720430115E-2</v>
      </c>
      <c r="E3" s="7">
        <f>2*3.14/D3</f>
        <v>93</v>
      </c>
      <c r="F3" s="8">
        <f>CX3</f>
        <v>0.47521519653226391</v>
      </c>
      <c r="G3" s="8">
        <f>CY3</f>
        <v>2.002959914451707</v>
      </c>
      <c r="H3" s="8">
        <f>(2/93)*(C3*COS(D3))</f>
        <v>0.10236154586715386</v>
      </c>
      <c r="I3" s="8">
        <f>(2/93)*(C3*SIN(D3))</f>
        <v>6.9226813987986312E-3</v>
      </c>
      <c r="J3" s="8">
        <f>(2/93)*($C3*COS(J$1*$D3))</f>
        <v>0.10166114446132665</v>
      </c>
      <c r="K3" s="8">
        <f>(2/93)*($C3*SIN(K$1*$D3))</f>
        <v>1.3813808196004021E-2</v>
      </c>
      <c r="L3" s="8">
        <f t="shared" ref="L3:L18" si="25">(2/93)*($C3*COS(L$1*$D3))</f>
        <v>0.10049735658338084</v>
      </c>
      <c r="M3" s="8">
        <f t="shared" ref="M3:M18" si="26">(2/93)*($C3*SIN(M$1*$D3))</f>
        <v>2.0641969620545274E-2</v>
      </c>
      <c r="N3" s="8">
        <f t="shared" ref="N3:N18" si="27">(2/93)*($C3*COS(N$1*$D3))</f>
        <v>9.887548694990124E-2</v>
      </c>
      <c r="O3" s="8">
        <f t="shared" ref="O3:O18" si="28">(2/93)*($C3*SIN(O$1*$D3))</f>
        <v>2.7376041906795521E-2</v>
      </c>
      <c r="P3" s="8">
        <f t="shared" ref="P3:P18" si="29">(2/93)*($C3*COS(P$1*$D3))</f>
        <v>9.680292828159423E-2</v>
      </c>
      <c r="Q3" s="8">
        <f t="shared" ref="Q3:Q18" si="30">(2/93)*($C3*SIN(Q$1*$D3))</f>
        <v>3.3985330161280448E-2</v>
      </c>
      <c r="R3" s="8">
        <f t="shared" ref="R3:R18" si="31">(2/93)*($C3*COS(R$1*$D3))</f>
        <v>9.4289127606177789E-2</v>
      </c>
      <c r="S3" s="8">
        <f t="shared" ref="S3:S18" si="32">(2/93)*($C3*SIN(S$1*$D3))</f>
        <v>4.0439708274524408E-2</v>
      </c>
      <c r="T3" s="8">
        <f t="shared" ref="T3:T18" si="33">(2/93)*($C3*COS(T$1*$D3))</f>
        <v>9.1345543197437443E-2</v>
      </c>
      <c r="U3" s="8">
        <f t="shared" ref="U3:U18" si="34">(2/93)*($C3*SIN(U$1*$D3))</f>
        <v>4.6709756240295303E-2</v>
      </c>
      <c r="V3" s="8">
        <f t="shared" ref="V3:V18" si="35">(2/93)*($C3*COS(V$1*$D3))</f>
        <v>8.7985592346726538E-2</v>
      </c>
      <c r="W3" s="8">
        <f t="shared" ref="W3:W18" si="36">(2/93)*($C3*SIN(W$1*$D3))</f>
        <v>5.2766894256326788E-2</v>
      </c>
      <c r="X3" s="8">
        <f t="shared" ref="X3:X18" si="37">(2/93)*($C3*COS(X$1*$D3))</f>
        <v>8.422459020497565E-2</v>
      </c>
      <c r="Y3" s="8">
        <f t="shared" ref="Y3:Y18" si="38">(2/93)*($C3*SIN(Y$1*$D3))</f>
        <v>5.8583512995267144E-2</v>
      </c>
      <c r="Z3" s="8">
        <f t="shared" ref="Z3:Z18" si="39">(2/93)*($C3*COS(Z$1*$D3))</f>
        <v>8.0079679973978676E-2</v>
      </c>
      <c r="AA3" s="8">
        <f t="shared" ref="AA3:AA18" si="40">(2/93)*($C3*SIN(AA$1*$D3))</f>
        <v>6.4133099452060444E-2</v>
      </c>
      <c r="AB3" s="8">
        <f t="shared" ref="AB3:AB18" si="41">(2/93)*($C3*COS(AB$1*$D3))</f>
        <v>7.5569754765153596E-2</v>
      </c>
      <c r="AC3" s="8">
        <f t="shared" ref="AC3:AC18" si="42">(2/93)*($C3*SIN(AC$1*$D3))</f>
        <v>6.9390357794129151E-2</v>
      </c>
      <c r="AD3" s="8">
        <f t="shared" ref="AD3:AD18" si="43">(2/93)*($C3*COS(AD$1*$D3))</f>
        <v>7.0715371481957612E-2</v>
      </c>
      <c r="AE3" s="8">
        <f t="shared" ref="AE3:AE18" si="44">(2/93)*($C3*SIN(AE$1*$D3))</f>
        <v>7.4331324663505435E-2</v>
      </c>
      <c r="AF3" s="8">
        <f t="shared" ref="AF3:AF18" si="45">(2/93)*($C3*COS(AF$1*$D3))</f>
        <v>6.5538657118492813E-2</v>
      </c>
      <c r="AG3" s="8">
        <f t="shared" ref="AG3:AG18" si="46">(2/93)*($C3*SIN(AG$1*$D3))</f>
        <v>7.8933478405346785E-2</v>
      </c>
      <c r="AH3" s="8">
        <f t="shared" ref="AH3:AH18" si="47">(2/93)*($C3*COS(AH$1*$D3))</f>
        <v>6.0063207901407692E-2</v>
      </c>
      <c r="AI3" s="8">
        <f t="shared" ref="AI3:AI18" si="48">(2/93)*($C3*SIN(AI$1*$D3))</f>
        <v>8.3175841724956373E-2</v>
      </c>
      <c r="AJ3" s="8">
        <f t="shared" ref="AJ3:AJ18" si="49">(2/93)*($C3*COS(AJ$1*$D3))</f>
        <v>5.4313981734820029E-2</v>
      </c>
      <c r="AK3" s="8">
        <f t="shared" ref="AK3:AK18" si="50">(2/93)*($C3*SIN(AK$1*$D3))</f>
        <v>8.7039077305382503E-2</v>
      </c>
      <c r="AL3" s="8">
        <f t="shared" ref="AL3:AL18" si="51">(2/93)*($C3*COS(AL$1*$D3))</f>
        <v>4.8317184438513405E-2</v>
      </c>
      <c r="AM3" s="8">
        <f t="shared" ref="AM3:AM18" si="52">(2/93)*($C3*SIN(AM$1*$D3))</f>
        <v>9.0505575949757888E-2</v>
      </c>
      <c r="AN3" s="8">
        <f t="shared" ref="AN3:AN18" si="53">(2/93)*($C3*COS(AN$1*$D3))</f>
        <v>4.2100150297950258E-2</v>
      </c>
      <c r="AO3" s="8">
        <f t="shared" ref="AO3:AO18" si="54">(2/93)*($C3*SIN(AO$1*$D3))</f>
        <v>9.355953684661289E-2</v>
      </c>
      <c r="AP3" s="8">
        <f t="shared" ref="AP3:AP18" si="55">(2/93)*($C3*COS(AP$1*$D3))</f>
        <v>3.5691217470572217E-2</v>
      </c>
      <c r="AQ3" s="8">
        <f t="shared" ref="AQ3:AQ18" si="56">(2/93)*($C3*SIN(AQ$1*$D3))</f>
        <v>9.6187039592301807E-2</v>
      </c>
      <c r="AR3" s="8">
        <f t="shared" ref="AR3:AR18" si="57">(2/93)*($C3*COS(AR$1*$D3))</f>
        <v>2.9119598816303844E-2</v>
      </c>
      <c r="AS3" s="8">
        <f t="shared" ref="AS3:AS18" si="58">(2/93)*($C3*SIN(AS$1*$D3))</f>
        <v>9.8376107642253408E-2</v>
      </c>
      <c r="AT3" s="8">
        <f t="shared" ref="AT3:AT18" si="59">(2/93)*($C3*COS(AT$1*$D3))</f>
        <v>2.2415248741033934E-2</v>
      </c>
      <c r="AU3" s="8">
        <f t="shared" ref="AU3:AU18" si="60">(2/93)*($C3*SIN(AU$1*$D3))</f>
        <v>0.10011676290182524</v>
      </c>
      <c r="AV3" s="8">
        <f t="shared" ref="AV3:AV18" si="61">(2/93)*($C3*COS(AV$1*$D3))</f>
        <v>1.560872666002075E-2</v>
      </c>
      <c r="AW3" s="8">
        <f t="shared" ref="AW3:AW18" si="62">(2/93)*($C3*SIN(AW$1*$D3))</f>
        <v>0.10140107120792893</v>
      </c>
      <c r="AX3" s="8">
        <f t="shared" ref="AX3:AX18" si="63">(2/93)*($C3*COS(AX$1*$D3))</f>
        <v>8.7310577035756964E-3</v>
      </c>
      <c r="AY3" s="8">
        <f t="shared" ref="AY3:AY18" si="64">(2/93)*($C3*SIN(AY$1*$D3))</f>
        <v>0.10222317849411428</v>
      </c>
      <c r="AZ3" s="8">
        <f t="shared" ref="AZ3:AZ18" si="65">(2/93)*($C3*COS(AZ$1*$D3))</f>
        <v>1.8135912999490335E-3</v>
      </c>
      <c r="BA3" s="8">
        <f t="shared" ref="BA3:BA18" si="66">(2/93)*($C3*SIN(BA$1*$D3))</f>
        <v>0.10257933747426656</v>
      </c>
      <c r="BB3" s="8">
        <f t="shared" ref="BB3:BB18" si="67">(2/93)*($C3*COS(BB$1*$D3))</f>
        <v>-5.1121417199822532E-3</v>
      </c>
      <c r="BC3" s="8">
        <f t="shared" ref="BC3:BC18" si="68">(2/93)*($C3*SIN(BC$1*$D3))</f>
        <v>0.10246792472328858</v>
      </c>
      <c r="BD3" s="8">
        <f t="shared" ref="BD3:BD18" si="69">(2/93)*($C3*COS(BD$1*$D3))</f>
        <v>-1.201457284488624E-2</v>
      </c>
      <c r="BE3" s="8">
        <f t="shared" ref="BE3:BE18" si="70">(2/93)*($C3*SIN(BE$1*$D3))</f>
        <v>0.10188944807691147</v>
      </c>
      <c r="BF3" s="8">
        <f t="shared" ref="BF3:BF18" si="71">(2/93)*($C3*COS(BF$1*$D3))</f>
        <v>-1.886223977690113E-2</v>
      </c>
      <c r="BG3" s="8">
        <f t="shared" ref="BG3:BG18" si="72">(2/93)*($C3*SIN(BG$1*$D3))</f>
        <v>0.10084654431690461</v>
      </c>
      <c r="BH3" s="8">
        <f t="shared" ref="BH3:BH18" si="73">(2/93)*($C3*COS(BH$1*$D3))</f>
        <v>-2.5623929841423681E-2</v>
      </c>
      <c r="BI3" s="8">
        <f t="shared" ref="BI3:BI18" si="74">(2/93)*($C3*SIN(BI$1*$D3))</f>
        <v>9.9343967152235826E-2</v>
      </c>
      <c r="BJ3" s="8">
        <f t="shared" ref="BJ3:BJ18" si="75">(2/93)*($C3*COS(BJ$1*$D3))</f>
        <v>-3.2268822259077824E-2</v>
      </c>
      <c r="BK3" s="8">
        <f t="shared" ref="BK3:BK18" si="76">(2/93)*($C3*SIN(BK$1*$D3))</f>
        <v>9.7388565550965783E-2</v>
      </c>
      <c r="BL3" s="8">
        <f t="shared" ref="BL3:BL18" si="77">(2/93)*($C3*COS(BL$1*$D3))</f>
        <v>-3.8766628631367338E-2</v>
      </c>
      <c r="BM3" s="8">
        <f t="shared" ref="BM3:BM18" si="78">(2/93)*($C3*SIN(BM$1*$D3))</f>
        <v>9.4989252521642489E-2</v>
      </c>
      <c r="BN3" s="8">
        <f t="shared" ref="BN3:BN18" si="79">(2/93)*($C3*COS(BN$1*$D3))</f>
        <v>-4.5087730999658009E-2</v>
      </c>
      <c r="BO3" s="8">
        <f t="shared" ref="BO3:BO18" si="80">(2/93)*($C3*SIN(BO$1*$D3))</f>
        <v>9.2156964486495491E-2</v>
      </c>
      <c r="BP3" s="8">
        <f t="shared" ref="BP3:BP18" si="81">(2/93)*($C3*COS(BP$1*$D3))</f>
        <v>-5.1203316848196054E-2</v>
      </c>
      <c r="BQ3" s="8">
        <f t="shared" ref="BQ3:BQ18" si="82">(2/93)*($C3*SIN(BQ$1*$D3))</f>
        <v>8.8904611431612254E-2</v>
      </c>
      <c r="BR3" s="8">
        <f t="shared" ref="BR3:BR18" si="83">(2/93)*($C3*COS(BR$1*$D3))</f>
        <v>-5.7085510435799174E-2</v>
      </c>
      <c r="BS3" s="8">
        <f t="shared" ref="BS3:BS18" si="84">(2/93)*($C3*SIN(BS$1*$D3))</f>
        <v>8.5247018061319776E-2</v>
      </c>
      <c r="BT3" s="8">
        <f t="shared" ref="BT3:BT18" si="85">(2/93)*($C3*COS(BT$1*$D3))</f>
        <v>-6.2707499857591442E-2</v>
      </c>
      <c r="BU3" s="8">
        <f t="shared" ref="BU3:BU18" si="86">(2/93)*($C3*SIN(BU$1*$D3))</f>
        <v>8.1200856224998549E-2</v>
      </c>
      <c r="BV3" s="8">
        <f t="shared" ref="BV3:BV18" si="87">(2/93)*($C3*COS(BV$1*$D3))</f>
        <v>-6.8043659257615297E-2</v>
      </c>
      <c r="BW3" s="8">
        <f t="shared" ref="BW3:BW18" si="88">(2/93)*($C3*SIN(BW$1*$D3))</f>
        <v>7.6784568924336993E-2</v>
      </c>
      <c r="BX3" s="8">
        <f t="shared" ref="BX3:BX18" si="89">(2/93)*($C3*COS(BX$1*$D3))</f>
        <v>-7.3069665635257783E-2</v>
      </c>
      <c r="BY3" s="8">
        <f t="shared" ref="BY3:BY18" si="90">(2/93)*($C3*SIN(BY$1*$D3))</f>
        <v>7.2018286247413188E-2</v>
      </c>
      <c r="BZ3" s="8">
        <f t="shared" ref="BZ3:BZ18" si="91">(2/93)*($C3*COS(BZ$1*$D3))</f>
        <v>-7.7762609713070543E-2</v>
      </c>
      <c r="CA3" s="8">
        <f t="shared" ref="CA3:CA18" si="92">(2/93)*($C3*SIN(CA$1*$D3))</f>
        <v>6.6923733612787778E-2</v>
      </c>
      <c r="CB3" s="8">
        <f t="shared" ref="CB3:CB18" si="93">(2/93)*($C3*COS(CB$1*$D3))</f>
        <v>-8.2101100360631202E-2</v>
      </c>
      <c r="CC3" s="8">
        <f t="shared" ref="CC3:CC18" si="94">(2/93)*($C3*SIN(CC$1*$D3))</f>
        <v>6.1524132741845927E-2</v>
      </c>
      <c r="CD3" s="8">
        <f t="shared" ref="CD3:CD18" si="95">(2/93)*($C3*COS(CD$1*$D3))</f>
        <v>-8.6065362098466727E-2</v>
      </c>
      <c r="CE3" s="8">
        <f t="shared" ref="CE3:CE18" si="96">(2/93)*($C3*SIN(CE$1*$D3))</f>
        <v>5.5844095810770572E-2</v>
      </c>
      <c r="CF3" s="8">
        <f t="shared" ref="CF3:CF18" si="97">(2/93)*($C3*COS(CF$1*$D3))</f>
        <v>-8.9637325237602219E-2</v>
      </c>
      <c r="CG3" s="8">
        <f t="shared" ref="CG3:CG18" si="98">(2/93)*($C3*SIN(CG$1*$D3))</f>
        <v>4.9909513264617553E-2</v>
      </c>
      <c r="CH3" s="8">
        <f t="shared" ref="CH3:CH18" si="99">(2/93)*($C3*COS(CH$1*$D3))</f>
        <v>-9.2800708243865007E-2</v>
      </c>
      <c r="CI3" s="8">
        <f t="shared" ref="CI3:CI18" si="100">(2/93)*($C3*SIN(CI$1*$D3))</f>
        <v>4.374743580485331E-2</v>
      </c>
      <c r="CJ3" s="8">
        <f t="shared" ref="CJ3:CJ18" si="101">(2/93)*($C3*COS(CJ$1*$D3))</f>
        <v>-9.5541091951515805E-2</v>
      </c>
      <c r="CK3" s="8">
        <f t="shared" ref="CK3:CK18" si="102">(2/93)*($C3*SIN(CK$1*$D3))</f>
        <v>3.7385951088272661E-2</v>
      </c>
      <c r="CL3" s="8">
        <f t="shared" ref="CL3:CL18" si="103">(2/93)*($C3*COS(CL$1*$D3))</f>
        <v>-9.7845985287930287E-2</v>
      </c>
      <c r="CM3" s="8">
        <f t="shared" ref="CM3:CM18" si="104">(2/93)*($C3*SIN(CM$1*$D3))</f>
        <v>3.0854055699321689E-2</v>
      </c>
      <c r="CN3" s="8">
        <f t="shared" ref="CN3:CN18" si="105">(2/93)*($C3*COS(CN$1*$D3))</f>
        <v>-9.9704882209748116E-2</v>
      </c>
      <c r="CO3" s="8">
        <f t="shared" ref="CO3:CO18" si="106">(2/93)*($C3*SIN(CO$1*$D3))</f>
        <v>2.4181522979394198E-2</v>
      </c>
      <c r="CP3" s="8">
        <f t="shared" ref="CP3:CP18" si="107">(2/93)*($C3*COS(CP$1*$D3))</f>
        <v>-0.10110930959096627</v>
      </c>
      <c r="CQ3" s="8">
        <f t="shared" ref="CQ3:CQ18" si="108">(2/93)*($C3*SIN(CQ$1*$D3))</f>
        <v>1.7398767315555789E-2</v>
      </c>
      <c r="CR3" s="8">
        <f t="shared" ref="CR3:CR18" si="109">(2/93)*($C3*COS(CR$1*$D3))</f>
        <v>-0.10205286584469549</v>
      </c>
      <c r="CS3" s="8">
        <f t="shared" ref="CS3:CS18" si="110">(2/93)*($C3*SIN(CS$1*$D3))</f>
        <v>1.0536705507287436E-2</v>
      </c>
      <c r="CT3" s="8">
        <f t="shared" ref="CT3:CT18" si="111">(2/93)*($C3*COS(CT$1*$D3))</f>
        <v>-0.10253125010253639</v>
      </c>
      <c r="CU3" s="8">
        <f t="shared" ref="CU3:CU66" si="112">(2/93)*($C3*SIN(CU$1*$D3))</f>
        <v>3.6266158431588493E-3</v>
      </c>
      <c r="CX3">
        <v>0.47521519653226391</v>
      </c>
      <c r="CY3">
        <v>2.002959914451707</v>
      </c>
      <c r="DA3">
        <v>0.47521519653226391</v>
      </c>
      <c r="DC3">
        <v>1.9847848179634966</v>
      </c>
      <c r="DE3">
        <v>0.92880149477508545</v>
      </c>
      <c r="DG3">
        <v>1.0425136125800412</v>
      </c>
      <c r="DI3">
        <v>0.14631392439034166</v>
      </c>
      <c r="DK3">
        <v>0.24030423318309682</v>
      </c>
      <c r="DM3">
        <v>0.56918401830941001</v>
      </c>
      <c r="DO3">
        <v>1.0390642912655677</v>
      </c>
      <c r="DQ3">
        <v>0.22820517163889645</v>
      </c>
      <c r="DS3">
        <v>0.32278756544475973</v>
      </c>
      <c r="DU3">
        <v>0.22816077428920709</v>
      </c>
      <c r="DW3">
        <v>3.3556331970729006E-2</v>
      </c>
      <c r="DY3">
        <v>0.30427294363284835</v>
      </c>
      <c r="EA3">
        <v>0.43131287524613038</v>
      </c>
      <c r="EC3">
        <v>6.5708822538301653E-2</v>
      </c>
      <c r="EE3">
        <v>6.4103648996513107E-2</v>
      </c>
      <c r="EG3">
        <v>0.38170284997077031</v>
      </c>
      <c r="EI3">
        <v>0.4345609564954756</v>
      </c>
      <c r="EK3">
        <v>0.19902076376777059</v>
      </c>
      <c r="EM3">
        <v>0.31256463252047056</v>
      </c>
      <c r="EO3">
        <v>9.0795614011622297E-2</v>
      </c>
      <c r="EQ3">
        <v>0.121890660628312</v>
      </c>
      <c r="ES3">
        <v>0.14627738974324678</v>
      </c>
      <c r="EU3">
        <v>1.2468286125517378E-2</v>
      </c>
      <c r="EW3">
        <v>3.8365028630498385E-2</v>
      </c>
      <c r="EY3">
        <v>2.1581010074752504E-2</v>
      </c>
      <c r="FA3">
        <v>0.14398859949726031</v>
      </c>
      <c r="FC3">
        <v>9.1614712990263202E-3</v>
      </c>
      <c r="FE3">
        <v>1.3592459142900434E-2</v>
      </c>
      <c r="FG3">
        <v>5.4625956478107727E-3</v>
      </c>
      <c r="FI3">
        <v>1.7312508924073166E-2</v>
      </c>
      <c r="FK3">
        <v>5.5228683964771005E-3</v>
      </c>
      <c r="FM3">
        <v>6.1593980690241766E-2</v>
      </c>
      <c r="FO3">
        <v>5.0226730671463361E-2</v>
      </c>
      <c r="FQ3">
        <v>3.436498409764923E-2</v>
      </c>
      <c r="FS3">
        <v>5.0097177416354513E-2</v>
      </c>
      <c r="FU3">
        <v>4.9746102492497647E-2</v>
      </c>
      <c r="FW3">
        <v>4.0405864938369382E-2</v>
      </c>
      <c r="FY3">
        <v>7.5807059044529623E-3</v>
      </c>
      <c r="GA3">
        <v>0.17173147901536814</v>
      </c>
      <c r="GC3">
        <v>9.8301376566830079E-2</v>
      </c>
      <c r="GE3">
        <v>3.9104093742932063E-2</v>
      </c>
      <c r="GG3">
        <v>5.7265444798621869E-2</v>
      </c>
      <c r="GI3">
        <v>0.10287074437390265</v>
      </c>
      <c r="GK3">
        <v>0.16879228573882712</v>
      </c>
      <c r="GM3">
        <v>0.16111790628315859</v>
      </c>
    </row>
    <row r="4" spans="1:196 16384:16384">
      <c r="A4" s="15">
        <v>2</v>
      </c>
      <c r="B4" s="16">
        <v>113</v>
      </c>
      <c r="C4" s="8">
        <f t="shared" ref="C4:C67" si="113">LN(B4)</f>
        <v>4.7273878187123408</v>
      </c>
      <c r="D4" s="8">
        <f t="shared" ref="D4:D67" si="114">(2*3.14*A4)/93</f>
        <v>0.13505376344086023</v>
      </c>
      <c r="E4" s="7">
        <f t="shared" ref="E4:E67" si="115">2*3.14/D4</f>
        <v>46.5</v>
      </c>
      <c r="F4" s="8">
        <f>CX5</f>
        <v>1.9847848179634966</v>
      </c>
      <c r="G4" s="8">
        <f>CY5</f>
        <v>9.7431651269230546</v>
      </c>
      <c r="H4" s="8">
        <f>(2/93)*(C4*COS(D4))</f>
        <v>0.10073850899684222</v>
      </c>
      <c r="I4" s="8">
        <f t="shared" ref="I4:I67" si="116">(2/93)*(C4*SIN(D4))</f>
        <v>1.3688439655164234E-2</v>
      </c>
      <c r="J4" s="8">
        <f t="shared" ref="J4:J67" si="117">(2/93)*($C4*COS(J$1*$D4))</f>
        <v>9.797813298726854E-2</v>
      </c>
      <c r="K4" s="8">
        <f t="shared" ref="K4:K67" si="118">(2/93)*($C4*SIN(K$1*$D4))</f>
        <v>2.7127588013479077E-2</v>
      </c>
      <c r="L4" s="8">
        <f t="shared" si="25"/>
        <v>9.3433397587538727E-2</v>
      </c>
      <c r="M4" s="8">
        <f t="shared" si="26"/>
        <v>4.0072693824459125E-2</v>
      </c>
      <c r="N4" s="8">
        <f t="shared" si="27"/>
        <v>8.7187070666758196E-2</v>
      </c>
      <c r="O4" s="8">
        <f t="shared" si="28"/>
        <v>5.2288003247873617E-2</v>
      </c>
      <c r="P4" s="8">
        <f t="shared" si="29"/>
        <v>7.935290915981906E-2</v>
      </c>
      <c r="Q4" s="8">
        <f t="shared" si="30"/>
        <v>6.3551053358488388E-2</v>
      </c>
      <c r="R4" s="8">
        <f t="shared" si="31"/>
        <v>7.0073587347427566E-2</v>
      </c>
      <c r="S4" s="8">
        <f t="shared" si="32"/>
        <v>7.3656723599155371E-2</v>
      </c>
      <c r="T4" s="8">
        <f t="shared" si="33"/>
        <v>5.9518098498851014E-2</v>
      </c>
      <c r="U4" s="8">
        <f t="shared" si="34"/>
        <v>8.2420971397945811E-2</v>
      </c>
      <c r="V4" s="8">
        <f t="shared" si="35"/>
        <v>4.7878677198178655E-2</v>
      </c>
      <c r="W4" s="8">
        <f t="shared" si="36"/>
        <v>8.9684183916967988E-2</v>
      </c>
      <c r="X4" s="8">
        <f t="shared" si="37"/>
        <v>3.5367298404114095E-2</v>
      </c>
      <c r="Y4" s="8">
        <f t="shared" si="38"/>
        <v>9.5314084891448644E-2</v>
      </c>
      <c r="Z4" s="8">
        <f t="shared" si="39"/>
        <v>2.2211817001766179E-2</v>
      </c>
      <c r="AA4" s="8">
        <f t="shared" si="40"/>
        <v>9.9208143620269307E-2</v>
      </c>
      <c r="AB4" s="8">
        <f t="shared" si="41"/>
        <v>8.6518181521968163E-3</v>
      </c>
      <c r="AC4" s="8">
        <f t="shared" si="42"/>
        <v>0.10129544223587381</v>
      </c>
      <c r="AD4" s="8">
        <f t="shared" si="43"/>
        <v>-5.0657459876174609E-3</v>
      </c>
      <c r="AE4" s="8">
        <f t="shared" si="44"/>
        <v>0.1015379672471774</v>
      </c>
      <c r="AF4" s="8">
        <f t="shared" si="45"/>
        <v>-1.8691053711172759E-2</v>
      </c>
      <c r="AG4" s="8">
        <f t="shared" si="46"/>
        <v>9.9931301834139966E-2</v>
      </c>
      <c r="AH4" s="8">
        <f t="shared" si="47"/>
        <v>-3.1975963468522939E-2</v>
      </c>
      <c r="AI4" s="8">
        <f t="shared" si="48"/>
        <v>9.6504706286064709E-2</v>
      </c>
      <c r="AJ4" s="8">
        <f t="shared" si="49"/>
        <v>-4.4678532973668396E-2</v>
      </c>
      <c r="AK4" s="8">
        <f t="shared" si="50"/>
        <v>9.1320585118694647E-2</v>
      </c>
      <c r="AL4" s="8">
        <f t="shared" si="51"/>
        <v>-5.656742541211246E-2</v>
      </c>
      <c r="AM4" s="8">
        <f t="shared" si="52"/>
        <v>8.4473350574870806E-2</v>
      </c>
      <c r="AN4" s="8">
        <f t="shared" si="53"/>
        <v>-6.742612250355827E-2</v>
      </c>
      <c r="AO4" s="8">
        <f t="shared" si="54"/>
        <v>7.6087703206464866E-2</v>
      </c>
      <c r="AP4" s="8">
        <f t="shared" si="55"/>
        <v>-7.705686769223942E-2</v>
      </c>
      <c r="AQ4" s="8">
        <f t="shared" si="56"/>
        <v>6.6316360851306072E-2</v>
      </c>
      <c r="AR4" s="8">
        <f t="shared" si="57"/>
        <v>-8.5284267652240522E-2</v>
      </c>
      <c r="AS4" s="8">
        <f t="shared" si="58"/>
        <v>5.5337277364548132E-2</v>
      </c>
      <c r="AT4" s="8">
        <f t="shared" si="59"/>
        <v>-9.1958486517867852E-2</v>
      </c>
      <c r="AU4" s="8">
        <f t="shared" si="60"/>
        <v>4.3350401756420291E-2</v>
      </c>
      <c r="AV4" s="8">
        <f t="shared" si="61"/>
        <v>-9.6957974666346036E-2</v>
      </c>
      <c r="AW4" s="8">
        <f t="shared" si="62"/>
        <v>3.0574036758336798E-2</v>
      </c>
      <c r="AX4" s="8">
        <f t="shared" si="63"/>
        <v>-0.10019168235676126</v>
      </c>
      <c r="AY4" s="8">
        <f t="shared" si="64"/>
        <v>1.7240863134477528E-2</v>
      </c>
      <c r="AZ4" s="8">
        <f t="shared" si="65"/>
        <v>-0.1016007179108738</v>
      </c>
      <c r="BA4" s="8">
        <f t="shared" si="66"/>
        <v>3.5937021433309624E-3</v>
      </c>
      <c r="BB4" s="8">
        <f t="shared" si="67"/>
        <v>-0.10115942023732186</v>
      </c>
      <c r="BC4" s="8">
        <f t="shared" si="68"/>
        <v>-1.0118906677544249E-2</v>
      </c>
      <c r="BD4" s="8">
        <f t="shared" si="69"/>
        <v>-9.887582616660677E-2</v>
      </c>
      <c r="BE4" s="8">
        <f t="shared" si="70"/>
        <v>-2.3647231866983701E-2</v>
      </c>
      <c r="BF4" s="8">
        <f t="shared" si="71"/>
        <v>-9.4791524085842627E-2</v>
      </c>
      <c r="BG4" s="8">
        <f t="shared" si="72"/>
        <v>-3.6744898102771331E-2</v>
      </c>
      <c r="BH4" s="8">
        <f t="shared" si="73"/>
        <v>-8.8980896538846499E-2</v>
      </c>
      <c r="BI4" s="8">
        <f t="shared" si="74"/>
        <v>-4.9173373142820165E-2</v>
      </c>
      <c r="BJ4" s="8">
        <f t="shared" si="75"/>
        <v>-8.1549765585195E-2</v>
      </c>
      <c r="BK4" s="8">
        <f t="shared" si="76"/>
        <v>-6.0706311929647636E-2</v>
      </c>
      <c r="BL4" s="8">
        <f t="shared" si="77"/>
        <v>-7.2633465588713489E-2</v>
      </c>
      <c r="BM4" s="8">
        <f t="shared" si="78"/>
        <v>-7.1133678744130083E-2</v>
      </c>
      <c r="BN4" s="8">
        <f t="shared" si="79"/>
        <v>-6.2394378533413036E-2</v>
      </c>
      <c r="BO4" s="8">
        <f t="shared" si="80"/>
        <v>-8.0265572336644414E-2</v>
      </c>
      <c r="BP4" s="8">
        <f t="shared" si="81"/>
        <v>-5.1018976753238972E-2</v>
      </c>
      <c r="BQ4" s="8">
        <f t="shared" si="82"/>
        <v>-8.7935684373025694E-2</v>
      </c>
      <c r="BR4" s="8">
        <f t="shared" si="83"/>
        <v>-3.87144269328831E-2</v>
      </c>
      <c r="BS4" s="8">
        <f t="shared" si="84"/>
        <v>-9.4004328210771163E-2</v>
      </c>
      <c r="BT4" s="8">
        <f t="shared" si="85"/>
        <v>-2.5704817226958901E-2</v>
      </c>
      <c r="BU4" s="8">
        <f t="shared" si="86"/>
        <v>-9.8360982845987099E-2</v>
      </c>
      <c r="BV4" s="8">
        <f t="shared" si="87"/>
        <v>-1.2227076208539286E-2</v>
      </c>
      <c r="BW4" s="8">
        <f t="shared" si="88"/>
        <v>-0.10092630570119221</v>
      </c>
      <c r="BX4" s="8">
        <f t="shared" si="89"/>
        <v>1.4733420295992179E-3</v>
      </c>
      <c r="BY4" s="8">
        <f t="shared" si="90"/>
        <v>-0.10165357759746457</v>
      </c>
      <c r="BZ4" s="8">
        <f t="shared" si="91"/>
        <v>1.5146928038899799E-2</v>
      </c>
      <c r="CA4" s="8">
        <f t="shared" si="92"/>
        <v>-0.10052955359536976</v>
      </c>
      <c r="CB4" s="8">
        <f t="shared" si="93"/>
        <v>2.8544661034327037E-2</v>
      </c>
      <c r="CC4" s="8">
        <f t="shared" si="94"/>
        <v>-9.7574704209314939E-2</v>
      </c>
      <c r="CD4" s="8">
        <f t="shared" si="95"/>
        <v>4.1422544014220172E-2</v>
      </c>
      <c r="CE4" s="8">
        <f t="shared" si="96"/>
        <v>-9.2842842602377948E-2</v>
      </c>
      <c r="CF4" s="8">
        <f t="shared" si="97"/>
        <v>5.3546047387946154E-2</v>
      </c>
      <c r="CG4" s="8">
        <f t="shared" si="98"/>
        <v>-8.6420144551069555E-2</v>
      </c>
      <c r="CH4" s="8">
        <f t="shared" si="99"/>
        <v>6.4694380184836975E-2</v>
      </c>
      <c r="CI4" s="8">
        <f t="shared" si="100"/>
        <v>-7.8423579028247009E-2</v>
      </c>
      <c r="CJ4" s="8">
        <f t="shared" si="101"/>
        <v>7.4664511057956323E-2</v>
      </c>
      <c r="CK4" s="8">
        <f t="shared" si="102"/>
        <v>-6.8998777986108206E-2</v>
      </c>
      <c r="CL4" s="8">
        <f t="shared" si="103"/>
        <v>8.3274865852927704E-2</v>
      </c>
      <c r="CM4" s="8">
        <f t="shared" si="104"/>
        <v>-5.8317384134379903E-2</v>
      </c>
      <c r="CN4" s="8">
        <f t="shared" si="105"/>
        <v>9.0368634402395009E-2</v>
      </c>
      <c r="CO4" s="8">
        <f t="shared" si="106"/>
        <v>-4.6573925015465492E-2</v>
      </c>
      <c r="CP4" s="8">
        <f t="shared" si="107"/>
        <v>9.5816626323393078E-2</v>
      </c>
      <c r="CQ4" s="8">
        <f t="shared" si="108"/>
        <v>-3.3982270305310508E-2</v>
      </c>
      <c r="CR4" s="8">
        <f t="shared" si="109"/>
        <v>9.9519623808383209E-2</v>
      </c>
      <c r="CS4" s="8">
        <f t="shared" si="110"/>
        <v>-2.0771736858958598E-2</v>
      </c>
      <c r="CT4" s="8">
        <f t="shared" si="111"/>
        <v>0.10141018856136395</v>
      </c>
      <c r="CU4" s="8">
        <f t="shared" si="112"/>
        <v>-7.1829124349764902E-3</v>
      </c>
    </row>
    <row r="5" spans="1:196 16384:16384">
      <c r="A5" s="15">
        <v>3</v>
      </c>
      <c r="B5" s="16">
        <v>132</v>
      </c>
      <c r="C5" s="8">
        <f t="shared" si="113"/>
        <v>4.8828019225863706</v>
      </c>
      <c r="D5" s="8">
        <f t="shared" si="114"/>
        <v>0.20258064516129032</v>
      </c>
      <c r="E5" s="7">
        <f t="shared" si="115"/>
        <v>31.000000000000004</v>
      </c>
      <c r="F5" s="8">
        <f>CX7</f>
        <v>0.92880149477508545</v>
      </c>
      <c r="G5" s="8">
        <f>CY7</f>
        <v>4.0884527110070197</v>
      </c>
      <c r="H5" s="8">
        <f t="shared" ref="H5:H67" si="119">(2/93)*(C5*COS(D5))</f>
        <v>0.10285917526882031</v>
      </c>
      <c r="I5" s="8">
        <f t="shared" si="116"/>
        <v>2.1127082773881086E-2</v>
      </c>
      <c r="J5" s="8">
        <f t="shared" si="117"/>
        <v>9.6505044830122788E-2</v>
      </c>
      <c r="K5" s="8">
        <f t="shared" si="118"/>
        <v>4.1390094054644382E-2</v>
      </c>
      <c r="L5" s="8">
        <f t="shared" si="25"/>
        <v>8.6203977700153714E-2</v>
      </c>
      <c r="M5" s="8">
        <f t="shared" si="26"/>
        <v>5.9960301802006642E-2</v>
      </c>
      <c r="N5" s="8">
        <f t="shared" si="27"/>
        <v>7.2377274753764653E-2</v>
      </c>
      <c r="O5" s="8">
        <f t="shared" si="28"/>
        <v>7.6078207541544901E-2</v>
      </c>
      <c r="P5" s="8">
        <f t="shared" si="29"/>
        <v>5.5590430999786368E-2</v>
      </c>
      <c r="Q5" s="8">
        <f t="shared" si="30"/>
        <v>8.9084608910710905E-2</v>
      </c>
      <c r="R5" s="8">
        <f t="shared" si="31"/>
        <v>3.6530007536240701E-2</v>
      </c>
      <c r="S5" s="8">
        <f t="shared" si="32"/>
        <v>9.8447560218212188E-2</v>
      </c>
      <c r="T5" s="8">
        <f t="shared" si="33"/>
        <v>1.5975552052596823E-2</v>
      </c>
      <c r="U5" s="8">
        <f t="shared" si="34"/>
        <v>0.10378412836330557</v>
      </c>
      <c r="V5" s="8">
        <f t="shared" si="35"/>
        <v>-5.2322837042825948E-3</v>
      </c>
      <c r="W5" s="8">
        <f t="shared" si="36"/>
        <v>0.1048760543248754</v>
      </c>
      <c r="X5" s="8">
        <f t="shared" si="37"/>
        <v>-2.622612554438877E-2</v>
      </c>
      <c r="Y5" s="8">
        <f t="shared" si="38"/>
        <v>0.10167867968481041</v>
      </c>
      <c r="Z5" s="8">
        <f t="shared" si="39"/>
        <v>-4.6147351363609646E-2</v>
      </c>
      <c r="AA5" s="8">
        <f t="shared" si="40"/>
        <v>9.4322773101939025E-2</v>
      </c>
      <c r="AB5" s="8">
        <f t="shared" si="41"/>
        <v>-6.4181207723310013E-2</v>
      </c>
      <c r="AC5" s="8">
        <f t="shared" si="42"/>
        <v>8.3109182036004009E-2</v>
      </c>
      <c r="AD5" s="8">
        <f t="shared" si="43"/>
        <v>-7.9590132255879756E-2</v>
      </c>
      <c r="AE5" s="8">
        <f t="shared" si="44"/>
        <v>6.8496528459534994E-2</v>
      </c>
      <c r="AF5" s="8">
        <f t="shared" si="45"/>
        <v>-9.1743919051175127E-2</v>
      </c>
      <c r="AG5" s="8">
        <f t="shared" si="46"/>
        <v>5.1082451787749415E-2</v>
      </c>
      <c r="AH5" s="8">
        <f t="shared" si="47"/>
        <v>-0.10014549329694475</v>
      </c>
      <c r="AI5" s="8">
        <f t="shared" si="48"/>
        <v>3.1579166167394472E-2</v>
      </c>
      <c r="AJ5" s="8">
        <f t="shared" si="49"/>
        <v>-0.10445124102240147</v>
      </c>
      <c r="AK5" s="8">
        <f t="shared" si="50"/>
        <v>1.07843318011138E-2</v>
      </c>
      <c r="AL5" s="8">
        <f t="shared" si="51"/>
        <v>-0.10448506248363158</v>
      </c>
      <c r="AM5" s="8">
        <f t="shared" si="52"/>
        <v>-1.0451568365940189E-2</v>
      </c>
      <c r="AN5" s="8">
        <f t="shared" si="53"/>
        <v>-0.100245574424801</v>
      </c>
      <c r="AO5" s="8">
        <f t="shared" si="54"/>
        <v>-3.126001234417547E-2</v>
      </c>
      <c r="AP5" s="8">
        <f t="shared" si="55"/>
        <v>-9.1906166651603921E-2</v>
      </c>
      <c r="AQ5" s="8">
        <f t="shared" si="56"/>
        <v>-5.0789960572183233E-2</v>
      </c>
      <c r="AR5" s="8">
        <f t="shared" si="57"/>
        <v>-7.980791060317026E-2</v>
      </c>
      <c r="AS5" s="8">
        <f t="shared" si="58"/>
        <v>-6.8242662379721861E-2</v>
      </c>
      <c r="AT5" s="8">
        <f t="shared" si="59"/>
        <v>-6.4445609953049071E-2</v>
      </c>
      <c r="AU5" s="8">
        <f t="shared" si="60"/>
        <v>-8.2904323899877383E-2</v>
      </c>
      <c r="AV5" s="8">
        <f t="shared" si="61"/>
        <v>-4.6447563752394075E-2</v>
      </c>
      <c r="AW5" s="8">
        <f t="shared" si="62"/>
        <v>-9.41753013532933E-2</v>
      </c>
      <c r="AX5" s="8">
        <f t="shared" si="63"/>
        <v>-2.6549869777705983E-2</v>
      </c>
      <c r="AY5" s="8">
        <f t="shared" si="64"/>
        <v>-0.10159462573533688</v>
      </c>
      <c r="AZ5" s="8">
        <f t="shared" si="65"/>
        <v>-5.5663190443524264E-3</v>
      </c>
      <c r="BA5" s="8">
        <f t="shared" si="66"/>
        <v>-0.1048588558769015</v>
      </c>
      <c r="BB5" s="8">
        <f t="shared" si="67"/>
        <v>1.5644887237062387E-2</v>
      </c>
      <c r="BC5" s="8">
        <f t="shared" si="68"/>
        <v>-0.10383448881203164</v>
      </c>
      <c r="BD5" s="8">
        <f t="shared" si="69"/>
        <v>3.6216237026254892E-2</v>
      </c>
      <c r="BE5" s="8">
        <f t="shared" si="70"/>
        <v>-9.8563419883719749E-2</v>
      </c>
      <c r="BF5" s="8">
        <f t="shared" si="71"/>
        <v>5.5306387620210055E-2</v>
      </c>
      <c r="BG5" s="8">
        <f t="shared" si="72"/>
        <v>-8.9261229276317924E-2</v>
      </c>
      <c r="BH5" s="8">
        <f t="shared" si="73"/>
        <v>7.2134575526679359E-2</v>
      </c>
      <c r="BI5" s="8">
        <f t="shared" si="74"/>
        <v>-7.6308365053263411E-2</v>
      </c>
      <c r="BJ5" s="8">
        <f t="shared" si="75"/>
        <v>8.6012548723060356E-2</v>
      </c>
      <c r="BK5" s="8">
        <f t="shared" si="76"/>
        <v>-6.0234583302945545E-2</v>
      </c>
      <c r="BL5" s="8">
        <f t="shared" si="77"/>
        <v>9.6372715310860238E-2</v>
      </c>
      <c r="BM5" s="8">
        <f t="shared" si="78"/>
        <v>-4.1697281771456103E-2</v>
      </c>
      <c r="BN5" s="8">
        <f t="shared" si="79"/>
        <v>0.10279135732067057</v>
      </c>
      <c r="BO5" s="8">
        <f t="shared" si="80"/>
        <v>-2.1454613109784561E-2</v>
      </c>
      <c r="BP5" s="8">
        <f t="shared" si="81"/>
        <v>0.10500596025181175</v>
      </c>
      <c r="BQ5" s="8">
        <f t="shared" si="82"/>
        <v>-3.3447737031294612E-4</v>
      </c>
      <c r="BR5" s="8">
        <f t="shared" si="83"/>
        <v>0.10292594958995743</v>
      </c>
      <c r="BS5" s="8">
        <f t="shared" si="84"/>
        <v>2.0799338078935536E-2</v>
      </c>
      <c r="BT5" s="8">
        <f t="shared" si="85"/>
        <v>9.6636395192481087E-2</v>
      </c>
      <c r="BU5" s="8">
        <f t="shared" si="86"/>
        <v>4.1082486386767515E-2</v>
      </c>
      <c r="BV5" s="8">
        <f t="shared" si="87"/>
        <v>8.6394532036754484E-2</v>
      </c>
      <c r="BW5" s="8">
        <f t="shared" si="88"/>
        <v>5.9685411933457611E-2</v>
      </c>
      <c r="BX5" s="8">
        <f t="shared" si="89"/>
        <v>7.2619239628481033E-2</v>
      </c>
      <c r="BY5" s="8">
        <f t="shared" si="90"/>
        <v>7.5847278127152112E-2</v>
      </c>
      <c r="BZ5" s="8">
        <f t="shared" si="91"/>
        <v>5.5873910349218694E-2</v>
      </c>
      <c r="CA5" s="8">
        <f t="shared" si="92"/>
        <v>8.8907084677227993E-2</v>
      </c>
      <c r="CB5" s="8">
        <f t="shared" si="93"/>
        <v>3.6843407406441243E-2</v>
      </c>
      <c r="CC5" s="8">
        <f t="shared" si="94"/>
        <v>9.833070168670266E-2</v>
      </c>
      <c r="CD5" s="8">
        <f t="shared" si="95"/>
        <v>1.6306054777412281E-2</v>
      </c>
      <c r="CE5" s="8">
        <f t="shared" si="96"/>
        <v>0.1037327149028326</v>
      </c>
      <c r="CF5" s="8">
        <f t="shared" si="97"/>
        <v>-4.8981952765558071E-3</v>
      </c>
      <c r="CG5" s="8">
        <f t="shared" si="98"/>
        <v>0.10489218868223242</v>
      </c>
      <c r="CH5" s="8">
        <f t="shared" si="99"/>
        <v>-2.5902115216258122E-2</v>
      </c>
      <c r="CI5" s="8">
        <f t="shared" si="100"/>
        <v>0.10176170198478407</v>
      </c>
      <c r="CJ5" s="8">
        <f t="shared" si="101"/>
        <v>-4.5846670755803197E-2</v>
      </c>
      <c r="CK5" s="8">
        <f t="shared" si="102"/>
        <v>9.4469287835387536E-2</v>
      </c>
      <c r="CL5" s="8">
        <f t="shared" si="103"/>
        <v>-6.3916154299917968E-2</v>
      </c>
      <c r="CM5" s="8">
        <f t="shared" si="104"/>
        <v>8.331319693197109E-2</v>
      </c>
      <c r="CN5" s="8">
        <f t="shared" si="105"/>
        <v>-7.9371546373318447E-2</v>
      </c>
      <c r="CO5" s="8">
        <f t="shared" si="106"/>
        <v>6.8749699561703362E-2</v>
      </c>
      <c r="CP5" s="8">
        <f t="shared" si="107"/>
        <v>-9.1580740601049107E-2</v>
      </c>
      <c r="CQ5" s="8">
        <f t="shared" si="108"/>
        <v>5.1374424711909665E-2</v>
      </c>
      <c r="CR5" s="8">
        <f t="shared" si="109"/>
        <v>-0.10004439607556334</v>
      </c>
      <c r="CS5" s="8">
        <f t="shared" si="110"/>
        <v>3.1897999582922498E-2</v>
      </c>
      <c r="CT5" s="8">
        <f t="shared" si="111"/>
        <v>-0.1044163597807838</v>
      </c>
      <c r="CU5" s="8">
        <f t="shared" si="112"/>
        <v>1.1116985816588572E-2</v>
      </c>
      <c r="CX5">
        <v>1.9847848179634966</v>
      </c>
      <c r="CY5">
        <v>9.7431651269230546</v>
      </c>
      <c r="DA5">
        <v>2.002959914451707</v>
      </c>
      <c r="DC5">
        <v>9.7431651269230546</v>
      </c>
      <c r="DE5">
        <v>4.0884527110070197</v>
      </c>
      <c r="DG5">
        <v>4.6406159237465481</v>
      </c>
      <c r="DI5">
        <v>0.59826096727645905</v>
      </c>
      <c r="DK5">
        <v>0.99104046213164454</v>
      </c>
      <c r="DM5">
        <v>2.420326566715802</v>
      </c>
      <c r="DO5">
        <v>4.6236840885322534</v>
      </c>
      <c r="DQ5">
        <v>0.94010021176969483</v>
      </c>
      <c r="DS5">
        <v>1.3413502992417217</v>
      </c>
      <c r="DU5">
        <v>0.93991349497941101</v>
      </c>
      <c r="DW5">
        <v>0.13581649401796231</v>
      </c>
      <c r="DY5">
        <v>1.2622542962977774</v>
      </c>
      <c r="EA5">
        <v>1.8104735622655919</v>
      </c>
      <c r="EC5">
        <v>0.26672238430680245</v>
      </c>
      <c r="EE5">
        <v>0.26016906347156327</v>
      </c>
      <c r="EG5">
        <v>1.5948507904227416</v>
      </c>
      <c r="EI5">
        <v>1.8246605035928007</v>
      </c>
      <c r="EK5">
        <v>0.81768927447686512</v>
      </c>
      <c r="EM5">
        <v>1.2976436714312867</v>
      </c>
      <c r="EO5">
        <v>0.36938949053321113</v>
      </c>
      <c r="EQ5">
        <v>0.49729343134496856</v>
      </c>
      <c r="ES5">
        <v>0.59810959572897648</v>
      </c>
      <c r="EU5">
        <v>5.0368827454084344E-2</v>
      </c>
      <c r="EW5">
        <v>0.15534648669265425</v>
      </c>
      <c r="EY5">
        <v>8.7253383577411955E-2</v>
      </c>
      <c r="FA5">
        <v>0.58862860817808527</v>
      </c>
      <c r="FC5">
        <v>3.6999120492367261E-2</v>
      </c>
      <c r="FE5">
        <v>5.4915753662768213E-2</v>
      </c>
      <c r="FG5">
        <v>2.2053680873294412E-2</v>
      </c>
      <c r="FI5">
        <v>6.9968730957363875E-2</v>
      </c>
      <c r="FK5">
        <v>2.2297135574290302E-2</v>
      </c>
      <c r="FM5">
        <v>0.24992683178708794</v>
      </c>
      <c r="FO5">
        <v>0.20359382617040092</v>
      </c>
      <c r="FQ5">
        <v>0.13909956402868195</v>
      </c>
      <c r="FS5">
        <v>0.20306631288062074</v>
      </c>
      <c r="FU5">
        <v>0.20163687237483632</v>
      </c>
      <c r="FW5">
        <v>0.16364022841107709</v>
      </c>
      <c r="FY5">
        <v>3.0610767301052357E-2</v>
      </c>
      <c r="GA5">
        <v>0.7038159462890663</v>
      </c>
      <c r="GC5">
        <v>0.40019722144840331</v>
      </c>
      <c r="GE5">
        <v>0.15834961687487176</v>
      </c>
      <c r="GG5">
        <v>0.2322724900926019</v>
      </c>
      <c r="GI5">
        <v>0.41897288879329941</v>
      </c>
      <c r="GK5">
        <v>0.69158497216986548</v>
      </c>
      <c r="GM5">
        <v>0.65968013201174935</v>
      </c>
    </row>
    <row r="6" spans="1:196 16384:16384">
      <c r="A6" s="15">
        <v>4</v>
      </c>
      <c r="B6" s="16">
        <v>69</v>
      </c>
      <c r="C6" s="8">
        <f t="shared" si="113"/>
        <v>4.2341065045972597</v>
      </c>
      <c r="D6" s="8">
        <f t="shared" si="114"/>
        <v>0.27010752688172046</v>
      </c>
      <c r="E6" s="7">
        <f t="shared" si="115"/>
        <v>23.25</v>
      </c>
      <c r="F6" s="8">
        <f>CX9</f>
        <v>1.0425136125800412</v>
      </c>
      <c r="G6" s="8">
        <f>CY9</f>
        <v>4.6406159237465481</v>
      </c>
      <c r="H6" s="8">
        <f t="shared" si="119"/>
        <v>8.7754562582658374E-2</v>
      </c>
      <c r="I6" s="8">
        <f t="shared" si="116"/>
        <v>2.4296948180822744E-2</v>
      </c>
      <c r="J6" s="8">
        <f t="shared" si="117"/>
        <v>7.8089498298756985E-2</v>
      </c>
      <c r="K6" s="8">
        <f t="shared" si="118"/>
        <v>4.6831989071826979E-2</v>
      </c>
      <c r="L6" s="8">
        <f t="shared" si="25"/>
        <v>6.2761728752988799E-2</v>
      </c>
      <c r="M6" s="8">
        <f t="shared" si="26"/>
        <v>6.5970981112240187E-2</v>
      </c>
      <c r="N6" s="8">
        <f t="shared" si="27"/>
        <v>4.2882756044233132E-2</v>
      </c>
      <c r="O6" s="8">
        <f t="shared" si="28"/>
        <v>8.0326049193434626E-2</v>
      </c>
      <c r="P6" s="8">
        <f t="shared" si="29"/>
        <v>1.989411540847923E-2</v>
      </c>
      <c r="Q6" s="8">
        <f t="shared" si="30"/>
        <v>8.8856227227411599E-2</v>
      </c>
      <c r="R6" s="8">
        <f t="shared" si="31"/>
        <v>-4.5371585449172809E-3</v>
      </c>
      <c r="S6" s="8">
        <f t="shared" si="32"/>
        <v>9.0942944406444071E-2</v>
      </c>
      <c r="T6" s="8">
        <f t="shared" si="33"/>
        <v>-2.8639417814829312E-2</v>
      </c>
      <c r="U6" s="8">
        <f t="shared" si="34"/>
        <v>8.6434881223976523E-2</v>
      </c>
      <c r="V6" s="8">
        <f t="shared" si="35"/>
        <v>-5.0664873090734662E-2</v>
      </c>
      <c r="W6" s="8">
        <f t="shared" si="36"/>
        <v>7.5658942496409809E-2</v>
      </c>
      <c r="X6" s="8">
        <f t="shared" si="37"/>
        <v>-6.9016335708304732E-2</v>
      </c>
      <c r="Y6" s="8">
        <f t="shared" si="38"/>
        <v>5.9396551670731469E-2</v>
      </c>
      <c r="Z6" s="8">
        <f t="shared" si="39"/>
        <v>-8.2363038711784645E-2</v>
      </c>
      <c r="AA6" s="8">
        <f t="shared" si="40"/>
        <v>3.8826985450023763E-2</v>
      </c>
      <c r="AB6" s="8">
        <f t="shared" si="41"/>
        <v>-8.9737138191648552E-2</v>
      </c>
      <c r="AC6" s="8">
        <f t="shared" si="42"/>
        <v>1.5441857859346571E-2</v>
      </c>
      <c r="AD6" s="8">
        <f t="shared" si="43"/>
        <v>-9.0603897047058651E-2</v>
      </c>
      <c r="AE6" s="8">
        <f t="shared" si="44"/>
        <v>-9.0630450104414867E-3</v>
      </c>
      <c r="AF6" s="8">
        <f t="shared" si="45"/>
        <v>-8.4900461756885634E-2</v>
      </c>
      <c r="AG6" s="8">
        <f t="shared" si="46"/>
        <v>-3.2910735914635711E-2</v>
      </c>
      <c r="AH6" s="8">
        <f t="shared" si="47"/>
        <v>-7.3040420239248963E-2</v>
      </c>
      <c r="AI6" s="8">
        <f t="shared" si="48"/>
        <v>-5.4371885715406298E-2</v>
      </c>
      <c r="AJ6" s="8">
        <f t="shared" si="49"/>
        <v>-5.588381028374928E-2</v>
      </c>
      <c r="AK6" s="8">
        <f t="shared" si="50"/>
        <v>-7.1890226687257086E-2</v>
      </c>
      <c r="AL6" s="8">
        <f t="shared" si="51"/>
        <v>-3.4674753412324219E-2</v>
      </c>
      <c r="AM6" s="8">
        <f t="shared" si="52"/>
        <v>-8.419540617379194E-2</v>
      </c>
      <c r="AN6" s="8">
        <f t="shared" si="53"/>
        <v>-1.0951236685481848E-2</v>
      </c>
      <c r="AO6" s="8">
        <f t="shared" si="54"/>
        <v>-9.0395106947410875E-2</v>
      </c>
      <c r="AP6" s="8">
        <f t="shared" si="55"/>
        <v>1.3566415321440916E-2</v>
      </c>
      <c r="AQ6" s="8">
        <f t="shared" si="56"/>
        <v>-9.003975411062308E-2</v>
      </c>
      <c r="AR6" s="8">
        <f t="shared" si="57"/>
        <v>3.710029085266553E-2</v>
      </c>
      <c r="AS6" s="8">
        <f t="shared" si="58"/>
        <v>-8.3155116280496627E-2</v>
      </c>
      <c r="AT6" s="8">
        <f t="shared" si="59"/>
        <v>5.7943817274149129E-2</v>
      </c>
      <c r="AU6" s="8">
        <f t="shared" si="60"/>
        <v>-7.024043696244571E-2</v>
      </c>
      <c r="AV6" s="8">
        <f t="shared" si="61"/>
        <v>7.458551417797285E-2</v>
      </c>
      <c r="AW6" s="8">
        <f t="shared" si="62"/>
        <v>-5.2232231617868899E-2</v>
      </c>
      <c r="AX6" s="8">
        <f t="shared" si="63"/>
        <v>8.5818599260796158E-2</v>
      </c>
      <c r="AY6" s="8">
        <f t="shared" si="64"/>
        <v>-3.0436375702277207E-2</v>
      </c>
      <c r="AZ6" s="8">
        <f t="shared" si="65"/>
        <v>9.0828498842530317E-2</v>
      </c>
      <c r="BA6" s="8">
        <f t="shared" si="66"/>
        <v>-6.4334083492161073E-3</v>
      </c>
      <c r="BB6" s="8">
        <f t="shared" si="67"/>
        <v>8.9251917149211296E-2</v>
      </c>
      <c r="BC6" s="8">
        <f t="shared" si="68"/>
        <v>1.8036081341733155E-2</v>
      </c>
      <c r="BD6" s="8">
        <f t="shared" si="69"/>
        <v>8.1203180916764137E-2</v>
      </c>
      <c r="BE6" s="8">
        <f t="shared" si="70"/>
        <v>4.1197674133069268E-2</v>
      </c>
      <c r="BF6" s="8">
        <f t="shared" si="71"/>
        <v>6.7265948921436683E-2</v>
      </c>
      <c r="BG6" s="8">
        <f t="shared" si="72"/>
        <v>6.1371793689560389E-2</v>
      </c>
      <c r="BH6" s="8">
        <f t="shared" si="73"/>
        <v>4.8450887625111516E-2</v>
      </c>
      <c r="BI6" s="8">
        <f t="shared" si="74"/>
        <v>7.7095502030365609E-2</v>
      </c>
      <c r="BJ6" s="8">
        <f t="shared" si="75"/>
        <v>2.6122382110625664E-2</v>
      </c>
      <c r="BK6" s="8">
        <f t="shared" si="76"/>
        <v>8.7228585325234725E-2</v>
      </c>
      <c r="BL6" s="8">
        <f t="shared" si="77"/>
        <v>1.8995969061307879E-3</v>
      </c>
      <c r="BM6" s="8">
        <f t="shared" si="78"/>
        <v>9.1036237161745165E-2</v>
      </c>
      <c r="BN6" s="8">
        <f t="shared" si="79"/>
        <v>-2.2460938669798397E-2</v>
      </c>
      <c r="BO6" s="8">
        <f t="shared" si="80"/>
        <v>8.824234345849416E-2</v>
      </c>
      <c r="BP6" s="8">
        <f t="shared" si="81"/>
        <v>-4.5192706250506018E-2</v>
      </c>
      <c r="BQ6" s="8">
        <f t="shared" si="82"/>
        <v>7.9049505037860707E-2</v>
      </c>
      <c r="BR6" s="8">
        <f t="shared" si="83"/>
        <v>-6.4647298525211894E-2</v>
      </c>
      <c r="BS6" s="8">
        <f t="shared" si="84"/>
        <v>6.4124345909860381E-2</v>
      </c>
      <c r="BT6" s="8">
        <f t="shared" si="85"/>
        <v>-7.9413954451247215E-2</v>
      </c>
      <c r="BU6" s="8">
        <f t="shared" si="86"/>
        <v>4.4549172645409758E-2</v>
      </c>
      <c r="BV6" s="8">
        <f t="shared" si="87"/>
        <v>-8.842186140931943E-2</v>
      </c>
      <c r="BW6" s="8">
        <f t="shared" si="88"/>
        <v>2.1743490287587205E-2</v>
      </c>
      <c r="BX6" s="8">
        <f t="shared" si="89"/>
        <v>-9.1017805801682811E-2</v>
      </c>
      <c r="BY6" s="8">
        <f t="shared" si="90"/>
        <v>-2.6389338798932377E-3</v>
      </c>
      <c r="BZ6" s="8">
        <f t="shared" si="91"/>
        <v>-8.7013541215050061E-2</v>
      </c>
      <c r="CA6" s="8">
        <f t="shared" si="92"/>
        <v>-2.6829994226463739E-2</v>
      </c>
      <c r="CB6" s="8">
        <f t="shared" si="93"/>
        <v>-7.6699439218436458E-2</v>
      </c>
      <c r="CC6" s="8">
        <f t="shared" si="94"/>
        <v>-4.9075461980022807E-2</v>
      </c>
      <c r="CD6" s="8">
        <f t="shared" si="95"/>
        <v>-6.0823432900414497E-2</v>
      </c>
      <c r="CE6" s="8">
        <f t="shared" si="96"/>
        <v>-6.7762194143814944E-2</v>
      </c>
      <c r="CF6" s="8">
        <f t="shared" si="97"/>
        <v>-4.0536780067386549E-2</v>
      </c>
      <c r="CG6" s="8">
        <f t="shared" si="98"/>
        <v>-8.1535111496481225E-2</v>
      </c>
      <c r="CH6" s="8">
        <f t="shared" si="99"/>
        <v>-1.7310579116012189E-2</v>
      </c>
      <c r="CI6" s="8">
        <f t="shared" si="100"/>
        <v>-8.9395462947755772E-2</v>
      </c>
      <c r="CJ6" s="8">
        <f t="shared" si="101"/>
        <v>7.17090852027837E-3</v>
      </c>
      <c r="CK6" s="8">
        <f t="shared" si="102"/>
        <v>-9.0773250553062665E-2</v>
      </c>
      <c r="CL6" s="8">
        <f t="shared" si="103"/>
        <v>3.113239356601823E-2</v>
      </c>
      <c r="CM6" s="8">
        <f t="shared" si="104"/>
        <v>-8.5568563245071713E-2</v>
      </c>
      <c r="CN6" s="8">
        <f t="shared" si="105"/>
        <v>5.2836295035201743E-2</v>
      </c>
      <c r="CO6" s="8">
        <f t="shared" si="106"/>
        <v>-7.4158821942695463E-2</v>
      </c>
      <c r="CP6" s="8">
        <f t="shared" si="107"/>
        <v>7.0708741924299448E-2</v>
      </c>
      <c r="CQ6" s="8">
        <f t="shared" si="108"/>
        <v>-5.7371410654245822E-2</v>
      </c>
      <c r="CR6" s="8">
        <f t="shared" si="109"/>
        <v>8.3453703380940547E-2</v>
      </c>
      <c r="CS6" s="8">
        <f t="shared" si="110"/>
        <v>-3.6423678246180508E-2</v>
      </c>
      <c r="CT6" s="8">
        <f t="shared" si="111"/>
        <v>9.0146971132884834E-2</v>
      </c>
      <c r="CU6" s="8">
        <f t="shared" si="112"/>
        <v>-1.2834661683975977E-2</v>
      </c>
    </row>
    <row r="7" spans="1:196 16384:16384">
      <c r="A7" s="15">
        <v>5</v>
      </c>
      <c r="B7" s="16">
        <v>68</v>
      </c>
      <c r="C7" s="8">
        <f t="shared" si="113"/>
        <v>4.219507705176107</v>
      </c>
      <c r="D7" s="8">
        <f t="shared" si="114"/>
        <v>0.33763440860215055</v>
      </c>
      <c r="E7" s="7">
        <f t="shared" si="115"/>
        <v>18.600000000000001</v>
      </c>
      <c r="F7" s="8">
        <f>CX11</f>
        <v>0.14631392439034166</v>
      </c>
      <c r="G7" s="8">
        <f>CY11</f>
        <v>0.59826096727645905</v>
      </c>
      <c r="H7" s="8">
        <f t="shared" si="119"/>
        <v>8.5618885740858658E-2</v>
      </c>
      <c r="I7" s="8">
        <f t="shared" si="116"/>
        <v>3.005886445376554E-2</v>
      </c>
      <c r="J7" s="8">
        <f t="shared" si="117"/>
        <v>7.0827743453296399E-2</v>
      </c>
      <c r="K7" s="8">
        <f t="shared" si="118"/>
        <v>5.6723537310979545E-2</v>
      </c>
      <c r="L7" s="8">
        <f t="shared" si="25"/>
        <v>4.8038862861226404E-2</v>
      </c>
      <c r="M7" s="8">
        <f t="shared" si="26"/>
        <v>7.6983092837040148E-2</v>
      </c>
      <c r="N7" s="8">
        <f t="shared" si="27"/>
        <v>1.9825522377058237E-2</v>
      </c>
      <c r="O7" s="8">
        <f t="shared" si="28"/>
        <v>8.8549859346205739E-2</v>
      </c>
      <c r="P7" s="8">
        <f t="shared" si="29"/>
        <v>-1.0626479569287209E-2</v>
      </c>
      <c r="Q7" s="8">
        <f t="shared" si="30"/>
        <v>9.0117738873762149E-2</v>
      </c>
      <c r="R7" s="8">
        <f t="shared" si="31"/>
        <v>-3.9878559019875075E-2</v>
      </c>
      <c r="S7" s="8">
        <f t="shared" si="32"/>
        <v>8.1509689351968451E-2</v>
      </c>
      <c r="T7" s="8">
        <f t="shared" si="33"/>
        <v>-6.462762505436935E-2</v>
      </c>
      <c r="U7" s="8">
        <f t="shared" si="34"/>
        <v>6.369771587418116E-2</v>
      </c>
      <c r="V7" s="8">
        <f t="shared" si="35"/>
        <v>-8.2079058731459528E-2</v>
      </c>
      <c r="W7" s="8">
        <f t="shared" si="36"/>
        <v>3.8693113670441114E-2</v>
      </c>
      <c r="X7" s="8">
        <f t="shared" si="37"/>
        <v>-9.0262276311175449E-2</v>
      </c>
      <c r="Y7" s="8">
        <f t="shared" si="38"/>
        <v>9.3193563555148042E-3</v>
      </c>
      <c r="Z7" s="8">
        <f t="shared" si="39"/>
        <v>-8.8253243940390483E-2</v>
      </c>
      <c r="AA7" s="8">
        <f t="shared" si="40"/>
        <v>-2.1106725509988256E-2</v>
      </c>
      <c r="AB7" s="8">
        <f t="shared" si="41"/>
        <v>-7.6278817853165218E-2</v>
      </c>
      <c r="AC7" s="8">
        <f t="shared" si="42"/>
        <v>-4.9149474815909304E-2</v>
      </c>
      <c r="AD7" s="8">
        <f t="shared" si="43"/>
        <v>-5.5691128182735423E-2</v>
      </c>
      <c r="AE7" s="8">
        <f t="shared" si="44"/>
        <v>-7.1642355973894317E-2</v>
      </c>
      <c r="AF7" s="8">
        <f t="shared" si="45"/>
        <v>-2.8814898917902051E-2</v>
      </c>
      <c r="AG7" s="8">
        <f t="shared" si="46"/>
        <v>-8.6045514282309596E-2</v>
      </c>
      <c r="AH7" s="8">
        <f t="shared" si="47"/>
        <v>1.3150556469358309E-3</v>
      </c>
      <c r="AI7" s="8">
        <f t="shared" si="48"/>
        <v>-9.0732571639965773E-2</v>
      </c>
      <c r="AJ7" s="8">
        <f t="shared" si="49"/>
        <v>3.1296516550854137E-2</v>
      </c>
      <c r="AK7" s="8">
        <f t="shared" si="50"/>
        <v>-8.5174274165021047E-2</v>
      </c>
      <c r="AL7" s="8">
        <f t="shared" si="51"/>
        <v>5.7744032463549123E-2</v>
      </c>
      <c r="AM7" s="8">
        <f t="shared" si="52"/>
        <v>-6.9998254568272231E-2</v>
      </c>
      <c r="AN7" s="8">
        <f t="shared" si="53"/>
        <v>7.7671198612524903E-2</v>
      </c>
      <c r="AO7" s="8">
        <f t="shared" si="54"/>
        <v>-4.6918161023741863E-2</v>
      </c>
      <c r="AP7" s="8">
        <f t="shared" si="55"/>
        <v>8.8827876108137985E-2</v>
      </c>
      <c r="AQ7" s="8">
        <f t="shared" si="56"/>
        <v>-1.8540155173928537E-2</v>
      </c>
      <c r="AR7" s="8">
        <f t="shared" si="57"/>
        <v>8.9954273481575878E-2</v>
      </c>
      <c r="AS7" s="8">
        <f t="shared" si="58"/>
        <v>1.193137084152179E-2</v>
      </c>
      <c r="AT7" s="8">
        <f t="shared" si="59"/>
        <v>8.0923200016596392E-2</v>
      </c>
      <c r="AU7" s="8">
        <f t="shared" si="60"/>
        <v>4.1055628442760353E-2</v>
      </c>
      <c r="AV7" s="8">
        <f t="shared" si="61"/>
        <v>6.2754427890881814E-2</v>
      </c>
      <c r="AW7" s="8">
        <f t="shared" si="62"/>
        <v>6.5543960117192893E-2</v>
      </c>
      <c r="AX7" s="8">
        <f t="shared" si="63"/>
        <v>3.749954138046549E-2</v>
      </c>
      <c r="AY7" s="8">
        <f t="shared" si="64"/>
        <v>8.2631188567095032E-2</v>
      </c>
      <c r="AZ7" s="8">
        <f t="shared" si="65"/>
        <v>8.0102757429238152E-3</v>
      </c>
      <c r="BA7" s="8">
        <f t="shared" si="66"/>
        <v>9.0387855435774031E-2</v>
      </c>
      <c r="BB7" s="8">
        <f t="shared" si="67"/>
        <v>-2.2383495474145389E-2</v>
      </c>
      <c r="BC7" s="8">
        <f t="shared" si="68"/>
        <v>8.7938092190557399E-2</v>
      </c>
      <c r="BD7" s="8">
        <f t="shared" si="69"/>
        <v>-5.0249763619478416E-2</v>
      </c>
      <c r="BE7" s="8">
        <f t="shared" si="70"/>
        <v>7.5558521583886235E-2</v>
      </c>
      <c r="BF7" s="8">
        <f t="shared" si="71"/>
        <v>-7.2441921032242867E-2</v>
      </c>
      <c r="BG7" s="8">
        <f t="shared" si="72"/>
        <v>5.4647021921732826E-2</v>
      </c>
      <c r="BH7" s="8">
        <f t="shared" si="73"/>
        <v>-8.6454070182090823E-2</v>
      </c>
      <c r="BI7" s="8">
        <f t="shared" si="74"/>
        <v>2.7564881220607039E-2</v>
      </c>
      <c r="BJ7" s="8">
        <f t="shared" si="75"/>
        <v>-9.0703985001660548E-2</v>
      </c>
      <c r="BK7" s="8">
        <f t="shared" si="76"/>
        <v>-2.6298350850572794E-3</v>
      </c>
      <c r="BL7" s="8">
        <f t="shared" si="77"/>
        <v>-8.4711772939161545E-2</v>
      </c>
      <c r="BM7" s="8">
        <f t="shared" si="78"/>
        <v>-3.252759525787291E-2</v>
      </c>
      <c r="BN7" s="8">
        <f t="shared" si="79"/>
        <v>-6.915406354121463E-2</v>
      </c>
      <c r="BO7" s="8">
        <f t="shared" si="80"/>
        <v>-5.8752399299889943E-2</v>
      </c>
      <c r="BP7" s="8">
        <f t="shared" si="81"/>
        <v>-4.5787604691004964E-2</v>
      </c>
      <c r="BQ7" s="8">
        <f t="shared" si="82"/>
        <v>-7.8342990652746455E-2</v>
      </c>
      <c r="BR7" s="8">
        <f t="shared" si="83"/>
        <v>-1.7250893873776485E-2</v>
      </c>
      <c r="BS7" s="8">
        <f t="shared" si="84"/>
        <v>-8.9087235832703657E-2</v>
      </c>
      <c r="BT7" s="8">
        <f t="shared" si="85"/>
        <v>1.3233756098287221E-2</v>
      </c>
      <c r="BU7" s="8">
        <f t="shared" si="86"/>
        <v>-8.9771914468207162E-2</v>
      </c>
      <c r="BV7" s="8">
        <f t="shared" si="87"/>
        <v>4.2224074712334761E-2</v>
      </c>
      <c r="BW7" s="8">
        <f t="shared" si="88"/>
        <v>-8.0319713909122153E-2</v>
      </c>
      <c r="BX7" s="8">
        <f t="shared" si="89"/>
        <v>6.6446528599449231E-2</v>
      </c>
      <c r="BY7" s="8">
        <f t="shared" si="90"/>
        <v>-6.1797959228753141E-2</v>
      </c>
      <c r="BZ7" s="8">
        <f t="shared" si="91"/>
        <v>8.3165962891822501E-2</v>
      </c>
      <c r="CA7" s="8">
        <f t="shared" si="92"/>
        <v>-3.6298092842903751E-2</v>
      </c>
      <c r="CB7" s="8">
        <f t="shared" si="93"/>
        <v>9.0494449871441257E-2</v>
      </c>
      <c r="CC7" s="8">
        <f t="shared" si="94"/>
        <v>-6.699512685357221E-3</v>
      </c>
      <c r="CD7" s="8">
        <f t="shared" si="95"/>
        <v>8.7604470289868272E-2</v>
      </c>
      <c r="CE7" s="8">
        <f t="shared" si="96"/>
        <v>2.3655564102080657E-2</v>
      </c>
      <c r="CF7" s="8">
        <f t="shared" si="97"/>
        <v>7.482235531723358E-2</v>
      </c>
      <c r="CG7" s="8">
        <f t="shared" si="98"/>
        <v>5.1339498171853098E-2</v>
      </c>
      <c r="CH7" s="8">
        <f t="shared" si="99"/>
        <v>5.3591437827704966E-2</v>
      </c>
      <c r="CI7" s="8">
        <f t="shared" si="100"/>
        <v>7.3226270691025178E-2</v>
      </c>
      <c r="CJ7" s="8">
        <f t="shared" si="101"/>
        <v>2.6309073910394755E-2</v>
      </c>
      <c r="CK7" s="8">
        <f t="shared" si="102"/>
        <v>8.6844467628821614E-2</v>
      </c>
      <c r="CL7" s="8">
        <f t="shared" si="103"/>
        <v>-3.9440621635638733E-3</v>
      </c>
      <c r="CM7" s="8">
        <f t="shared" si="104"/>
        <v>9.0656347275885785E-2</v>
      </c>
      <c r="CN7" s="8">
        <f t="shared" si="105"/>
        <v>-3.3751842004174554E-2</v>
      </c>
      <c r="CO7" s="8">
        <f t="shared" si="106"/>
        <v>8.4231479205112481E-2</v>
      </c>
      <c r="CP7" s="8">
        <f t="shared" si="107"/>
        <v>-5.974842602682888E-2</v>
      </c>
      <c r="CQ7" s="8">
        <f t="shared" si="108"/>
        <v>6.829534768249311E-2</v>
      </c>
      <c r="CR7" s="8">
        <f t="shared" si="109"/>
        <v>-7.899832785730096E-2</v>
      </c>
      <c r="CS7" s="8">
        <f t="shared" si="110"/>
        <v>4.4647431320362044E-2</v>
      </c>
      <c r="CT7" s="8">
        <f t="shared" si="111"/>
        <v>-8.9327884045065822E-2</v>
      </c>
      <c r="CU7" s="8">
        <f t="shared" si="112"/>
        <v>1.5958009267679155E-2</v>
      </c>
      <c r="CX7">
        <v>0.92880149477508545</v>
      </c>
      <c r="CY7">
        <v>4.0884527110070197</v>
      </c>
      <c r="DA7" s="20">
        <v>1.0219681645855138E-2</v>
      </c>
      <c r="DB7" s="21"/>
      <c r="DC7" s="20">
        <v>4.268354447233326E-2</v>
      </c>
      <c r="DD7" s="21"/>
      <c r="DE7" s="20">
        <v>1.9974225694087858E-2</v>
      </c>
      <c r="DF7" s="21"/>
      <c r="DG7" s="20">
        <v>2.2419647582366475E-2</v>
      </c>
      <c r="DH7" s="21"/>
      <c r="DI7" s="20">
        <v>3.1465360083944441E-3</v>
      </c>
      <c r="DJ7" s="21"/>
      <c r="DK7" s="20">
        <v>5.1678329716795014E-3</v>
      </c>
      <c r="DL7" s="21"/>
      <c r="DM7" s="20">
        <v>1.2240516522783011E-2</v>
      </c>
      <c r="DN7" s="21"/>
      <c r="DO7" s="20">
        <v>2.2345468629367048E-2</v>
      </c>
      <c r="DP7" s="21"/>
      <c r="DQ7" s="20">
        <v>4.9076380997612138E-3</v>
      </c>
      <c r="DR7" s="21"/>
      <c r="DS7" s="20">
        <v>6.9416680740808541E-3</v>
      </c>
      <c r="DT7" s="21"/>
      <c r="DU7" s="20">
        <v>4.9066833180474645E-3</v>
      </c>
      <c r="DV7" s="21"/>
      <c r="DW7" s="20">
        <v>7.21641547757613E-4</v>
      </c>
      <c r="DX7" s="21"/>
      <c r="DY7" s="20">
        <v>6.5435041641472768E-3</v>
      </c>
      <c r="DZ7" s="21"/>
      <c r="EA7" s="20">
        <v>9.2755457042178573E-3</v>
      </c>
      <c r="EB7" s="21"/>
      <c r="EC7" s="20">
        <v>1.4130929578129389E-3</v>
      </c>
      <c r="ED7" s="21"/>
      <c r="EE7" s="20">
        <v>1.3785730966992065E-3</v>
      </c>
      <c r="EF7" s="21"/>
      <c r="EG7" s="20">
        <v>8.20866344023162E-3</v>
      </c>
      <c r="EH7" s="21"/>
      <c r="EI7" s="20">
        <v>9.3453969138811953E-3</v>
      </c>
      <c r="EJ7" s="21"/>
      <c r="EK7" s="20">
        <v>4.2800164251133458E-3</v>
      </c>
      <c r="EL7" s="21"/>
      <c r="EM7" s="20">
        <v>6.7218200542036675E-3</v>
      </c>
      <c r="EN7" s="21"/>
      <c r="EO7" s="20">
        <v>1.9525938497123073E-3</v>
      </c>
      <c r="EP7" s="21"/>
      <c r="EQ7" s="20">
        <v>2.6213045296411184E-3</v>
      </c>
      <c r="ER7" s="21"/>
      <c r="ES7" s="20">
        <v>3.1457503170590705E-3</v>
      </c>
      <c r="ET7" s="21"/>
      <c r="EU7" s="20">
        <v>2.6813518549499737E-4</v>
      </c>
      <c r="EV7" s="21"/>
      <c r="EW7" s="20">
        <v>8.2505437915050286E-4</v>
      </c>
      <c r="EX7" s="21"/>
      <c r="EY7" s="20">
        <v>4.6410774354306464E-4</v>
      </c>
      <c r="EZ7" s="21"/>
      <c r="FA7" s="20">
        <v>3.0965290214464581E-3</v>
      </c>
      <c r="FB7" s="21"/>
      <c r="FC7" s="20">
        <v>1.9702088815110367E-4</v>
      </c>
      <c r="FD7" s="21"/>
      <c r="FE7" s="20">
        <v>2.9231094930968674E-4</v>
      </c>
      <c r="FF7" s="21"/>
      <c r="FG7" s="20">
        <v>1.1747517522173705E-4</v>
      </c>
      <c r="FH7" s="21"/>
      <c r="FI7" s="20">
        <v>3.7231201987254119E-4</v>
      </c>
      <c r="FJ7" s="21"/>
      <c r="FK7" s="20">
        <v>1.1877136336509893E-4</v>
      </c>
      <c r="FL7" s="21"/>
      <c r="FM7" s="20">
        <v>1.3246017352740165E-3</v>
      </c>
      <c r="FN7" s="21"/>
      <c r="FO7" s="20">
        <v>1.080144745622868E-3</v>
      </c>
      <c r="FP7" s="21"/>
      <c r="FQ7" s="20">
        <v>7.3903191607847807E-4</v>
      </c>
      <c r="FR7" s="21"/>
      <c r="FS7" s="20">
        <v>1.0773586541151508E-3</v>
      </c>
      <c r="FT7" s="21"/>
      <c r="FU7" s="20">
        <v>1.0698086557526375E-3</v>
      </c>
      <c r="FV7" s="21"/>
      <c r="FW7" s="20">
        <v>8.6894333200794377E-4</v>
      </c>
      <c r="FX7" s="21"/>
      <c r="FY7" s="20">
        <v>1.6302593342909597E-4</v>
      </c>
      <c r="FZ7" s="21"/>
      <c r="GA7" s="20">
        <v>3.6931500863520029E-3</v>
      </c>
      <c r="GB7" s="21"/>
      <c r="GC7" s="20">
        <v>2.1140080982113996E-3</v>
      </c>
      <c r="GD7" s="21"/>
      <c r="GE7" s="20">
        <v>8.409482525361734E-4</v>
      </c>
      <c r="GF7" s="21"/>
      <c r="GG7" s="20">
        <v>1.2315149419058467E-3</v>
      </c>
      <c r="GH7" s="21"/>
      <c r="GI7" s="20">
        <v>2.2122740725570461E-3</v>
      </c>
      <c r="GJ7" s="21"/>
      <c r="GK7" s="20">
        <v>3.629941628791981E-3</v>
      </c>
      <c r="GL7" s="21"/>
      <c r="GM7" s="20">
        <v>3.4649012103905074E-3</v>
      </c>
      <c r="GN7" s="21"/>
    </row>
    <row r="8" spans="1:196 16384:16384">
      <c r="A8" s="17">
        <v>6</v>
      </c>
      <c r="B8" s="16">
        <v>71</v>
      </c>
      <c r="C8" s="8">
        <f t="shared" si="113"/>
        <v>4.2626798770413155</v>
      </c>
      <c r="D8" s="8">
        <f t="shared" si="114"/>
        <v>0.40516129032258064</v>
      </c>
      <c r="E8" s="7">
        <f t="shared" si="115"/>
        <v>15.500000000000002</v>
      </c>
      <c r="F8" s="8">
        <f>CX13</f>
        <v>0.24030423318309682</v>
      </c>
      <c r="G8" s="8">
        <f>CY13</f>
        <v>0.99104046213164454</v>
      </c>
      <c r="H8" s="8">
        <f t="shared" si="119"/>
        <v>8.4248781570978801E-2</v>
      </c>
      <c r="I8" s="8">
        <f t="shared" si="116"/>
        <v>3.6133499542435957E-2</v>
      </c>
      <c r="J8" s="8">
        <f t="shared" si="117"/>
        <v>6.3185268937664088E-2</v>
      </c>
      <c r="K8" s="8">
        <f t="shared" si="118"/>
        <v>6.6416178561046244E-2</v>
      </c>
      <c r="L8" s="8">
        <f t="shared" si="25"/>
        <v>3.1890650184396546E-2</v>
      </c>
      <c r="M8" s="8">
        <f t="shared" si="26"/>
        <v>8.5944595037699523E-2</v>
      </c>
      <c r="N8" s="8">
        <f t="shared" si="27"/>
        <v>-4.5677770286046424E-3</v>
      </c>
      <c r="O8" s="8">
        <f t="shared" si="28"/>
        <v>9.1556662228341801E-2</v>
      </c>
      <c r="P8" s="8">
        <f t="shared" si="29"/>
        <v>-4.0286579131233312E-2</v>
      </c>
      <c r="Q8" s="8">
        <f t="shared" si="30"/>
        <v>8.2343661123856951E-2</v>
      </c>
      <c r="R8" s="8">
        <f t="shared" si="31"/>
        <v>-6.948208437635929E-2</v>
      </c>
      <c r="S8" s="8">
        <f t="shared" si="32"/>
        <v>5.9797382351522758E-2</v>
      </c>
      <c r="T8" s="8">
        <f t="shared" si="33"/>
        <v>-8.7426888458982166E-2</v>
      </c>
      <c r="U8" s="8">
        <f t="shared" si="34"/>
        <v>2.756857195718351E-2</v>
      </c>
      <c r="V8" s="8">
        <f t="shared" si="35"/>
        <v>-9.1215326847513045E-2</v>
      </c>
      <c r="W8" s="8">
        <f t="shared" si="36"/>
        <v>-9.1242059095070251E-3</v>
      </c>
      <c r="X8" s="8">
        <f t="shared" si="37"/>
        <v>-8.0233966761912578E-2</v>
      </c>
      <c r="Y8" s="8">
        <f t="shared" si="38"/>
        <v>-4.4339571073996935E-2</v>
      </c>
      <c r="Z8" s="8">
        <f t="shared" si="39"/>
        <v>-5.6260935640208017E-2</v>
      </c>
      <c r="AA8" s="8">
        <f t="shared" si="40"/>
        <v>-7.2375369472397769E-2</v>
      </c>
      <c r="AB8" s="8">
        <f t="shared" si="41"/>
        <v>-2.3178002596416562E-2</v>
      </c>
      <c r="AC8" s="8">
        <f t="shared" si="42"/>
        <v>-8.8691979237235569E-2</v>
      </c>
      <c r="AD8" s="8">
        <f t="shared" si="43"/>
        <v>1.3657966688249722E-2</v>
      </c>
      <c r="AE8" s="8">
        <f t="shared" si="44"/>
        <v>-9.0647376858463899E-2</v>
      </c>
      <c r="AF8" s="8">
        <f t="shared" si="45"/>
        <v>4.8282406150860227E-2</v>
      </c>
      <c r="AG8" s="8">
        <f t="shared" si="46"/>
        <v>-7.7924939792476527E-2</v>
      </c>
      <c r="AH8" s="8">
        <f t="shared" si="47"/>
        <v>7.5088845795452108E-2</v>
      </c>
      <c r="AI8" s="8">
        <f t="shared" si="48"/>
        <v>-5.2584714722859624E-2</v>
      </c>
      <c r="AJ8" s="8">
        <f t="shared" si="49"/>
        <v>8.973672439132932E-2</v>
      </c>
      <c r="AK8" s="8">
        <f t="shared" si="50"/>
        <v>-1.8729849996524765E-2</v>
      </c>
      <c r="AL8" s="8">
        <f t="shared" si="51"/>
        <v>8.9854223271478545E-2</v>
      </c>
      <c r="AM8" s="8">
        <f t="shared" si="52"/>
        <v>1.8157795726822131E-2</v>
      </c>
      <c r="AN8" s="8">
        <f t="shared" si="53"/>
        <v>7.5422316743171208E-2</v>
      </c>
      <c r="AO8" s="8">
        <f t="shared" si="54"/>
        <v>5.2105288814768828E-2</v>
      </c>
      <c r="AP8" s="8">
        <f t="shared" si="55"/>
        <v>4.8777852772505549E-2</v>
      </c>
      <c r="AQ8" s="8">
        <f t="shared" si="56"/>
        <v>7.7615772007250478E-2</v>
      </c>
      <c r="AR8" s="8">
        <f t="shared" si="57"/>
        <v>1.4235165111262865E-2</v>
      </c>
      <c r="AS8" s="8">
        <f t="shared" si="58"/>
        <v>9.0558528364990579E-2</v>
      </c>
      <c r="AT8" s="8">
        <f t="shared" si="59"/>
        <v>-2.261251368694981E-2</v>
      </c>
      <c r="AU8" s="8">
        <f t="shared" si="60"/>
        <v>8.8837836590808669E-2</v>
      </c>
      <c r="AV8" s="8">
        <f t="shared" si="61"/>
        <v>-5.57987215274569E-2</v>
      </c>
      <c r="AW8" s="8">
        <f t="shared" si="62"/>
        <v>7.2732315110128551E-2</v>
      </c>
      <c r="AX8" s="8">
        <f t="shared" si="63"/>
        <v>-7.9949870233083836E-2</v>
      </c>
      <c r="AY8" s="8">
        <f t="shared" si="64"/>
        <v>4.4849807525682545E-2</v>
      </c>
      <c r="AZ8" s="8">
        <f t="shared" si="65"/>
        <v>-9.1155349475182432E-2</v>
      </c>
      <c r="BA8" s="8">
        <f t="shared" si="66"/>
        <v>9.7051144988131721E-3</v>
      </c>
      <c r="BB8" s="8">
        <f t="shared" si="67"/>
        <v>-8.7600741919168987E-2</v>
      </c>
      <c r="BC8" s="8">
        <f t="shared" si="68"/>
        <v>-2.7011053303950715E-2</v>
      </c>
      <c r="BD8" s="8">
        <f t="shared" si="69"/>
        <v>-6.9861617911293514E-2</v>
      </c>
      <c r="BE8" s="8">
        <f t="shared" si="70"/>
        <v>-5.9353528355053579E-2</v>
      </c>
      <c r="BF8" s="8">
        <f t="shared" si="71"/>
        <v>-4.0810337785712997E-2</v>
      </c>
      <c r="BG8" s="8">
        <f t="shared" si="72"/>
        <v>-8.2085341658506367E-2</v>
      </c>
      <c r="BH8" s="8">
        <f t="shared" si="73"/>
        <v>-5.1509525796796084E-3</v>
      </c>
      <c r="BI8" s="8">
        <f t="shared" si="74"/>
        <v>-9.152570498444472E-2</v>
      </c>
      <c r="BJ8" s="8">
        <f t="shared" si="75"/>
        <v>3.1342486882157128E-2</v>
      </c>
      <c r="BK8" s="8">
        <f t="shared" si="76"/>
        <v>-8.6146012684392578E-2</v>
      </c>
      <c r="BL8" s="8">
        <f t="shared" si="77"/>
        <v>6.2760877764697201E-2</v>
      </c>
      <c r="BM8" s="8">
        <f t="shared" si="78"/>
        <v>-6.6817357083189505E-2</v>
      </c>
      <c r="BN8" s="8">
        <f t="shared" si="79"/>
        <v>8.4016880935862709E-2</v>
      </c>
      <c r="BO8" s="8">
        <f t="shared" si="80"/>
        <v>-3.6669479178013754E-2</v>
      </c>
      <c r="BP8" s="8">
        <f t="shared" si="81"/>
        <v>9.1668674784594548E-2</v>
      </c>
      <c r="BQ8" s="8">
        <f t="shared" si="82"/>
        <v>-5.8399367629845896E-4</v>
      </c>
      <c r="BR8" s="8">
        <f t="shared" si="83"/>
        <v>8.4477263003832306E-2</v>
      </c>
      <c r="BS8" s="8">
        <f t="shared" si="84"/>
        <v>3.5596053443592048E-2</v>
      </c>
      <c r="BT8" s="8">
        <f t="shared" si="85"/>
        <v>6.3607095762393817E-2</v>
      </c>
      <c r="BU8" s="8">
        <f t="shared" si="86"/>
        <v>6.6012304565523081E-2</v>
      </c>
      <c r="BV8" s="8">
        <f t="shared" si="87"/>
        <v>3.2437519217671615E-2</v>
      </c>
      <c r="BW8" s="8">
        <f t="shared" si="88"/>
        <v>8.5739689364849589E-2</v>
      </c>
      <c r="BX8" s="8">
        <f t="shared" si="89"/>
        <v>-3.9844160961714338E-3</v>
      </c>
      <c r="BY8" s="8">
        <f t="shared" si="90"/>
        <v>9.1583903682635665E-2</v>
      </c>
      <c r="BZ8" s="8">
        <f t="shared" si="91"/>
        <v>-3.9761185462455002E-2</v>
      </c>
      <c r="CA8" s="8">
        <f t="shared" si="92"/>
        <v>8.2598638705477304E-2</v>
      </c>
      <c r="CB8" s="8">
        <f t="shared" si="93"/>
        <v>-6.9099730939514561E-2</v>
      </c>
      <c r="CC8" s="8">
        <f t="shared" si="94"/>
        <v>6.0238809495742937E-2</v>
      </c>
      <c r="CD8" s="8">
        <f t="shared" si="95"/>
        <v>-8.7249486814367672E-2</v>
      </c>
      <c r="CE8" s="8">
        <f t="shared" si="96"/>
        <v>2.8124971751224907E-2</v>
      </c>
      <c r="CF8" s="8">
        <f t="shared" si="97"/>
        <v>-9.1271602283196931E-2</v>
      </c>
      <c r="CG8" s="8">
        <f t="shared" si="98"/>
        <v>-8.5429270180444813E-3</v>
      </c>
      <c r="CH8" s="8">
        <f t="shared" si="99"/>
        <v>-8.0514807028091884E-2</v>
      </c>
      <c r="CI8" s="8">
        <f t="shared" si="100"/>
        <v>-4.3827535118996147E-2</v>
      </c>
      <c r="CJ8" s="8">
        <f t="shared" si="101"/>
        <v>-5.6720866425950291E-2</v>
      </c>
      <c r="CK8" s="8">
        <f t="shared" si="102"/>
        <v>-7.2015486509966892E-2</v>
      </c>
      <c r="CL8" s="8">
        <f t="shared" si="103"/>
        <v>-2.3742550836149828E-2</v>
      </c>
      <c r="CM8" s="8">
        <f t="shared" si="104"/>
        <v>-8.854252235604404E-2</v>
      </c>
      <c r="CN8" s="8">
        <f t="shared" si="105"/>
        <v>1.3080213962257652E-2</v>
      </c>
      <c r="CO8" s="8">
        <f t="shared" si="106"/>
        <v>-9.0732546465308025E-2</v>
      </c>
      <c r="CP8" s="8">
        <f t="shared" si="107"/>
        <v>4.7785000007554611E-2</v>
      </c>
      <c r="CQ8" s="8">
        <f t="shared" si="108"/>
        <v>-7.8230945025966059E-2</v>
      </c>
      <c r="CR8" s="8">
        <f t="shared" si="109"/>
        <v>7.475232739770879E-2</v>
      </c>
      <c r="CS8" s="8">
        <f t="shared" si="110"/>
        <v>-5.3062006501860368E-2</v>
      </c>
      <c r="CT8" s="8">
        <f t="shared" si="111"/>
        <v>8.9615583583007932E-2</v>
      </c>
      <c r="CU8" s="8">
        <f t="shared" si="112"/>
        <v>-1.9301144122943533E-2</v>
      </c>
    </row>
    <row r="9" spans="1:196 16384:16384">
      <c r="A9" s="15">
        <v>7</v>
      </c>
      <c r="B9" s="16">
        <v>70</v>
      </c>
      <c r="C9" s="8">
        <f t="shared" si="113"/>
        <v>4.2484952420493594</v>
      </c>
      <c r="D9" s="8">
        <f t="shared" si="114"/>
        <v>0.47268817204301078</v>
      </c>
      <c r="E9" s="7">
        <f t="shared" si="115"/>
        <v>13.285714285714285</v>
      </c>
      <c r="F9" s="8">
        <f>CX15</f>
        <v>0.56918401830941001</v>
      </c>
      <c r="G9" s="8">
        <f>CY15</f>
        <v>2.420326566715802</v>
      </c>
      <c r="H9" s="8">
        <f t="shared" si="119"/>
        <v>8.134704685078481E-2</v>
      </c>
      <c r="I9" s="8">
        <f t="shared" si="116"/>
        <v>4.159700184885029E-2</v>
      </c>
      <c r="J9" s="8">
        <f t="shared" si="117"/>
        <v>5.3488812000422908E-2</v>
      </c>
      <c r="K9" s="8">
        <f t="shared" si="118"/>
        <v>7.4071584193538403E-2</v>
      </c>
      <c r="L9" s="8">
        <f t="shared" si="25"/>
        <v>1.390022736138726E-2</v>
      </c>
      <c r="M9" s="8">
        <f t="shared" si="26"/>
        <v>9.0301917329914855E-2</v>
      </c>
      <c r="N9" s="8">
        <f t="shared" si="27"/>
        <v>-2.8736742967909675E-2</v>
      </c>
      <c r="O9" s="8">
        <f t="shared" si="28"/>
        <v>8.6728612336145039E-2</v>
      </c>
      <c r="P9" s="8">
        <f t="shared" si="29"/>
        <v>-6.507160947037037E-2</v>
      </c>
      <c r="Q9" s="8">
        <f t="shared" si="30"/>
        <v>6.413531192013211E-2</v>
      </c>
      <c r="R9" s="8">
        <f t="shared" si="31"/>
        <v>-8.7135963844175351E-2</v>
      </c>
      <c r="S9" s="8">
        <f t="shared" si="32"/>
        <v>2.7476833862430376E-2</v>
      </c>
      <c r="T9" s="8">
        <f t="shared" si="33"/>
        <v>-9.0090988680855411E-2</v>
      </c>
      <c r="U9" s="8">
        <f t="shared" si="34"/>
        <v>-1.5207443988488594E-2</v>
      </c>
      <c r="V9" s="8">
        <f t="shared" si="35"/>
        <v>-7.3288633039062231E-2</v>
      </c>
      <c r="W9" s="8">
        <f t="shared" si="36"/>
        <v>-5.455665735199243E-2</v>
      </c>
      <c r="X9" s="8">
        <f t="shared" si="37"/>
        <v>-4.0413733085102349E-2</v>
      </c>
      <c r="Y9" s="8">
        <f t="shared" si="38"/>
        <v>-8.1941337384028201E-2</v>
      </c>
      <c r="Z9" s="8">
        <f t="shared" si="39"/>
        <v>1.3240899293023522E-3</v>
      </c>
      <c r="AA9" s="8">
        <f t="shared" si="40"/>
        <v>-9.135589406281433E-2</v>
      </c>
      <c r="AB9" s="8">
        <f t="shared" si="41"/>
        <v>4.2771533751470484E-2</v>
      </c>
      <c r="AC9" s="8">
        <f t="shared" si="42"/>
        <v>-8.0735670522414413E-2</v>
      </c>
      <c r="AD9" s="8">
        <f t="shared" si="43"/>
        <v>7.4838977660781209E-2</v>
      </c>
      <c r="AE9" s="8">
        <f t="shared" si="44"/>
        <v>-5.2409732081419066E-2</v>
      </c>
      <c r="AF9" s="8">
        <f t="shared" si="45"/>
        <v>9.0493879340124983E-2</v>
      </c>
      <c r="AG9" s="8">
        <f t="shared" si="46"/>
        <v>-1.2590091188388322E-2</v>
      </c>
      <c r="AH9" s="8">
        <f t="shared" si="47"/>
        <v>8.6303044711373011E-2</v>
      </c>
      <c r="AI9" s="8">
        <f t="shared" si="48"/>
        <v>2.99906163275079E-2</v>
      </c>
      <c r="AJ9" s="8">
        <f t="shared" si="49"/>
        <v>6.3185543655930737E-2</v>
      </c>
      <c r="AK9" s="8">
        <f t="shared" si="50"/>
        <v>6.5994239650605149E-2</v>
      </c>
      <c r="AL9" s="8">
        <f t="shared" si="51"/>
        <v>2.621115363713437E-2</v>
      </c>
      <c r="AM9" s="8">
        <f t="shared" si="52"/>
        <v>8.7525013677048763E-2</v>
      </c>
      <c r="AN9" s="8">
        <f t="shared" si="53"/>
        <v>-1.6511466507353096E-2</v>
      </c>
      <c r="AO9" s="8">
        <f t="shared" si="54"/>
        <v>8.9861137695522147E-2</v>
      </c>
      <c r="AP9" s="8">
        <f t="shared" si="55"/>
        <v>-5.561304385033479E-2</v>
      </c>
      <c r="AQ9" s="8">
        <f t="shared" si="56"/>
        <v>7.2490288645154222E-2</v>
      </c>
      <c r="AR9" s="8">
        <f t="shared" si="57"/>
        <v>-8.2518417299834612E-2</v>
      </c>
      <c r="AS9" s="8">
        <f t="shared" si="58"/>
        <v>3.9221975989072642E-2</v>
      </c>
      <c r="AT9" s="8">
        <f t="shared" si="59"/>
        <v>-9.132711103756308E-2</v>
      </c>
      <c r="AU9" s="8">
        <f t="shared" si="60"/>
        <v>-2.6479017522672574E-3</v>
      </c>
      <c r="AV9" s="8">
        <f t="shared" si="61"/>
        <v>-8.0107336809856253E-2</v>
      </c>
      <c r="AW9" s="8">
        <f t="shared" si="62"/>
        <v>-4.3937082099170889E-2</v>
      </c>
      <c r="AX9" s="8">
        <f t="shared" si="63"/>
        <v>-5.1319644240435607E-2</v>
      </c>
      <c r="AY9" s="8">
        <f t="shared" si="64"/>
        <v>-7.5590652260660904E-2</v>
      </c>
      <c r="AZ9" s="8">
        <f t="shared" si="65"/>
        <v>-1.1277310645040306E-2</v>
      </c>
      <c r="BA9" s="8">
        <f t="shared" si="66"/>
        <v>-9.0666834392584231E-2</v>
      </c>
      <c r="BB9" s="8">
        <f t="shared" si="67"/>
        <v>3.123819058288365E-2</v>
      </c>
      <c r="BC9" s="8">
        <f t="shared" si="68"/>
        <v>-8.5859350354311859E-2</v>
      </c>
      <c r="BD9" s="8">
        <f t="shared" si="69"/>
        <v>6.6903008675433778E-2</v>
      </c>
      <c r="BE9" s="8">
        <f t="shared" si="70"/>
        <v>-6.2222504163139146E-2</v>
      </c>
      <c r="BF9" s="8">
        <f t="shared" si="71"/>
        <v>8.7895680120357741E-2</v>
      </c>
      <c r="BG9" s="8">
        <f t="shared" si="72"/>
        <v>-2.4939968130227939E-2</v>
      </c>
      <c r="BH9" s="8">
        <f t="shared" si="73"/>
        <v>8.9612412650859341E-2</v>
      </c>
      <c r="BI9" s="8">
        <f t="shared" si="74"/>
        <v>1.7812021026518497E-2</v>
      </c>
      <c r="BJ9" s="8">
        <f t="shared" si="75"/>
        <v>7.1676718692747998E-2</v>
      </c>
      <c r="BK9" s="8">
        <f t="shared" si="76"/>
        <v>5.6657749616426743E-2</v>
      </c>
      <c r="BL9" s="8">
        <f t="shared" si="77"/>
        <v>3.8021980872461211E-2</v>
      </c>
      <c r="BM9" s="8">
        <f t="shared" si="78"/>
        <v>8.3078165390740477E-2</v>
      </c>
      <c r="BN9" s="8">
        <f t="shared" si="79"/>
        <v>-3.9711574209694844E-3</v>
      </c>
      <c r="BO9" s="8">
        <f t="shared" si="80"/>
        <v>9.1279146046043355E-2</v>
      </c>
      <c r="BP9" s="8">
        <f t="shared" si="81"/>
        <v>-4.5093402085027899E-2</v>
      </c>
      <c r="BQ9" s="8">
        <f t="shared" si="82"/>
        <v>7.9462177685708041E-2</v>
      </c>
      <c r="BR9" s="8">
        <f t="shared" si="83"/>
        <v>-7.6326450114573216E-2</v>
      </c>
      <c r="BS9" s="8">
        <f t="shared" si="84"/>
        <v>5.0218777434985422E-2</v>
      </c>
      <c r="BT9" s="8">
        <f t="shared" si="85"/>
        <v>-9.0820746160533233E-2</v>
      </c>
      <c r="BU9" s="8">
        <f t="shared" si="86"/>
        <v>9.9621614623044176E-3</v>
      </c>
      <c r="BV9" s="8">
        <f t="shared" si="87"/>
        <v>-8.5397622456677494E-2</v>
      </c>
      <c r="BW9" s="8">
        <f t="shared" si="88"/>
        <v>-3.2479203698733215E-2</v>
      </c>
      <c r="BX9" s="8">
        <f t="shared" si="89"/>
        <v>-6.1246395714563848E-2</v>
      </c>
      <c r="BY9" s="8">
        <f t="shared" si="90"/>
        <v>-6.7797725670792883E-2</v>
      </c>
      <c r="BZ9" s="8">
        <f t="shared" si="91"/>
        <v>-2.3663544336223818E-2</v>
      </c>
      <c r="CA9" s="8">
        <f t="shared" si="92"/>
        <v>-8.824788532086536E-2</v>
      </c>
      <c r="CB9" s="8">
        <f t="shared" si="93"/>
        <v>1.9108834382927219E-2</v>
      </c>
      <c r="CC9" s="8">
        <f t="shared" si="94"/>
        <v>-8.9344865788040073E-2</v>
      </c>
      <c r="CD9" s="8">
        <f t="shared" si="95"/>
        <v>5.7690555224617836E-2</v>
      </c>
      <c r="CE9" s="8">
        <f t="shared" si="96"/>
        <v>-7.0848094060689829E-2</v>
      </c>
      <c r="CF9" s="8">
        <f t="shared" si="97"/>
        <v>8.362046408958676E-2</v>
      </c>
      <c r="CG9" s="8">
        <f t="shared" si="98"/>
        <v>-3.6813999777247329E-2</v>
      </c>
      <c r="CH9" s="8">
        <f t="shared" si="99"/>
        <v>9.1212009162622357E-2</v>
      </c>
      <c r="CI9" s="8">
        <f t="shared" si="100"/>
        <v>5.2935790042964543E-3</v>
      </c>
      <c r="CJ9" s="8">
        <f t="shared" si="101"/>
        <v>7.8800328656506699E-2</v>
      </c>
      <c r="CK9" s="8">
        <f t="shared" si="102"/>
        <v>4.6240250840404895E-2</v>
      </c>
      <c r="CL9" s="8">
        <f t="shared" si="103"/>
        <v>4.9107362886549939E-2</v>
      </c>
      <c r="CM9" s="8">
        <f t="shared" si="104"/>
        <v>7.7046216678599677E-2</v>
      </c>
      <c r="CN9" s="8">
        <f t="shared" si="105"/>
        <v>8.6449198686406603E-3</v>
      </c>
      <c r="CO9" s="8">
        <f t="shared" si="106"/>
        <v>9.0955582316984904E-2</v>
      </c>
      <c r="CP9" s="8">
        <f t="shared" si="107"/>
        <v>-3.3713395017827018E-2</v>
      </c>
      <c r="CQ9" s="8">
        <f t="shared" si="108"/>
        <v>8.4917957997875756E-2</v>
      </c>
      <c r="CR9" s="8">
        <f t="shared" si="109"/>
        <v>-6.8678202714048731E-2</v>
      </c>
      <c r="CS9" s="8">
        <f t="shared" si="110"/>
        <v>6.0257423327960712E-2</v>
      </c>
      <c r="CT9" s="8">
        <f t="shared" si="111"/>
        <v>-8.8581555302857273E-2</v>
      </c>
      <c r="CU9" s="8">
        <f t="shared" si="112"/>
        <v>2.2382150349863034E-2</v>
      </c>
      <c r="CX9">
        <v>1.0425136125800412</v>
      </c>
      <c r="CY9">
        <v>4.6406159237465481</v>
      </c>
    </row>
    <row r="10" spans="1:196 16384:16384">
      <c r="A10" s="15">
        <v>8</v>
      </c>
      <c r="B10" s="16">
        <v>54</v>
      </c>
      <c r="C10" s="8">
        <f t="shared" si="113"/>
        <v>3.9889840465642745</v>
      </c>
      <c r="D10" s="8">
        <f t="shared" si="114"/>
        <v>0.54021505376344092</v>
      </c>
      <c r="E10" s="7">
        <f t="shared" si="115"/>
        <v>11.625</v>
      </c>
      <c r="F10" s="8">
        <f>CX17</f>
        <v>1.0390642912655677</v>
      </c>
      <c r="G10" s="8">
        <f>CY17</f>
        <v>4.6236840885322534</v>
      </c>
      <c r="H10" s="8">
        <f t="shared" si="119"/>
        <v>7.3568712213482407E-2</v>
      </c>
      <c r="I10" s="8">
        <f t="shared" si="116"/>
        <v>4.4120774258643622E-2</v>
      </c>
      <c r="J10" s="8">
        <f t="shared" si="117"/>
        <v>4.0400171688507035E-2</v>
      </c>
      <c r="K10" s="8">
        <f t="shared" si="118"/>
        <v>7.5675783877483152E-2</v>
      </c>
      <c r="L10" s="8">
        <f t="shared" si="25"/>
        <v>-4.2744916862050729E-3</v>
      </c>
      <c r="M10" s="8">
        <f t="shared" si="26"/>
        <v>8.5678041870463795E-2</v>
      </c>
      <c r="N10" s="8">
        <f t="shared" si="27"/>
        <v>-4.7731763539889428E-2</v>
      </c>
      <c r="O10" s="8">
        <f t="shared" si="28"/>
        <v>7.1278867045601019E-2</v>
      </c>
      <c r="P10" s="8">
        <f t="shared" si="29"/>
        <v>-7.7594847246081566E-2</v>
      </c>
      <c r="Q10" s="8">
        <f t="shared" si="30"/>
        <v>3.657919926392119E-2</v>
      </c>
      <c r="R10" s="8">
        <f t="shared" si="31"/>
        <v>-8.5358622766067219E-2</v>
      </c>
      <c r="S10" s="8">
        <f t="shared" si="32"/>
        <v>-8.5383638604017084E-3</v>
      </c>
      <c r="T10" s="8">
        <f t="shared" si="33"/>
        <v>-6.8811937246351304E-2</v>
      </c>
      <c r="U10" s="8">
        <f t="shared" si="34"/>
        <v>-5.1224168420156861E-2</v>
      </c>
      <c r="V10" s="8">
        <f t="shared" si="35"/>
        <v>-3.266734977736889E-2</v>
      </c>
      <c r="W10" s="8">
        <f t="shared" si="36"/>
        <v>-7.9321134614019614E-2</v>
      </c>
      <c r="X10" s="8">
        <f t="shared" si="37"/>
        <v>1.2781023393609791E-2</v>
      </c>
      <c r="Y10" s="8">
        <f t="shared" si="38"/>
        <v>-8.4827139400927482E-2</v>
      </c>
      <c r="Z10" s="8">
        <f t="shared" si="39"/>
        <v>5.4589312397469232E-2</v>
      </c>
      <c r="AA10" s="8">
        <f t="shared" si="40"/>
        <v>-6.617405163584815E-2</v>
      </c>
      <c r="AB10" s="8">
        <f t="shared" si="41"/>
        <v>8.0850357207150655E-2</v>
      </c>
      <c r="AC10" s="8">
        <f t="shared" si="42"/>
        <v>-2.8674341795558732E-2</v>
      </c>
      <c r="AD10" s="8">
        <f t="shared" si="43"/>
        <v>8.4084912187948058E-2</v>
      </c>
      <c r="AE10" s="8">
        <f t="shared" si="44"/>
        <v>1.6991929857360182E-2</v>
      </c>
      <c r="AF10" s="8">
        <f t="shared" si="45"/>
        <v>6.3371763755418489E-2</v>
      </c>
      <c r="AG10" s="8">
        <f t="shared" si="46"/>
        <v>5.7818835135791266E-2</v>
      </c>
      <c r="AH10" s="8">
        <f t="shared" si="47"/>
        <v>2.4610095514697793E-2</v>
      </c>
      <c r="AI10" s="8">
        <f t="shared" si="48"/>
        <v>8.2178715837434663E-2</v>
      </c>
      <c r="AJ10" s="8">
        <f t="shared" si="49"/>
        <v>-2.1160621710248319E-2</v>
      </c>
      <c r="AK10" s="8">
        <f t="shared" si="50"/>
        <v>8.3133785110315717E-2</v>
      </c>
      <c r="AL10" s="8">
        <f t="shared" si="51"/>
        <v>-6.0904713235378855E-2</v>
      </c>
      <c r="AM10" s="8">
        <f t="shared" si="52"/>
        <v>6.0412035586037423E-2</v>
      </c>
      <c r="AN10" s="8">
        <f t="shared" si="53"/>
        <v>-8.3302910341609832E-2</v>
      </c>
      <c r="AO10" s="8">
        <f t="shared" si="54"/>
        <v>2.0484708114837703E-2</v>
      </c>
      <c r="AP10" s="8">
        <f t="shared" si="55"/>
        <v>-8.1976121140323738E-2</v>
      </c>
      <c r="AQ10" s="8">
        <f t="shared" si="56"/>
        <v>-2.5276742288502119E-2</v>
      </c>
      <c r="AR10" s="8">
        <f t="shared" si="57"/>
        <v>-5.7302220252039689E-2</v>
      </c>
      <c r="AS10" s="8">
        <f t="shared" si="58"/>
        <v>-6.3839280166047591E-2</v>
      </c>
      <c r="AT10" s="8">
        <f t="shared" si="59"/>
        <v>-1.6308428674523714E-2</v>
      </c>
      <c r="AU10" s="8">
        <f t="shared" si="60"/>
        <v>-8.4220147780090945E-2</v>
      </c>
      <c r="AV10" s="8">
        <f t="shared" si="61"/>
        <v>2.933006553599184E-2</v>
      </c>
      <c r="AW10" s="8">
        <f t="shared" si="62"/>
        <v>-8.0614796368823044E-2</v>
      </c>
      <c r="AX10" s="8">
        <f t="shared" si="63"/>
        <v>6.6615245313837376E-2</v>
      </c>
      <c r="AY10" s="8">
        <f t="shared" si="64"/>
        <v>-5.4050043753078043E-2</v>
      </c>
      <c r="AZ10" s="8">
        <f t="shared" si="65"/>
        <v>8.4928149375725681E-2</v>
      </c>
      <c r="BA10" s="8">
        <f t="shared" si="66"/>
        <v>-1.2091632708067585E-2</v>
      </c>
      <c r="BB10" s="8">
        <f t="shared" si="67"/>
        <v>7.9053192859885768E-2</v>
      </c>
      <c r="BC10" s="8">
        <f t="shared" si="68"/>
        <v>3.3310521409760166E-2</v>
      </c>
      <c r="BD10" s="8">
        <f t="shared" si="69"/>
        <v>5.0663585769713283E-2</v>
      </c>
      <c r="BE10" s="8">
        <f t="shared" si="70"/>
        <v>6.9225712093753777E-2</v>
      </c>
      <c r="BF10" s="8">
        <f t="shared" si="71"/>
        <v>7.8447963887060233E-3</v>
      </c>
      <c r="BG10" s="8">
        <f t="shared" si="72"/>
        <v>8.5425156175169673E-2</v>
      </c>
      <c r="BH10" s="8">
        <f t="shared" si="73"/>
        <v>-3.7208220897954065E-2</v>
      </c>
      <c r="BI10" s="8">
        <f t="shared" si="74"/>
        <v>7.7295190248432913E-2</v>
      </c>
      <c r="BJ10" s="8">
        <f t="shared" si="75"/>
        <v>-7.1664195083587096E-2</v>
      </c>
      <c r="BK10" s="8">
        <f t="shared" si="76"/>
        <v>4.7151259590322243E-2</v>
      </c>
      <c r="BL10" s="8">
        <f t="shared" si="77"/>
        <v>-8.5709933418815831E-2</v>
      </c>
      <c r="BM10" s="8">
        <f t="shared" si="78"/>
        <v>3.5784705216814101E-3</v>
      </c>
      <c r="BN10" s="8">
        <f t="shared" si="79"/>
        <v>-7.5345156101701505E-2</v>
      </c>
      <c r="BO10" s="8">
        <f t="shared" si="80"/>
        <v>-4.1013480588004435E-2</v>
      </c>
      <c r="BP10" s="8">
        <f t="shared" si="81"/>
        <v>-4.3521791209193313E-2</v>
      </c>
      <c r="BQ10" s="8">
        <f t="shared" si="82"/>
        <v>-7.3924636136241936E-2</v>
      </c>
      <c r="BR10" s="8">
        <f t="shared" si="83"/>
        <v>6.9674566809186473E-4</v>
      </c>
      <c r="BS10" s="8">
        <f t="shared" si="84"/>
        <v>-8.5781773608420916E-2</v>
      </c>
      <c r="BT10" s="8">
        <f t="shared" si="85"/>
        <v>4.4716846724017219E-2</v>
      </c>
      <c r="BU10" s="8">
        <f t="shared" si="86"/>
        <v>-7.3207935068496058E-2</v>
      </c>
      <c r="BV10" s="8">
        <f t="shared" si="87"/>
        <v>7.6001419430548181E-2</v>
      </c>
      <c r="BW10" s="8">
        <f t="shared" si="88"/>
        <v>-3.9784197647737961E-2</v>
      </c>
      <c r="BX10" s="8">
        <f t="shared" si="89"/>
        <v>8.5640498264808435E-2</v>
      </c>
      <c r="BY10" s="8">
        <f t="shared" si="90"/>
        <v>4.9702308686546551E-3</v>
      </c>
      <c r="BZ10" s="8">
        <f t="shared" si="91"/>
        <v>7.0888836843183353E-2</v>
      </c>
      <c r="CA10" s="8">
        <f t="shared" si="92"/>
        <v>4.8309118693606018E-2</v>
      </c>
      <c r="CB10" s="8">
        <f t="shared" si="93"/>
        <v>3.5947764552676835E-2</v>
      </c>
      <c r="CC10" s="8">
        <f t="shared" si="94"/>
        <v>7.7889385423160803E-2</v>
      </c>
      <c r="CD10" s="8">
        <f t="shared" si="95"/>
        <v>-9.231368068503179E-3</v>
      </c>
      <c r="CE10" s="8">
        <f t="shared" si="96"/>
        <v>8.5286458371280752E-2</v>
      </c>
      <c r="CF10" s="8">
        <f t="shared" si="97"/>
        <v>-5.1781371885818467E-2</v>
      </c>
      <c r="CG10" s="8">
        <f t="shared" si="98"/>
        <v>6.8393622974331117E-2</v>
      </c>
      <c r="CH10" s="8">
        <f t="shared" si="99"/>
        <v>-7.958384366688695E-2</v>
      </c>
      <c r="CI10" s="8">
        <f t="shared" si="100"/>
        <v>3.2022023126855731E-2</v>
      </c>
      <c r="CJ10" s="8">
        <f t="shared" si="101"/>
        <v>-8.4720533501639092E-2</v>
      </c>
      <c r="CK10" s="8">
        <f t="shared" si="102"/>
        <v>-1.3469570933405128E-2</v>
      </c>
      <c r="CL10" s="8">
        <f t="shared" si="103"/>
        <v>-6.5728492550764211E-2</v>
      </c>
      <c r="CM10" s="8">
        <f t="shared" si="104"/>
        <v>-5.5124979863366091E-2</v>
      </c>
      <c r="CN10" s="8">
        <f t="shared" si="105"/>
        <v>-2.8016726450002381E-2</v>
      </c>
      <c r="CO10" s="8">
        <f t="shared" si="106"/>
        <v>-8.1080584463594743E-2</v>
      </c>
      <c r="CP10" s="8">
        <f t="shared" si="107"/>
        <v>1.7674310107001413E-2</v>
      </c>
      <c r="CQ10" s="8">
        <f t="shared" si="108"/>
        <v>-8.3944129634977646E-2</v>
      </c>
      <c r="CR10" s="8">
        <f t="shared" si="109"/>
        <v>5.8331635794074285E-2</v>
      </c>
      <c r="CS10" s="8">
        <f t="shared" si="110"/>
        <v>-6.2900066800599314E-2</v>
      </c>
      <c r="CT10" s="8">
        <f t="shared" si="111"/>
        <v>8.2375889322752111E-2</v>
      </c>
      <c r="CU10" s="8">
        <f t="shared" si="112"/>
        <v>-2.3941825248257071E-2</v>
      </c>
    </row>
    <row r="11" spans="1:196 16384:16384">
      <c r="A11" s="15">
        <v>9</v>
      </c>
      <c r="B11" s="16">
        <v>58</v>
      </c>
      <c r="C11" s="8">
        <f t="shared" si="113"/>
        <v>4.0604430105464191</v>
      </c>
      <c r="D11" s="8">
        <f t="shared" si="114"/>
        <v>0.60774193548387101</v>
      </c>
      <c r="E11" s="7">
        <f t="shared" si="115"/>
        <v>10.333333333333332</v>
      </c>
      <c r="F11" s="8">
        <f>CX19</f>
        <v>0.22820517163889645</v>
      </c>
      <c r="G11" s="8">
        <f>CY19</f>
        <v>0.94010021176969483</v>
      </c>
      <c r="H11" s="8">
        <f t="shared" si="119"/>
        <v>7.1685549461830936E-2</v>
      </c>
      <c r="I11" s="8">
        <f t="shared" si="116"/>
        <v>4.9861819549962542E-2</v>
      </c>
      <c r="J11" s="8">
        <f t="shared" si="117"/>
        <v>3.0377643026971005E-2</v>
      </c>
      <c r="K11" s="8">
        <f t="shared" si="118"/>
        <v>8.1867074300988399E-2</v>
      </c>
      <c r="L11" s="8">
        <f t="shared" si="25"/>
        <v>-2.180913537938884E-2</v>
      </c>
      <c r="M11" s="8">
        <f t="shared" si="26"/>
        <v>8.4554010339434091E-2</v>
      </c>
      <c r="N11" s="8">
        <f t="shared" si="27"/>
        <v>-6.6185604362110115E-2</v>
      </c>
      <c r="O11" s="8">
        <f t="shared" si="28"/>
        <v>5.6960379437815074E-2</v>
      </c>
      <c r="P11" s="8">
        <f t="shared" si="29"/>
        <v>-8.6859618365935753E-2</v>
      </c>
      <c r="Q11" s="8">
        <f t="shared" si="30"/>
        <v>8.9680403545944233E-3</v>
      </c>
      <c r="R11" s="8">
        <f t="shared" si="31"/>
        <v>-7.6427378772094448E-2</v>
      </c>
      <c r="S11" s="8">
        <f t="shared" si="32"/>
        <v>-4.2235942330016082E-2</v>
      </c>
      <c r="T11" s="8">
        <f t="shared" si="33"/>
        <v>-3.8624889681254798E-2</v>
      </c>
      <c r="U11" s="8">
        <f t="shared" si="34"/>
        <v>-7.831434700990958E-2</v>
      </c>
      <c r="V11" s="8">
        <f t="shared" si="35"/>
        <v>1.3009983619992636E-2</v>
      </c>
      <c r="W11" s="8">
        <f t="shared" si="36"/>
        <v>-8.6346739235973233E-2</v>
      </c>
      <c r="X11" s="8">
        <f t="shared" si="37"/>
        <v>5.9985708545984333E-2</v>
      </c>
      <c r="Y11" s="8">
        <f t="shared" si="38"/>
        <v>-6.3456550652504426E-2</v>
      </c>
      <c r="Z11" s="8">
        <f t="shared" si="39"/>
        <v>8.5479291397553836E-2</v>
      </c>
      <c r="AA11" s="8">
        <f t="shared" si="40"/>
        <v>-1.7841238540239182E-2</v>
      </c>
      <c r="AB11" s="8">
        <f t="shared" si="41"/>
        <v>8.0360944729019043E-2</v>
      </c>
      <c r="AC11" s="8">
        <f t="shared" si="42"/>
        <v>3.4163395802191319E-2</v>
      </c>
      <c r="AD11" s="8">
        <f t="shared" si="43"/>
        <v>4.6463655979968578E-2</v>
      </c>
      <c r="AE11" s="8">
        <f t="shared" si="44"/>
        <v>7.3933400594405008E-2</v>
      </c>
      <c r="AF11" s="8">
        <f t="shared" si="45"/>
        <v>-4.0732438239984908E-3</v>
      </c>
      <c r="AG11" s="8">
        <f t="shared" si="46"/>
        <v>8.7226301854589114E-2</v>
      </c>
      <c r="AH11" s="8">
        <f t="shared" si="47"/>
        <v>-5.3151429466677953E-2</v>
      </c>
      <c r="AI11" s="8">
        <f t="shared" si="48"/>
        <v>6.9281632458584541E-2</v>
      </c>
      <c r="AJ11" s="8">
        <f t="shared" si="49"/>
        <v>-8.3194971909527307E-2</v>
      </c>
      <c r="AK11" s="8">
        <f t="shared" si="50"/>
        <v>2.6525755398302972E-2</v>
      </c>
      <c r="AL11" s="8">
        <f t="shared" si="51"/>
        <v>-8.3444647617136242E-2</v>
      </c>
      <c r="AM11" s="8">
        <f t="shared" si="52"/>
        <v>-2.5729551774751072E-2</v>
      </c>
      <c r="AN11" s="8">
        <f t="shared" si="53"/>
        <v>-5.3811042474819826E-2</v>
      </c>
      <c r="AO11" s="8">
        <f t="shared" si="54"/>
        <v>-6.8770566074817019E-2</v>
      </c>
      <c r="AP11" s="8">
        <f t="shared" si="55"/>
        <v>-4.9065728609986809E-3</v>
      </c>
      <c r="AQ11" s="8">
        <f t="shared" si="56"/>
        <v>-8.7183396316255921E-2</v>
      </c>
      <c r="AR11" s="8">
        <f t="shared" si="57"/>
        <v>4.5755043544173354E-2</v>
      </c>
      <c r="AS11" s="8">
        <f t="shared" si="58"/>
        <v>-7.4374021275902757E-2</v>
      </c>
      <c r="AT11" s="8">
        <f t="shared" si="59"/>
        <v>8.0030817890251862E-2</v>
      </c>
      <c r="AU11" s="8">
        <f t="shared" si="60"/>
        <v>-3.4929747183381946E-2</v>
      </c>
      <c r="AV11" s="8">
        <f t="shared" si="61"/>
        <v>8.5645875510234587E-2</v>
      </c>
      <c r="AW11" s="8">
        <f t="shared" si="62"/>
        <v>1.702360298418162E-2</v>
      </c>
      <c r="AX11" s="8">
        <f t="shared" si="63"/>
        <v>6.0589346340695183E-2</v>
      </c>
      <c r="AY11" s="8">
        <f t="shared" si="64"/>
        <v>6.2880443386516632E-2</v>
      </c>
      <c r="AZ11" s="8">
        <f t="shared" si="65"/>
        <v>1.38344997246026E-2</v>
      </c>
      <c r="BA11" s="8">
        <f t="shared" si="66"/>
        <v>8.6218476371643246E-2</v>
      </c>
      <c r="BB11" s="8">
        <f t="shared" si="67"/>
        <v>-3.7874771800627163E-2</v>
      </c>
      <c r="BC11" s="8">
        <f t="shared" si="68"/>
        <v>7.8679862172782514E-2</v>
      </c>
      <c r="BD11" s="8">
        <f t="shared" si="69"/>
        <v>-7.6020292082780966E-2</v>
      </c>
      <c r="BE11" s="8">
        <f t="shared" si="70"/>
        <v>4.2964336863569839E-2</v>
      </c>
      <c r="BF11" s="8">
        <f t="shared" si="71"/>
        <v>-8.6941349161178766E-2</v>
      </c>
      <c r="BG11" s="8">
        <f t="shared" si="72"/>
        <v>-8.1376198308619353E-3</v>
      </c>
      <c r="BH11" s="8">
        <f t="shared" si="73"/>
        <v>-6.6726883127589925E-2</v>
      </c>
      <c r="BI11" s="8">
        <f t="shared" si="74"/>
        <v>-5.6325323954280034E-2</v>
      </c>
      <c r="BJ11" s="8">
        <f t="shared" si="75"/>
        <v>-2.2616118821031508E-2</v>
      </c>
      <c r="BK11" s="8">
        <f t="shared" si="76"/>
        <v>-8.4341746602442508E-2</v>
      </c>
      <c r="BL11" s="8">
        <f t="shared" si="77"/>
        <v>2.9593952628210015E-2</v>
      </c>
      <c r="BM11" s="8">
        <f t="shared" si="78"/>
        <v>-8.2153618412805759E-2</v>
      </c>
      <c r="BN11" s="8">
        <f t="shared" si="79"/>
        <v>7.1205808097130799E-2</v>
      </c>
      <c r="BO11" s="8">
        <f t="shared" si="80"/>
        <v>-5.0544554046031691E-2</v>
      </c>
      <c r="BP11" s="8">
        <f t="shared" si="81"/>
        <v>8.7317368193296219E-2</v>
      </c>
      <c r="BQ11" s="8">
        <f t="shared" si="82"/>
        <v>-8.3442331821286539E-4</v>
      </c>
      <c r="BR11" s="8">
        <f t="shared" si="83"/>
        <v>7.2158744864769989E-2</v>
      </c>
      <c r="BS11" s="8">
        <f t="shared" si="84"/>
        <v>4.9174531924754163E-2</v>
      </c>
      <c r="BT11" s="8">
        <f t="shared" si="85"/>
        <v>3.1158559493033526E-2</v>
      </c>
      <c r="BU11" s="8">
        <f t="shared" si="86"/>
        <v>8.1573054502064146E-2</v>
      </c>
      <c r="BV11" s="8">
        <f t="shared" si="87"/>
        <v>-2.1000160437822993E-2</v>
      </c>
      <c r="BW11" s="8">
        <f t="shared" si="88"/>
        <v>8.4758553031911363E-2</v>
      </c>
      <c r="BX11" s="8">
        <f t="shared" si="89"/>
        <v>-6.5638281862034728E-2</v>
      </c>
      <c r="BY11" s="8">
        <f t="shared" si="90"/>
        <v>5.7590233587629429E-2</v>
      </c>
      <c r="BZ11" s="8">
        <f t="shared" si="91"/>
        <v>-8.6769955989716124E-2</v>
      </c>
      <c r="CA11" s="8">
        <f t="shared" si="92"/>
        <v>9.7976419622460148E-3</v>
      </c>
      <c r="CB11" s="8">
        <f t="shared" si="93"/>
        <v>-7.682748649978037E-2</v>
      </c>
      <c r="CC11" s="8">
        <f t="shared" si="94"/>
        <v>-4.1503691023855968E-2</v>
      </c>
      <c r="CD11" s="8">
        <f t="shared" si="95"/>
        <v>-3.9371480532337584E-2</v>
      </c>
      <c r="CE11" s="8">
        <f t="shared" si="96"/>
        <v>-7.7941680577014755E-2</v>
      </c>
      <c r="CF11" s="8">
        <f t="shared" si="97"/>
        <v>1.2184279509488477E-2</v>
      </c>
      <c r="CG11" s="8">
        <f t="shared" si="98"/>
        <v>-8.6467117352854408E-2</v>
      </c>
      <c r="CH11" s="8">
        <f t="shared" si="99"/>
        <v>5.937659315980217E-2</v>
      </c>
      <c r="CI11" s="8">
        <f t="shared" si="100"/>
        <v>-6.402686338727652E-2</v>
      </c>
      <c r="CJ11" s="8">
        <f t="shared" si="101"/>
        <v>8.5304901748372935E-2</v>
      </c>
      <c r="CK11" s="8">
        <f t="shared" si="102"/>
        <v>-1.8657244924641915E-2</v>
      </c>
      <c r="CL11" s="8">
        <f t="shared" si="103"/>
        <v>8.0683733412813124E-2</v>
      </c>
      <c r="CM11" s="8">
        <f t="shared" si="104"/>
        <v>3.3393924792508897E-2</v>
      </c>
      <c r="CN11" s="8">
        <f t="shared" si="105"/>
        <v>4.7168025589732356E-2</v>
      </c>
      <c r="CO11" s="8">
        <f t="shared" si="106"/>
        <v>7.348602868875137E-2</v>
      </c>
      <c r="CP11" s="8">
        <f t="shared" si="107"/>
        <v>-3.2395428389764783E-3</v>
      </c>
      <c r="CQ11" s="8">
        <f t="shared" si="108"/>
        <v>8.7261242328264335E-2</v>
      </c>
      <c r="CR11" s="8">
        <f t="shared" si="109"/>
        <v>-5.2486962938859523E-2</v>
      </c>
      <c r="CS11" s="8">
        <f t="shared" si="110"/>
        <v>6.9786372394131671E-2</v>
      </c>
      <c r="CT11" s="8">
        <f t="shared" si="111"/>
        <v>-8.2937699257918801E-2</v>
      </c>
      <c r="CU11" s="8">
        <f t="shared" si="112"/>
        <v>2.73195368240505E-2</v>
      </c>
      <c r="CX11">
        <v>0.14631392439034166</v>
      </c>
      <c r="CY11">
        <v>0.59826096727645905</v>
      </c>
      <c r="DA11" s="21"/>
    </row>
    <row r="12" spans="1:196 16384:16384">
      <c r="A12" s="15">
        <v>10</v>
      </c>
      <c r="B12" s="16">
        <v>49</v>
      </c>
      <c r="C12" s="8">
        <f t="shared" si="113"/>
        <v>3.8918202981106265</v>
      </c>
      <c r="D12" s="8">
        <f t="shared" si="114"/>
        <v>0.6752688172043011</v>
      </c>
      <c r="E12" s="7">
        <f t="shared" si="115"/>
        <v>9.3000000000000007</v>
      </c>
      <c r="F12" s="8">
        <f>CX21</f>
        <v>0.32278756544475973</v>
      </c>
      <c r="G12" s="8">
        <f>CY21</f>
        <v>1.3413502992417217</v>
      </c>
      <c r="H12" s="8">
        <f t="shared" si="119"/>
        <v>6.5327253533100593E-2</v>
      </c>
      <c r="I12" s="8">
        <f t="shared" si="116"/>
        <v>5.2318381506141133E-2</v>
      </c>
      <c r="J12" s="8">
        <f t="shared" si="117"/>
        <v>1.8285870248093649E-2</v>
      </c>
      <c r="K12" s="8">
        <f t="shared" si="118"/>
        <v>8.1673068063285198E-2</v>
      </c>
      <c r="L12" s="8">
        <f t="shared" si="25"/>
        <v>-3.6781585980413541E-2</v>
      </c>
      <c r="M12" s="8">
        <f t="shared" si="26"/>
        <v>7.5179638402732285E-2</v>
      </c>
      <c r="N12" s="8">
        <f t="shared" si="27"/>
        <v>-7.5704790497017546E-2</v>
      </c>
      <c r="O12" s="8">
        <f t="shared" si="28"/>
        <v>3.5688202440061559E-2</v>
      </c>
      <c r="P12" s="8">
        <f t="shared" si="29"/>
        <v>-8.1399487840723192E-2</v>
      </c>
      <c r="Q12" s="8">
        <f t="shared" si="30"/>
        <v>-1.9467575012519923E-2</v>
      </c>
      <c r="R12" s="8">
        <f t="shared" si="31"/>
        <v>-5.1366149378130964E-2</v>
      </c>
      <c r="S12" s="8">
        <f t="shared" si="32"/>
        <v>-6.6078603160657598E-2</v>
      </c>
      <c r="T12" s="8">
        <f t="shared" si="33"/>
        <v>1.2129282886749137E-3</v>
      </c>
      <c r="U12" s="8">
        <f t="shared" si="34"/>
        <v>-8.3686270693385925E-2</v>
      </c>
      <c r="V12" s="8">
        <f t="shared" si="35"/>
        <v>5.3259624899066292E-2</v>
      </c>
      <c r="W12" s="8">
        <f t="shared" si="36"/>
        <v>-6.456218284112529E-2</v>
      </c>
      <c r="X12" s="8">
        <f t="shared" si="37"/>
        <v>8.192949401458173E-2</v>
      </c>
      <c r="Y12" s="8">
        <f t="shared" si="38"/>
        <v>-1.7100324795592318E-2</v>
      </c>
      <c r="Z12" s="8">
        <f t="shared" si="39"/>
        <v>7.4638695890119636E-2</v>
      </c>
      <c r="AA12" s="8">
        <f t="shared" si="40"/>
        <v>3.7867244069543421E-2</v>
      </c>
      <c r="AB12" s="8">
        <f t="shared" si="41"/>
        <v>3.4587323098215293E-2</v>
      </c>
      <c r="AC12" s="8">
        <f t="shared" si="42"/>
        <v>7.6214041872215352E-2</v>
      </c>
      <c r="AD12" s="8">
        <f t="shared" si="43"/>
        <v>-2.0645190888521105E-2</v>
      </c>
      <c r="AE12" s="8">
        <f t="shared" si="44"/>
        <v>8.1108810808546927E-2</v>
      </c>
      <c r="AF12" s="8">
        <f t="shared" si="45"/>
        <v>-6.6816073913447946E-2</v>
      </c>
      <c r="AG12" s="8">
        <f t="shared" si="46"/>
        <v>5.040312851790843E-2</v>
      </c>
      <c r="AH12" s="8">
        <f t="shared" si="47"/>
        <v>-8.3659904096383506E-2</v>
      </c>
      <c r="AI12" s="8">
        <f t="shared" si="48"/>
        <v>-2.425601818940686E-3</v>
      </c>
      <c r="AJ12" s="8">
        <f t="shared" si="49"/>
        <v>-6.3783551776995379E-2</v>
      </c>
      <c r="AK12" s="8">
        <f t="shared" si="50"/>
        <v>-5.4189681862061925E-2</v>
      </c>
      <c r="AL12" s="8">
        <f t="shared" si="51"/>
        <v>-1.5911187662048246E-2</v>
      </c>
      <c r="AM12" s="8">
        <f t="shared" si="52"/>
        <v>-8.2168711835973282E-2</v>
      </c>
      <c r="AN12" s="8">
        <f t="shared" si="53"/>
        <v>3.8944948680345065E-2</v>
      </c>
      <c r="AO12" s="8">
        <f t="shared" si="54"/>
        <v>-7.4082076576493336E-2</v>
      </c>
      <c r="AP12" s="8">
        <f t="shared" si="55"/>
        <v>7.6707285567286648E-2</v>
      </c>
      <c r="AQ12" s="8">
        <f t="shared" si="56"/>
        <v>-3.3479179178989307E-2</v>
      </c>
      <c r="AR12" s="8">
        <f t="shared" si="57"/>
        <v>8.0801098019350343E-2</v>
      </c>
      <c r="AS12" s="8">
        <f t="shared" si="58"/>
        <v>2.1818470534560187E-2</v>
      </c>
      <c r="AT12" s="8">
        <f t="shared" si="59"/>
        <v>4.9429521194366666E-2</v>
      </c>
      <c r="AU12" s="8">
        <f t="shared" si="60"/>
        <v>6.7539510896184235E-2</v>
      </c>
      <c r="AV12" s="8">
        <f t="shared" si="61"/>
        <v>-3.63776588589672E-3</v>
      </c>
      <c r="AW12" s="8">
        <f t="shared" si="62"/>
        <v>8.3615965921345056E-2</v>
      </c>
      <c r="AX12" s="8">
        <f t="shared" si="63"/>
        <v>-5.5108357049834779E-2</v>
      </c>
      <c r="AY12" s="8">
        <f t="shared" si="64"/>
        <v>6.2991523881138628E-2</v>
      </c>
      <c r="AZ12" s="8">
        <f t="shared" si="65"/>
        <v>-8.2390671283144395E-2</v>
      </c>
      <c r="BA12" s="8">
        <f t="shared" si="66"/>
        <v>1.4718708608875303E-2</v>
      </c>
      <c r="BB12" s="8">
        <f t="shared" si="67"/>
        <v>-7.3509897371857244E-2</v>
      </c>
      <c r="BC12" s="8">
        <f t="shared" si="68"/>
        <v>-4.0014473456227669E-2</v>
      </c>
      <c r="BD12" s="8">
        <f t="shared" si="69"/>
        <v>-3.236400343232021E-2</v>
      </c>
      <c r="BE12" s="8">
        <f t="shared" si="70"/>
        <v>-7.7184417983378606E-2</v>
      </c>
      <c r="BF12" s="8">
        <f t="shared" si="71"/>
        <v>2.2987167519864085E-2</v>
      </c>
      <c r="BG12" s="8">
        <f t="shared" si="72"/>
        <v>-8.0476414103846844E-2</v>
      </c>
      <c r="BH12" s="8">
        <f t="shared" si="73"/>
        <v>6.824876216117394E-2</v>
      </c>
      <c r="BI12" s="8">
        <f t="shared" si="74"/>
        <v>-4.8445531899935258E-2</v>
      </c>
      <c r="BJ12" s="8">
        <f t="shared" si="75"/>
        <v>8.3554465396862038E-2</v>
      </c>
      <c r="BK12" s="8">
        <f t="shared" si="76"/>
        <v>4.8491658916473774E-3</v>
      </c>
      <c r="BL12" s="8">
        <f t="shared" si="77"/>
        <v>6.2186265507797614E-2</v>
      </c>
      <c r="BM12" s="8">
        <f t="shared" si="78"/>
        <v>5.6015457507672235E-2</v>
      </c>
      <c r="BN12" s="8">
        <f t="shared" si="79"/>
        <v>1.3523138099410324E-2</v>
      </c>
      <c r="BO12" s="8">
        <f t="shared" si="80"/>
        <v>8.2595325736656622E-2</v>
      </c>
      <c r="BP12" s="8">
        <f t="shared" si="81"/>
        <v>-4.1075593758659115E-2</v>
      </c>
      <c r="BQ12" s="8">
        <f t="shared" si="82"/>
        <v>7.2922278454349856E-2</v>
      </c>
      <c r="BR12" s="8">
        <f t="shared" si="83"/>
        <v>-7.7645338905584615E-2</v>
      </c>
      <c r="BS12" s="8">
        <f t="shared" si="84"/>
        <v>3.1242030085079954E-2</v>
      </c>
      <c r="BT12" s="8">
        <f t="shared" si="85"/>
        <v>-8.0134827257294663E-2</v>
      </c>
      <c r="BU12" s="8">
        <f t="shared" si="86"/>
        <v>-2.4151036376182218E-2</v>
      </c>
      <c r="BV12" s="8">
        <f t="shared" si="87"/>
        <v>-4.7451367307630166E-2</v>
      </c>
      <c r="BW12" s="8">
        <f t="shared" si="88"/>
        <v>-6.8943678740233313E-2</v>
      </c>
      <c r="BX12" s="8">
        <f t="shared" si="89"/>
        <v>6.0595473987784428E-3</v>
      </c>
      <c r="BY12" s="8">
        <f t="shared" si="90"/>
        <v>-8.3475415440248585E-2</v>
      </c>
      <c r="BZ12" s="8">
        <f t="shared" si="91"/>
        <v>5.6910792711969999E-2</v>
      </c>
      <c r="CA12" s="8">
        <f t="shared" si="92"/>
        <v>-6.1367945790089112E-2</v>
      </c>
      <c r="CB12" s="8">
        <f t="shared" si="93"/>
        <v>8.2782632211740384E-2</v>
      </c>
      <c r="CC12" s="8">
        <f t="shared" si="94"/>
        <v>-1.232472724630675E-2</v>
      </c>
      <c r="CD12" s="8">
        <f t="shared" si="95"/>
        <v>7.2319343245002762E-2</v>
      </c>
      <c r="CE12" s="8">
        <f t="shared" si="96"/>
        <v>4.2128086714347805E-2</v>
      </c>
      <c r="CF12" s="8">
        <f t="shared" si="97"/>
        <v>3.0113494791880371E-2</v>
      </c>
      <c r="CG12" s="8">
        <f t="shared" si="98"/>
        <v>7.8089951523992687E-2</v>
      </c>
      <c r="CH12" s="8">
        <f t="shared" si="99"/>
        <v>-2.5309832649344565E-2</v>
      </c>
      <c r="CI12" s="8">
        <f t="shared" si="100"/>
        <v>7.9776409225173234E-2</v>
      </c>
      <c r="CJ12" s="8">
        <f t="shared" si="101"/>
        <v>-6.9624114675976664E-2</v>
      </c>
      <c r="CK12" s="8">
        <f t="shared" si="102"/>
        <v>4.6447236227644198E-2</v>
      </c>
      <c r="CL12" s="8">
        <f t="shared" si="103"/>
        <v>-8.3378832654828566E-2</v>
      </c>
      <c r="CM12" s="8">
        <f t="shared" si="104"/>
        <v>-7.2686561837954277E-3</v>
      </c>
      <c r="CN12" s="8">
        <f t="shared" si="105"/>
        <v>-6.053673660448089E-2</v>
      </c>
      <c r="CO12" s="8">
        <f t="shared" si="106"/>
        <v>-5.7794174610248016E-2</v>
      </c>
      <c r="CP12" s="8">
        <f t="shared" si="107"/>
        <v>-1.1123727758791987E-2</v>
      </c>
      <c r="CQ12" s="8">
        <f t="shared" si="108"/>
        <v>-8.2952551367323324E-2</v>
      </c>
      <c r="CR12" s="8">
        <f t="shared" si="109"/>
        <v>4.317173126205414E-2</v>
      </c>
      <c r="CS12" s="8">
        <f t="shared" si="110"/>
        <v>-7.1701218381817686E-2</v>
      </c>
      <c r="CT12" s="8">
        <f t="shared" si="111"/>
        <v>7.8518162454019061E-2</v>
      </c>
      <c r="CU12" s="8">
        <f t="shared" si="112"/>
        <v>-2.8978634585577107E-2</v>
      </c>
      <c r="DA12" s="20">
        <v>4.268354447233326E-2</v>
      </c>
    </row>
    <row r="13" spans="1:196 16384:16384">
      <c r="A13" s="15">
        <v>11</v>
      </c>
      <c r="B13" s="16">
        <v>52</v>
      </c>
      <c r="C13" s="8">
        <f t="shared" si="113"/>
        <v>3.9512437185814275</v>
      </c>
      <c r="D13" s="8">
        <f t="shared" si="114"/>
        <v>0.74279569892473118</v>
      </c>
      <c r="E13" s="7">
        <f t="shared" si="115"/>
        <v>8.454545454545455</v>
      </c>
      <c r="F13" s="8">
        <f>CX23</f>
        <v>0.22816077428920709</v>
      </c>
      <c r="G13" s="8">
        <f>CY23</f>
        <v>0.93991349497941101</v>
      </c>
      <c r="H13" s="8">
        <f t="shared" si="119"/>
        <v>6.2589448336043754E-2</v>
      </c>
      <c r="I13" s="8">
        <f t="shared" si="116"/>
        <v>5.747146100542741E-2</v>
      </c>
      <c r="J13" s="8">
        <f t="shared" si="117"/>
        <v>7.2313597781973509E-3</v>
      </c>
      <c r="K13" s="8">
        <f t="shared" si="118"/>
        <v>8.4664722930314518E-2</v>
      </c>
      <c r="L13" s="8">
        <f t="shared" si="25"/>
        <v>-5.1936490131750314E-2</v>
      </c>
      <c r="M13" s="8">
        <f t="shared" si="26"/>
        <v>6.7253318623717431E-2</v>
      </c>
      <c r="N13" s="8">
        <f t="shared" si="27"/>
        <v>-8.3742178714267174E-2</v>
      </c>
      <c r="O13" s="8">
        <f t="shared" si="28"/>
        <v>1.4410252506337021E-2</v>
      </c>
      <c r="P13" s="8">
        <f t="shared" si="29"/>
        <v>-7.1429233209696616E-2</v>
      </c>
      <c r="Q13" s="8">
        <f t="shared" si="30"/>
        <v>-4.6024694634331148E-2</v>
      </c>
      <c r="R13" s="8">
        <f t="shared" si="31"/>
        <v>-2.1484591808456677E-2</v>
      </c>
      <c r="S13" s="8">
        <f t="shared" si="32"/>
        <v>-8.221204405640728E-2</v>
      </c>
      <c r="T13" s="8">
        <f t="shared" si="33"/>
        <v>3.9778967479335008E-2</v>
      </c>
      <c r="U13" s="8">
        <f t="shared" si="34"/>
        <v>-7.5086893792370074E-2</v>
      </c>
      <c r="V13" s="8">
        <f t="shared" si="35"/>
        <v>8.0085420831645118E-2</v>
      </c>
      <c r="W13" s="8">
        <f t="shared" si="36"/>
        <v>-2.8403049894808106E-2</v>
      </c>
      <c r="X13" s="8">
        <f t="shared" si="37"/>
        <v>7.819976225625587E-2</v>
      </c>
      <c r="Y13" s="8">
        <f t="shared" si="38"/>
        <v>3.3244624470336812E-2</v>
      </c>
      <c r="Z13" s="8">
        <f t="shared" si="39"/>
        <v>3.5115429970061993E-2</v>
      </c>
      <c r="AA13" s="8">
        <f t="shared" si="40"/>
        <v>7.7377738731022161E-2</v>
      </c>
      <c r="AB13" s="8">
        <f t="shared" si="41"/>
        <v>-2.6469075460014521E-2</v>
      </c>
      <c r="AC13" s="8">
        <f t="shared" si="42"/>
        <v>8.074525321900175E-2</v>
      </c>
      <c r="AD13" s="8">
        <f t="shared" si="43"/>
        <v>-7.4108643311760231E-2</v>
      </c>
      <c r="AE13" s="8">
        <f t="shared" si="44"/>
        <v>4.1573030435595522E-2</v>
      </c>
      <c r="AF13" s="8">
        <f t="shared" si="45"/>
        <v>-8.2704897899374213E-2</v>
      </c>
      <c r="AG13" s="8">
        <f t="shared" si="46"/>
        <v>-1.9501480368493619E-2</v>
      </c>
      <c r="AH13" s="8">
        <f t="shared" si="47"/>
        <v>-4.7728998243397207E-2</v>
      </c>
      <c r="AI13" s="8">
        <f t="shared" si="48"/>
        <v>-7.0301853459140334E-2</v>
      </c>
      <c r="AJ13" s="8">
        <f t="shared" si="49"/>
        <v>1.2392392504095132E-2</v>
      </c>
      <c r="AK13" s="8">
        <f t="shared" si="50"/>
        <v>-8.4064478117294603E-2</v>
      </c>
      <c r="AL13" s="8">
        <f t="shared" si="51"/>
        <v>6.5984989294396099E-2</v>
      </c>
      <c r="AM13" s="8">
        <f t="shared" si="52"/>
        <v>-5.3538668837832419E-2</v>
      </c>
      <c r="AN13" s="8">
        <f t="shared" si="53"/>
        <v>8.4814129453685577E-2</v>
      </c>
      <c r="AO13" s="8">
        <f t="shared" si="54"/>
        <v>5.1933917743724554E-3</v>
      </c>
      <c r="AP13" s="8">
        <f t="shared" si="55"/>
        <v>5.8959890218828519E-2</v>
      </c>
      <c r="AQ13" s="8">
        <f t="shared" si="56"/>
        <v>6.1189371777232222E-2</v>
      </c>
      <c r="AR13" s="8">
        <f t="shared" si="57"/>
        <v>2.0432895513310201E-3</v>
      </c>
      <c r="AS13" s="8">
        <f t="shared" si="58"/>
        <v>8.4948412821653579E-2</v>
      </c>
      <c r="AT13" s="8">
        <f t="shared" si="59"/>
        <v>-5.5949795456951668E-2</v>
      </c>
      <c r="AU13" s="8">
        <f t="shared" si="60"/>
        <v>6.395332877523989E-2</v>
      </c>
      <c r="AV13" s="8">
        <f t="shared" si="61"/>
        <v>-8.4466353929722959E-2</v>
      </c>
      <c r="AW13" s="8">
        <f t="shared" si="62"/>
        <v>9.2651458125293067E-3</v>
      </c>
      <c r="AX13" s="8">
        <f t="shared" si="63"/>
        <v>-6.8482754669423815E-2</v>
      </c>
      <c r="AY13" s="8">
        <f t="shared" si="64"/>
        <v>-5.0304276020992154E-2</v>
      </c>
      <c r="AZ13" s="8">
        <f t="shared" si="65"/>
        <v>-1.6419778911826104E-2</v>
      </c>
      <c r="BA13" s="8">
        <f t="shared" si="66"/>
        <v>-8.3371450350796975E-2</v>
      </c>
      <c r="BB13" s="8">
        <f t="shared" si="67"/>
        <v>4.4293774472530863E-2</v>
      </c>
      <c r="BC13" s="8">
        <f t="shared" si="68"/>
        <v>-7.2515304702422859E-2</v>
      </c>
      <c r="BD13" s="8">
        <f t="shared" si="69"/>
        <v>8.167164614555654E-2</v>
      </c>
      <c r="BE13" s="8">
        <f t="shared" si="70"/>
        <v>-2.3455278488725199E-2</v>
      </c>
      <c r="BF13" s="8">
        <f t="shared" si="71"/>
        <v>7.6021720752538074E-2</v>
      </c>
      <c r="BG13" s="8">
        <f t="shared" si="72"/>
        <v>3.7961899938382643E-2</v>
      </c>
      <c r="BH13" s="8">
        <f t="shared" si="73"/>
        <v>3.0320598554670466E-2</v>
      </c>
      <c r="BI13" s="8">
        <f t="shared" si="74"/>
        <v>7.937927422441686E-2</v>
      </c>
      <c r="BJ13" s="8">
        <f t="shared" si="75"/>
        <v>-3.1354593263469295E-2</v>
      </c>
      <c r="BK13" s="8">
        <f t="shared" si="76"/>
        <v>7.897656205730319E-2</v>
      </c>
      <c r="BL13" s="8">
        <f t="shared" si="77"/>
        <v>-7.6510966866233807E-2</v>
      </c>
      <c r="BM13" s="8">
        <f t="shared" si="78"/>
        <v>3.696592785664559E-2</v>
      </c>
      <c r="BN13" s="8">
        <f t="shared" si="79"/>
        <v>-8.1358389798652758E-2</v>
      </c>
      <c r="BO13" s="8">
        <f t="shared" si="80"/>
        <v>-2.4519793687531925E-2</v>
      </c>
      <c r="BP13" s="8">
        <f t="shared" si="81"/>
        <v>-4.3343051282164549E-2</v>
      </c>
      <c r="BQ13" s="8">
        <f t="shared" si="82"/>
        <v>-7.308753504299012E-2</v>
      </c>
      <c r="BR13" s="8">
        <f t="shared" si="83"/>
        <v>1.7507091022511849E-2</v>
      </c>
      <c r="BS13" s="8">
        <f t="shared" si="84"/>
        <v>-8.3149922652027405E-2</v>
      </c>
      <c r="BT13" s="8">
        <f t="shared" si="85"/>
        <v>6.9133817426021357E-2</v>
      </c>
      <c r="BU13" s="8">
        <f t="shared" si="86"/>
        <v>-4.9405699683479874E-2</v>
      </c>
      <c r="BV13" s="8">
        <f t="shared" si="87"/>
        <v>8.4338162170830386E-2</v>
      </c>
      <c r="BW13" s="8">
        <f t="shared" si="88"/>
        <v>1.0367365854225936E-2</v>
      </c>
      <c r="BX13" s="8">
        <f t="shared" si="89"/>
        <v>5.5109885582868057E-2</v>
      </c>
      <c r="BY13" s="8">
        <f t="shared" si="90"/>
        <v>6.4678500169313202E-2</v>
      </c>
      <c r="BZ13" s="8">
        <f t="shared" si="91"/>
        <v>-3.1524203788440099E-3</v>
      </c>
      <c r="CA13" s="8">
        <f t="shared" si="92"/>
        <v>8.4914487096512017E-2</v>
      </c>
      <c r="CB13" s="8">
        <f t="shared" si="93"/>
        <v>-5.9753908777432169E-2</v>
      </c>
      <c r="CC13" s="8">
        <f t="shared" si="94"/>
        <v>6.0414222323282203E-2</v>
      </c>
      <c r="CD13" s="8">
        <f t="shared" si="95"/>
        <v>-8.4874715910014678E-2</v>
      </c>
      <c r="CE13" s="8">
        <f t="shared" si="96"/>
        <v>4.0853974473674939E-3</v>
      </c>
      <c r="CF13" s="8">
        <f t="shared" si="97"/>
        <v>-6.5280224348780544E-2</v>
      </c>
      <c r="CG13" s="8">
        <f t="shared" si="98"/>
        <v>-5.4395773568187589E-2</v>
      </c>
      <c r="CH13" s="8">
        <f t="shared" si="99"/>
        <v>-1.1293573718055401E-2</v>
      </c>
      <c r="CI13" s="8">
        <f t="shared" si="100"/>
        <v>-8.4219137170737535E-2</v>
      </c>
      <c r="CJ13" s="8">
        <f t="shared" si="101"/>
        <v>4.8642970431711237E-2</v>
      </c>
      <c r="CK13" s="8">
        <f t="shared" si="102"/>
        <v>-6.9672586436046152E-2</v>
      </c>
      <c r="CL13" s="8">
        <f t="shared" si="103"/>
        <v>8.2952507422897129E-2</v>
      </c>
      <c r="CM13" s="8">
        <f t="shared" si="104"/>
        <v>-1.8419809590841385E-2</v>
      </c>
      <c r="CN13" s="8">
        <f t="shared" si="105"/>
        <v>7.3559439851040936E-2</v>
      </c>
      <c r="CO13" s="8">
        <f t="shared" si="106"/>
        <v>4.2537238766870454E-2</v>
      </c>
      <c r="CP13" s="8">
        <f t="shared" si="107"/>
        <v>2.5412400740989563E-2</v>
      </c>
      <c r="CQ13" s="8">
        <f t="shared" si="108"/>
        <v>8.1084016684473695E-2</v>
      </c>
      <c r="CR13" s="8">
        <f t="shared" si="109"/>
        <v>-3.612287864152551E-2</v>
      </c>
      <c r="CS13" s="8">
        <f t="shared" si="110"/>
        <v>7.6912583572249574E-2</v>
      </c>
      <c r="CT13" s="8">
        <f t="shared" si="111"/>
        <v>-7.8627221769139222E-2</v>
      </c>
      <c r="CU13" s="8">
        <f t="shared" si="112"/>
        <v>3.2220612501553302E-2</v>
      </c>
      <c r="CX13">
        <v>0.24030423318309682</v>
      </c>
      <c r="CY13">
        <v>0.99104046213164454</v>
      </c>
      <c r="DA13" s="21"/>
    </row>
    <row r="14" spans="1:196 16384:16384">
      <c r="A14" s="15">
        <v>12</v>
      </c>
      <c r="B14" s="16">
        <v>63</v>
      </c>
      <c r="C14" s="8">
        <f t="shared" si="113"/>
        <v>4.1431347263915326</v>
      </c>
      <c r="D14" s="8">
        <f t="shared" si="114"/>
        <v>0.81032258064516127</v>
      </c>
      <c r="E14" s="7">
        <f t="shared" si="115"/>
        <v>7.7500000000000009</v>
      </c>
      <c r="F14" s="8">
        <f>CX25</f>
        <v>3.3556331970729006E-2</v>
      </c>
      <c r="G14" s="8">
        <f>CY25</f>
        <v>0.13581649401796231</v>
      </c>
      <c r="H14" s="8">
        <f t="shared" si="119"/>
        <v>6.1413263365609982E-2</v>
      </c>
      <c r="I14" s="8">
        <f t="shared" si="116"/>
        <v>6.4553563422052027E-2</v>
      </c>
      <c r="J14" s="8">
        <f t="shared" si="117"/>
        <v>-4.4396755504804699E-3</v>
      </c>
      <c r="K14" s="8">
        <f t="shared" si="118"/>
        <v>8.8988992289524962E-2</v>
      </c>
      <c r="L14" s="8">
        <f t="shared" si="25"/>
        <v>-6.7533487136165388E-2</v>
      </c>
      <c r="M14" s="8">
        <f t="shared" si="26"/>
        <v>5.8120388702485912E-2</v>
      </c>
      <c r="N14" s="8">
        <f t="shared" si="27"/>
        <v>-8.8657229522802916E-2</v>
      </c>
      <c r="O14" s="8">
        <f t="shared" si="28"/>
        <v>-8.8683212075179249E-3</v>
      </c>
      <c r="P14" s="8">
        <f t="shared" si="29"/>
        <v>-5.468312022342503E-2</v>
      </c>
      <c r="Q14" s="8">
        <f t="shared" si="30"/>
        <v>-7.0345631209970047E-2</v>
      </c>
      <c r="R14" s="8">
        <f t="shared" si="31"/>
        <v>1.3274934480245915E-2</v>
      </c>
      <c r="S14" s="8">
        <f t="shared" si="32"/>
        <v>-8.8105207463826149E-2</v>
      </c>
      <c r="T14" s="8">
        <f t="shared" si="33"/>
        <v>7.2983009175845076E-2</v>
      </c>
      <c r="U14" s="8">
        <f t="shared" si="34"/>
        <v>-5.1109997449982125E-2</v>
      </c>
      <c r="V14" s="8">
        <f t="shared" si="35"/>
        <v>8.7334297551660278E-2</v>
      </c>
      <c r="W14" s="8">
        <f t="shared" si="36"/>
        <v>1.7648567614872615E-2</v>
      </c>
      <c r="X14" s="8">
        <f t="shared" si="37"/>
        <v>4.7409897419003977E-2</v>
      </c>
      <c r="Y14" s="8">
        <f t="shared" si="38"/>
        <v>7.5439068753651681E-2</v>
      </c>
      <c r="Z14" s="8">
        <f t="shared" si="39"/>
        <v>-2.1978354793190005E-2</v>
      </c>
      <c r="AA14" s="8">
        <f t="shared" si="40"/>
        <v>8.6346415028554183E-2</v>
      </c>
      <c r="AB14" s="8">
        <f t="shared" si="41"/>
        <v>-7.7707708129163805E-2</v>
      </c>
      <c r="AC14" s="8">
        <f t="shared" si="42"/>
        <v>4.3592012628592379E-2</v>
      </c>
      <c r="AD14" s="8">
        <f t="shared" si="43"/>
        <v>-8.514401418172779E-2</v>
      </c>
      <c r="AE14" s="8">
        <f t="shared" si="44"/>
        <v>-2.6253539127523429E-2</v>
      </c>
      <c r="AF14" s="8">
        <f t="shared" si="45"/>
        <v>-3.9665828200337372E-2</v>
      </c>
      <c r="AG14" s="8">
        <f t="shared" si="46"/>
        <v>-7.9783291113365254E-2</v>
      </c>
      <c r="AH14" s="8">
        <f t="shared" si="47"/>
        <v>3.0463499385055427E-2</v>
      </c>
      <c r="AI14" s="8">
        <f t="shared" si="48"/>
        <v>-8.3730082245960999E-2</v>
      </c>
      <c r="AJ14" s="8">
        <f t="shared" si="49"/>
        <v>8.1660661144951768E-2</v>
      </c>
      <c r="AK14" s="8">
        <f t="shared" si="50"/>
        <v>-3.5641098314558584E-2</v>
      </c>
      <c r="AL14" s="8">
        <f t="shared" si="51"/>
        <v>8.2108131982132418E-2</v>
      </c>
      <c r="AM14" s="8">
        <f t="shared" si="52"/>
        <v>3.459777637512837E-2</v>
      </c>
      <c r="AN14" s="8">
        <f t="shared" si="53"/>
        <v>3.1527821977100676E-2</v>
      </c>
      <c r="AO14" s="8">
        <f t="shared" si="54"/>
        <v>8.3335154101248976E-2</v>
      </c>
      <c r="AP14" s="8">
        <f t="shared" si="55"/>
        <v>-3.8646098933972285E-2</v>
      </c>
      <c r="AQ14" s="8">
        <f t="shared" si="56"/>
        <v>8.0282192950144882E-2</v>
      </c>
      <c r="AR14" s="8">
        <f t="shared" si="57"/>
        <v>-8.4802609885720762E-2</v>
      </c>
      <c r="AS14" s="8">
        <f t="shared" si="58"/>
        <v>2.7336218177884855E-2</v>
      </c>
      <c r="AT14" s="8">
        <f t="shared" si="59"/>
        <v>-7.8256801497920067E-2</v>
      </c>
      <c r="AU14" s="8">
        <f t="shared" si="60"/>
        <v>-4.2598409442299631E-2</v>
      </c>
      <c r="AV14" s="8">
        <f t="shared" si="61"/>
        <v>-2.3076700502934634E-2</v>
      </c>
      <c r="AW14" s="8">
        <f t="shared" si="62"/>
        <v>-8.6059382763278777E-2</v>
      </c>
      <c r="AX14" s="8">
        <f t="shared" si="63"/>
        <v>4.644488881237193E-2</v>
      </c>
      <c r="AY14" s="8">
        <f t="shared" si="64"/>
        <v>-7.6036989491332946E-2</v>
      </c>
      <c r="AZ14" s="8">
        <f t="shared" si="65"/>
        <v>8.7102350417716898E-2</v>
      </c>
      <c r="BA14" s="8">
        <f t="shared" si="66"/>
        <v>-1.8759851262947682E-2</v>
      </c>
      <c r="BB14" s="8">
        <f t="shared" si="67"/>
        <v>7.3628271813085761E-2</v>
      </c>
      <c r="BC14" s="8">
        <f t="shared" si="68"/>
        <v>5.0175980882460371E-2</v>
      </c>
      <c r="BD14" s="8">
        <f t="shared" si="69"/>
        <v>1.4396395202691006E-2</v>
      </c>
      <c r="BE14" s="8">
        <f t="shared" si="70"/>
        <v>8.7928921708767704E-2</v>
      </c>
      <c r="BF14" s="8">
        <f t="shared" si="71"/>
        <v>-5.3782416158096515E-2</v>
      </c>
      <c r="BG14" s="8">
        <f t="shared" si="72"/>
        <v>7.10366326615781E-2</v>
      </c>
      <c r="BH14" s="8">
        <f t="shared" si="73"/>
        <v>-8.853704310951023E-2</v>
      </c>
      <c r="BI14" s="8">
        <f t="shared" si="74"/>
        <v>9.9971728565326403E-3</v>
      </c>
      <c r="BJ14" s="8">
        <f t="shared" si="75"/>
        <v>-6.8268510683814607E-2</v>
      </c>
      <c r="BK14" s="8">
        <f t="shared" si="76"/>
        <v>-5.7255234841126608E-2</v>
      </c>
      <c r="BL14" s="8">
        <f t="shared" si="77"/>
        <v>-5.573113616307317E-3</v>
      </c>
      <c r="BM14" s="8">
        <f t="shared" si="78"/>
        <v>-8.8925203808135289E-2</v>
      </c>
      <c r="BN14" s="8">
        <f t="shared" si="79"/>
        <v>6.0585809089361439E-2</v>
      </c>
      <c r="BO14" s="8">
        <f t="shared" si="80"/>
        <v>-6.5330782979282548E-2</v>
      </c>
      <c r="BP14" s="8">
        <f t="shared" si="81"/>
        <v>8.9092439461393905E-2</v>
      </c>
      <c r="BQ14" s="8">
        <f t="shared" si="82"/>
        <v>-1.13520857842522E-3</v>
      </c>
      <c r="BR14" s="8">
        <f t="shared" si="83"/>
        <v>6.2230748014542682E-2</v>
      </c>
      <c r="BS14" s="8">
        <f t="shared" si="84"/>
        <v>6.3765864451516371E-2</v>
      </c>
      <c r="BT14" s="8">
        <f t="shared" si="85"/>
        <v>-3.3055167623172667E-3</v>
      </c>
      <c r="BU14" s="8">
        <f t="shared" si="86"/>
        <v>8.9038334590403848E-2</v>
      </c>
      <c r="BV14" s="8">
        <f t="shared" si="87"/>
        <v>-6.6787500424190072E-2</v>
      </c>
      <c r="BW14" s="8">
        <f t="shared" si="88"/>
        <v>5.8976107490978751E-2</v>
      </c>
      <c r="BX14" s="8">
        <f t="shared" si="89"/>
        <v>-8.8763023612861855E-2</v>
      </c>
      <c r="BY14" s="8">
        <f t="shared" si="90"/>
        <v>-7.7380299043874647E-3</v>
      </c>
      <c r="BZ14" s="8">
        <f t="shared" si="91"/>
        <v>-5.5574947210754025E-2</v>
      </c>
      <c r="CA14" s="8">
        <f t="shared" si="92"/>
        <v>-6.9643210079810156E-2</v>
      </c>
      <c r="CB14" s="8">
        <f t="shared" si="93"/>
        <v>1.215131874857062E-2</v>
      </c>
      <c r="CC14" s="8">
        <f t="shared" si="94"/>
        <v>-8.826719050909744E-2</v>
      </c>
      <c r="CD14" s="8">
        <f t="shared" si="95"/>
        <v>7.2325898716782452E-2</v>
      </c>
      <c r="CE14" s="8">
        <f t="shared" si="96"/>
        <v>-5.2035716988510811E-2</v>
      </c>
      <c r="CF14" s="8">
        <f t="shared" si="97"/>
        <v>8.7552067122797811E-2</v>
      </c>
      <c r="CG14" s="8">
        <f t="shared" si="98"/>
        <v>1.6534418956339943E-2</v>
      </c>
      <c r="CH14" s="8">
        <f t="shared" si="99"/>
        <v>4.8367209658720378E-2</v>
      </c>
      <c r="CI14" s="8">
        <f t="shared" si="100"/>
        <v>7.4828901485509275E-2</v>
      </c>
      <c r="CJ14" s="8">
        <f t="shared" si="101"/>
        <v>-2.0876441189568485E-2</v>
      </c>
      <c r="CK14" s="8">
        <f t="shared" si="102"/>
        <v>8.6619430100625547E-2</v>
      </c>
      <c r="CL14" s="8">
        <f t="shared" si="103"/>
        <v>-7.7145999946486757E-2</v>
      </c>
      <c r="CM14" s="8">
        <f t="shared" si="104"/>
        <v>4.4578539230837648E-2</v>
      </c>
      <c r="CN14" s="8">
        <f t="shared" si="105"/>
        <v>-8.5471596478331954E-2</v>
      </c>
      <c r="CO14" s="8">
        <f t="shared" si="106"/>
        <v>-2.5166598163912816E-2</v>
      </c>
      <c r="CP14" s="8">
        <f t="shared" si="107"/>
        <v>-4.0679118246529554E-2</v>
      </c>
      <c r="CQ14" s="8">
        <f t="shared" si="108"/>
        <v>-7.9271437519345733E-2</v>
      </c>
      <c r="CR14" s="8">
        <f t="shared" si="109"/>
        <v>2.93942314486502E-2</v>
      </c>
      <c r="CS14" s="8">
        <f t="shared" si="110"/>
        <v>-8.4111417924333257E-2</v>
      </c>
      <c r="CT14" s="8">
        <f t="shared" si="111"/>
        <v>8.1199933784450881E-2</v>
      </c>
      <c r="CU14" s="8">
        <f t="shared" si="112"/>
        <v>-3.6678634395236963E-2</v>
      </c>
      <c r="DA14" s="20">
        <v>1.9974225694087858E-2</v>
      </c>
    </row>
    <row r="15" spans="1:196 16384:16384">
      <c r="A15" s="15">
        <v>13</v>
      </c>
      <c r="B15" s="16">
        <v>59</v>
      </c>
      <c r="C15" s="8">
        <f t="shared" si="113"/>
        <v>4.0775374439057197</v>
      </c>
      <c r="D15" s="8">
        <f t="shared" si="114"/>
        <v>0.87784946236559136</v>
      </c>
      <c r="E15" s="7">
        <f t="shared" si="115"/>
        <v>7.1538461538461542</v>
      </c>
      <c r="F15" s="8">
        <f>CX27</f>
        <v>0.30427294363284835</v>
      </c>
      <c r="G15" s="8">
        <f>CY27</f>
        <v>1.2622542962977774</v>
      </c>
      <c r="H15" s="8">
        <f t="shared" si="119"/>
        <v>5.6016347643999653E-2</v>
      </c>
      <c r="I15" s="8">
        <f t="shared" si="116"/>
        <v>6.7464994882484808E-2</v>
      </c>
      <c r="J15" s="8">
        <f t="shared" si="117"/>
        <v>-1.6121687979921022E-2</v>
      </c>
      <c r="K15" s="8">
        <f t="shared" si="118"/>
        <v>8.6194245251902959E-2</v>
      </c>
      <c r="L15" s="8">
        <f t="shared" si="25"/>
        <v>-7.6613647473881274E-2</v>
      </c>
      <c r="M15" s="8">
        <f t="shared" si="26"/>
        <v>4.2658009313785043E-2</v>
      </c>
      <c r="N15" s="8">
        <f t="shared" si="27"/>
        <v>-8.1761007060807342E-2</v>
      </c>
      <c r="O15" s="8">
        <f t="shared" si="28"/>
        <v>-3.1693760620502873E-2</v>
      </c>
      <c r="P15" s="8">
        <f t="shared" si="29"/>
        <v>-2.7845388014334848E-2</v>
      </c>
      <c r="Q15" s="8">
        <f t="shared" si="30"/>
        <v>-8.3150412531738313E-2</v>
      </c>
      <c r="R15" s="8">
        <f t="shared" si="31"/>
        <v>4.6185339889666839E-2</v>
      </c>
      <c r="S15" s="8">
        <f t="shared" si="32"/>
        <v>-7.4540399228492704E-2</v>
      </c>
      <c r="T15" s="8">
        <f t="shared" si="33"/>
        <v>8.685244078928378E-2</v>
      </c>
      <c r="U15" s="8">
        <f t="shared" si="34"/>
        <v>-1.208347080979142E-2</v>
      </c>
      <c r="V15" s="8">
        <f t="shared" si="35"/>
        <v>6.4778584367021441E-2</v>
      </c>
      <c r="W15" s="8">
        <f t="shared" si="36"/>
        <v>5.9102383583674631E-2</v>
      </c>
      <c r="X15" s="8">
        <f t="shared" si="37"/>
        <v>-4.0903921486823633E-3</v>
      </c>
      <c r="Y15" s="8">
        <f t="shared" si="38"/>
        <v>8.7593523904094209E-2</v>
      </c>
      <c r="Z15" s="8">
        <f t="shared" si="39"/>
        <v>-7.000452805313763E-2</v>
      </c>
      <c r="AA15" s="8">
        <f t="shared" si="40"/>
        <v>5.2808359091384302E-2</v>
      </c>
      <c r="AB15" s="8">
        <f t="shared" si="41"/>
        <v>-8.5348397111826541E-2</v>
      </c>
      <c r="AC15" s="8">
        <f t="shared" si="42"/>
        <v>-2.0124806789360371E-2</v>
      </c>
      <c r="AD15" s="8">
        <f t="shared" si="43"/>
        <v>-3.9037808425620213E-2</v>
      </c>
      <c r="AE15" s="8">
        <f t="shared" si="44"/>
        <v>-7.8520100937223086E-2</v>
      </c>
      <c r="AF15" s="8">
        <f t="shared" si="45"/>
        <v>3.5473133067179266E-2</v>
      </c>
      <c r="AG15" s="8">
        <f t="shared" si="46"/>
        <v>-8.0193600544340937E-2</v>
      </c>
      <c r="AH15" s="8">
        <f t="shared" si="47"/>
        <v>8.4358792096807564E-2</v>
      </c>
      <c r="AI15" s="8">
        <f t="shared" si="48"/>
        <v>-2.3936393501000158E-2</v>
      </c>
      <c r="AJ15" s="8">
        <f t="shared" si="49"/>
        <v>7.230486984843762E-2</v>
      </c>
      <c r="AK15" s="8">
        <f t="shared" si="50"/>
        <v>4.9612120838234894E-2</v>
      </c>
      <c r="AL15" s="8">
        <f t="shared" si="51"/>
        <v>8.0189468399395319E-3</v>
      </c>
      <c r="AM15" s="8">
        <f t="shared" si="52"/>
        <v>8.7321550773250406E-2</v>
      </c>
      <c r="AN15" s="8">
        <f t="shared" si="53"/>
        <v>-6.2059748333381133E-2</v>
      </c>
      <c r="AO15" s="8">
        <f t="shared" si="54"/>
        <v>6.1951145063384602E-2</v>
      </c>
      <c r="AP15" s="8">
        <f t="shared" si="55"/>
        <v>-8.7307371562070302E-2</v>
      </c>
      <c r="AQ15" s="8">
        <f t="shared" si="56"/>
        <v>-8.1718791467888068E-3</v>
      </c>
      <c r="AR15" s="8">
        <f t="shared" si="57"/>
        <v>-4.9485402004632653E-2</v>
      </c>
      <c r="AS15" s="8">
        <f t="shared" si="58"/>
        <v>-7.2391655087496273E-2</v>
      </c>
      <c r="AT15" s="8">
        <f t="shared" si="59"/>
        <v>2.4084112089420448E-2</v>
      </c>
      <c r="AU15" s="8">
        <f t="shared" si="60"/>
        <v>-8.4316737856319837E-2</v>
      </c>
      <c r="AV15" s="8">
        <f t="shared" si="61"/>
        <v>8.025560909833819E-2</v>
      </c>
      <c r="AW15" s="8">
        <f t="shared" si="62"/>
        <v>-3.5332618727202524E-2</v>
      </c>
      <c r="AX15" s="8">
        <f t="shared" si="63"/>
        <v>7.8451605366906554E-2</v>
      </c>
      <c r="AY15" s="8">
        <f t="shared" si="64"/>
        <v>3.9175277321574692E-2</v>
      </c>
      <c r="AZ15" s="8">
        <f t="shared" si="65"/>
        <v>1.9975287312152853E-2</v>
      </c>
      <c r="BA15" s="8">
        <f t="shared" si="66"/>
        <v>8.5383515005322139E-2</v>
      </c>
      <c r="BB15" s="8">
        <f t="shared" si="67"/>
        <v>-5.2930891750015079E-2</v>
      </c>
      <c r="BC15" s="8">
        <f t="shared" si="68"/>
        <v>6.9911926281681802E-2</v>
      </c>
      <c r="BD15" s="8">
        <f t="shared" si="69"/>
        <v>-8.760055390929318E-2</v>
      </c>
      <c r="BE15" s="8">
        <f t="shared" si="70"/>
        <v>3.9369649035958633E-3</v>
      </c>
      <c r="BF15" s="8">
        <f t="shared" si="71"/>
        <v>-5.8988832560531779E-2</v>
      </c>
      <c r="BG15" s="8">
        <f t="shared" si="72"/>
        <v>-6.4882003444812569E-2</v>
      </c>
      <c r="BH15" s="8">
        <f t="shared" si="73"/>
        <v>1.2235575231054769E-2</v>
      </c>
      <c r="BI15" s="8">
        <f t="shared" si="74"/>
        <v>-8.6831143241537054E-2</v>
      </c>
      <c r="BJ15" s="8">
        <f t="shared" si="75"/>
        <v>7.4621178995904633E-2</v>
      </c>
      <c r="BK15" s="8">
        <f t="shared" si="76"/>
        <v>-4.6054710759359768E-2</v>
      </c>
      <c r="BL15" s="8">
        <f t="shared" si="77"/>
        <v>8.3101513500111704E-2</v>
      </c>
      <c r="BM15" s="8">
        <f t="shared" si="78"/>
        <v>2.7990984117352454E-2</v>
      </c>
      <c r="BN15" s="8">
        <f t="shared" si="79"/>
        <v>3.1550506748824654E-2</v>
      </c>
      <c r="BO15" s="8">
        <f t="shared" si="80"/>
        <v>8.181639360030174E-2</v>
      </c>
      <c r="BP15" s="8">
        <f t="shared" si="81"/>
        <v>-4.2792133483601051E-2</v>
      </c>
      <c r="BQ15" s="8">
        <f t="shared" si="82"/>
        <v>7.6538814008245484E-2</v>
      </c>
      <c r="BR15" s="8">
        <f t="shared" si="83"/>
        <v>-8.6222350343602441E-2</v>
      </c>
      <c r="BS15" s="8">
        <f t="shared" si="84"/>
        <v>1.5970693131239059E-2</v>
      </c>
      <c r="BT15" s="8">
        <f t="shared" si="85"/>
        <v>-6.7366778180993389E-2</v>
      </c>
      <c r="BU15" s="8">
        <f t="shared" si="86"/>
        <v>-5.6134427363071566E-2</v>
      </c>
      <c r="BV15" s="8">
        <f t="shared" si="87"/>
        <v>1.535881584500905E-4</v>
      </c>
      <c r="BW15" s="8">
        <f t="shared" si="88"/>
        <v>-8.7688842782561061E-2</v>
      </c>
      <c r="BX15" s="8">
        <f t="shared" si="89"/>
        <v>6.7563004615462247E-2</v>
      </c>
      <c r="BY15" s="8">
        <f t="shared" si="90"/>
        <v>-5.5898096078472605E-2</v>
      </c>
      <c r="BZ15" s="8">
        <f t="shared" si="91"/>
        <v>8.6165875734261169E-2</v>
      </c>
      <c r="CA15" s="8">
        <f t="shared" si="92"/>
        <v>1.6272633370631402E-2</v>
      </c>
      <c r="CB15" s="8">
        <f t="shared" si="93"/>
        <v>4.2523754278105889E-2</v>
      </c>
      <c r="CC15" s="8">
        <f t="shared" si="94"/>
        <v>7.6688245904847741E-2</v>
      </c>
      <c r="CD15" s="8">
        <f t="shared" si="95"/>
        <v>-3.1836917262343001E-2</v>
      </c>
      <c r="CE15" s="8">
        <f t="shared" si="96"/>
        <v>8.1705369695619465E-2</v>
      </c>
      <c r="CF15" s="8">
        <f t="shared" si="97"/>
        <v>-8.3199056475265667E-2</v>
      </c>
      <c r="CG15" s="8">
        <f t="shared" si="98"/>
        <v>2.7699706487482489E-2</v>
      </c>
      <c r="CH15" s="8">
        <f t="shared" si="99"/>
        <v>-7.4459390786704188E-2</v>
      </c>
      <c r="CI15" s="8">
        <f t="shared" si="100"/>
        <v>-4.6315827332997057E-2</v>
      </c>
      <c r="CJ15" s="8">
        <f t="shared" si="101"/>
        <v>-1.1931329318963015E-2</v>
      </c>
      <c r="CK15" s="8">
        <f t="shared" si="102"/>
        <v>-8.6873471891881812E-2</v>
      </c>
      <c r="CL15" s="8">
        <f t="shared" si="103"/>
        <v>5.9215753293048366E-2</v>
      </c>
      <c r="CM15" s="8">
        <f t="shared" si="104"/>
        <v>-6.4674966562062938E-2</v>
      </c>
      <c r="CN15" s="8">
        <f t="shared" si="105"/>
        <v>8.7586225180258312E-2</v>
      </c>
      <c r="CO15" s="8">
        <f t="shared" si="106"/>
        <v>4.2438068452997401E-3</v>
      </c>
      <c r="CP15" s="8">
        <f t="shared" si="107"/>
        <v>5.2685664427736908E-2</v>
      </c>
      <c r="CQ15" s="8">
        <f t="shared" si="108"/>
        <v>7.009691506532241E-2</v>
      </c>
      <c r="CR15" s="8">
        <f t="shared" si="109"/>
        <v>-2.0274264527863534E-2</v>
      </c>
      <c r="CS15" s="8">
        <f t="shared" si="110"/>
        <v>8.5313017387274148E-2</v>
      </c>
      <c r="CT15" s="8">
        <f t="shared" si="111"/>
        <v>-7.8588355624269426E-2</v>
      </c>
      <c r="CU15" s="8">
        <f t="shared" si="112"/>
        <v>3.8900219769822462E-2</v>
      </c>
      <c r="CX15">
        <v>0.56918401830941001</v>
      </c>
      <c r="CY15">
        <v>2.420326566715802</v>
      </c>
      <c r="DA15" s="21"/>
    </row>
    <row r="16" spans="1:196 16384:16384">
      <c r="A16" s="15">
        <v>14</v>
      </c>
      <c r="B16" s="16">
        <v>44</v>
      </c>
      <c r="C16" s="8">
        <f t="shared" si="113"/>
        <v>3.784189633918261</v>
      </c>
      <c r="D16" s="8">
        <f t="shared" si="114"/>
        <v>0.94537634408602156</v>
      </c>
      <c r="E16" s="7">
        <f t="shared" si="115"/>
        <v>6.6428571428571423</v>
      </c>
      <c r="F16" s="8">
        <f>CX29</f>
        <v>0.43131287524613038</v>
      </c>
      <c r="G16" s="8">
        <f>CY29</f>
        <v>1.8104735622655919</v>
      </c>
      <c r="H16" s="8">
        <f t="shared" si="119"/>
        <v>4.7643176317873209E-2</v>
      </c>
      <c r="I16" s="8">
        <f t="shared" si="116"/>
        <v>6.5976517591174733E-2</v>
      </c>
      <c r="J16" s="8">
        <f t="shared" si="117"/>
        <v>-2.5596188451721433E-2</v>
      </c>
      <c r="K16" s="8">
        <f t="shared" si="118"/>
        <v>7.7250296179746186E-2</v>
      </c>
      <c r="L16" s="8">
        <f t="shared" si="25"/>
        <v>-7.7613129433928132E-2</v>
      </c>
      <c r="M16" s="8">
        <f t="shared" si="26"/>
        <v>2.4473971124173204E-2</v>
      </c>
      <c r="N16" s="8">
        <f t="shared" si="27"/>
        <v>-6.5279132876391852E-2</v>
      </c>
      <c r="O16" s="8">
        <f t="shared" si="28"/>
        <v>-4.8594319976936827E-2</v>
      </c>
      <c r="P16" s="8">
        <f t="shared" si="29"/>
        <v>1.1793840170159972E-3</v>
      </c>
      <c r="Q16" s="8">
        <f t="shared" si="30"/>
        <v>-8.1371875832224452E-2</v>
      </c>
      <c r="R16" s="8">
        <f t="shared" si="31"/>
        <v>6.6660044872819055E-2</v>
      </c>
      <c r="S16" s="8">
        <f t="shared" si="32"/>
        <v>-4.668202588436255E-2</v>
      </c>
      <c r="T16" s="8">
        <f t="shared" si="33"/>
        <v>7.6871237594896114E-2</v>
      </c>
      <c r="U16" s="8">
        <f t="shared" si="34"/>
        <v>2.6713029662387134E-2</v>
      </c>
      <c r="V16" s="8">
        <f t="shared" si="35"/>
        <v>2.3346613385598895E-2</v>
      </c>
      <c r="W16" s="8">
        <f t="shared" si="36"/>
        <v>7.7959661149455489E-2</v>
      </c>
      <c r="X16" s="8">
        <f t="shared" si="37"/>
        <v>-4.9535257087298293E-2</v>
      </c>
      <c r="Y16" s="8">
        <f t="shared" si="38"/>
        <v>6.4568037204253081E-2</v>
      </c>
      <c r="Z16" s="8">
        <f t="shared" si="39"/>
        <v>-8.1346238419544623E-2</v>
      </c>
      <c r="AA16" s="8">
        <f t="shared" si="40"/>
        <v>-2.3585203211220493E-3</v>
      </c>
      <c r="AB16" s="8">
        <f t="shared" si="41"/>
        <v>-4.5711070552441294E-2</v>
      </c>
      <c r="AC16" s="8">
        <f t="shared" si="42"/>
        <v>-6.732957115609961E-2</v>
      </c>
      <c r="AD16" s="8">
        <f t="shared" si="43"/>
        <v>2.7824260179491092E-2</v>
      </c>
      <c r="AE16" s="8">
        <f t="shared" si="44"/>
        <v>-7.6476033295265325E-2</v>
      </c>
      <c r="AF16" s="8">
        <f t="shared" si="45"/>
        <v>7.8289818542249118E-2</v>
      </c>
      <c r="AG16" s="8">
        <f t="shared" si="46"/>
        <v>-2.221435202152543E-2</v>
      </c>
      <c r="AH16" s="8">
        <f t="shared" si="47"/>
        <v>6.3843379930333677E-2</v>
      </c>
      <c r="AI16" s="8">
        <f t="shared" si="48"/>
        <v>5.0465790018443299E-2</v>
      </c>
      <c r="AJ16" s="8">
        <f t="shared" si="49"/>
        <v>-3.5371612514367291E-3</v>
      </c>
      <c r="AK16" s="8">
        <f t="shared" si="50"/>
        <v>8.1303515381537336E-2</v>
      </c>
      <c r="AL16" s="8">
        <f t="shared" si="51"/>
        <v>-6.7984955816502601E-2</v>
      </c>
      <c r="AM16" s="8">
        <f t="shared" si="52"/>
        <v>4.4730514257525972E-2</v>
      </c>
      <c r="AN16" s="8">
        <f t="shared" si="53"/>
        <v>-7.6064766287919916E-2</v>
      </c>
      <c r="AO16" s="8">
        <f t="shared" si="54"/>
        <v>-2.8929646604800862E-2</v>
      </c>
      <c r="AP16" s="8">
        <f t="shared" si="55"/>
        <v>-2.1077424847416832E-2</v>
      </c>
      <c r="AQ16" s="8">
        <f t="shared" si="56"/>
        <v>-7.8603532267424475E-2</v>
      </c>
      <c r="AR16" s="8">
        <f t="shared" si="57"/>
        <v>5.1385723325108393E-2</v>
      </c>
      <c r="AS16" s="8">
        <f t="shared" si="58"/>
        <v>-6.3105313258631057E-2</v>
      </c>
      <c r="AT16" s="8">
        <f t="shared" si="59"/>
        <v>8.1243715691571641E-2</v>
      </c>
      <c r="AU16" s="8">
        <f t="shared" si="60"/>
        <v>4.7150592511251447E-3</v>
      </c>
      <c r="AV16" s="8">
        <f t="shared" si="61"/>
        <v>4.374056295157918E-2</v>
      </c>
      <c r="AW16" s="8">
        <f t="shared" si="62"/>
        <v>6.8626061199762028E-2</v>
      </c>
      <c r="AX16" s="8">
        <f t="shared" si="63"/>
        <v>-3.0028956767552465E-2</v>
      </c>
      <c r="AY16" s="8">
        <f t="shared" si="64"/>
        <v>7.563752295367035E-2</v>
      </c>
      <c r="AZ16" s="8">
        <f t="shared" si="65"/>
        <v>-7.8900736433856436E-2</v>
      </c>
      <c r="BA16" s="8">
        <f t="shared" si="66"/>
        <v>1.9936070658724686E-2</v>
      </c>
      <c r="BB16" s="8">
        <f t="shared" si="67"/>
        <v>-6.2353992209597017E-2</v>
      </c>
      <c r="BC16" s="8">
        <f t="shared" si="68"/>
        <v>-5.2294863788330676E-2</v>
      </c>
      <c r="BD16" s="8">
        <f t="shared" si="69"/>
        <v>5.8919669193939588E-3</v>
      </c>
      <c r="BE16" s="8">
        <f t="shared" si="70"/>
        <v>-8.1166851909725515E-2</v>
      </c>
      <c r="BF16" s="8">
        <f t="shared" si="71"/>
        <v>6.9252752650771521E-2</v>
      </c>
      <c r="BG16" s="8">
        <f t="shared" si="72"/>
        <v>-4.274142455985297E-2</v>
      </c>
      <c r="BH16" s="8">
        <f t="shared" si="73"/>
        <v>7.5194393028928191E-2</v>
      </c>
      <c r="BI16" s="8">
        <f t="shared" si="74"/>
        <v>3.1121959773215128E-2</v>
      </c>
      <c r="BJ16" s="8">
        <f t="shared" si="75"/>
        <v>1.8790529180731954E-2</v>
      </c>
      <c r="BK16" s="8">
        <f t="shared" si="76"/>
        <v>7.9181368618019013E-2</v>
      </c>
      <c r="BL16" s="8">
        <f t="shared" si="77"/>
        <v>-5.3193020456031519E-2</v>
      </c>
      <c r="BM16" s="8">
        <f t="shared" si="78"/>
        <v>6.1589574587577384E-2</v>
      </c>
      <c r="BN16" s="8">
        <f t="shared" si="79"/>
        <v>-8.1072940180147768E-2</v>
      </c>
      <c r="BO16" s="8">
        <f t="shared" si="80"/>
        <v>-7.0676370634553537E-3</v>
      </c>
      <c r="BP16" s="8">
        <f t="shared" si="81"/>
        <v>-4.1733308937216267E-2</v>
      </c>
      <c r="BQ16" s="8">
        <f t="shared" si="82"/>
        <v>-6.9864898541867296E-2</v>
      </c>
      <c r="BR16" s="8">
        <f t="shared" si="83"/>
        <v>3.2208426051987003E-2</v>
      </c>
      <c r="BS16" s="8">
        <f t="shared" si="84"/>
        <v>-7.4735469586858352E-2</v>
      </c>
      <c r="BT16" s="8">
        <f t="shared" si="85"/>
        <v>7.94453698770963E-2</v>
      </c>
      <c r="BU16" s="8">
        <f t="shared" si="86"/>
        <v>-1.7641041018202547E-2</v>
      </c>
      <c r="BV16" s="8">
        <f t="shared" si="87"/>
        <v>6.0812220947667521E-2</v>
      </c>
      <c r="BW16" s="8">
        <f t="shared" si="88"/>
        <v>5.4080004683123059E-2</v>
      </c>
      <c r="BX16" s="8">
        <f t="shared" si="89"/>
        <v>-8.24182275044609E-3</v>
      </c>
      <c r="BY16" s="8">
        <f t="shared" si="90"/>
        <v>8.0962000227667141E-2</v>
      </c>
      <c r="BZ16" s="8">
        <f t="shared" si="91"/>
        <v>-7.0462370300474461E-2</v>
      </c>
      <c r="CA16" s="8">
        <f t="shared" si="92"/>
        <v>4.0716427824078083E-2</v>
      </c>
      <c r="CB16" s="8">
        <f t="shared" si="93"/>
        <v>-7.426084901783031E-2</v>
      </c>
      <c r="CC16" s="8">
        <f t="shared" si="94"/>
        <v>-3.3288127407013382E-2</v>
      </c>
      <c r="CD16" s="8">
        <f t="shared" si="95"/>
        <v>-1.6487847604845288E-2</v>
      </c>
      <c r="CE16" s="8">
        <f t="shared" si="96"/>
        <v>-7.9692684761362778E-2</v>
      </c>
      <c r="CF16" s="8">
        <f t="shared" si="97"/>
        <v>5.4955630171129762E-2</v>
      </c>
      <c r="CG16" s="8">
        <f t="shared" si="98"/>
        <v>-6.0022094561990744E-2</v>
      </c>
      <c r="CH16" s="8">
        <f t="shared" si="99"/>
        <v>8.083405535364957E-2</v>
      </c>
      <c r="CI16" s="8">
        <f t="shared" si="100"/>
        <v>9.4142773592912465E-3</v>
      </c>
      <c r="CJ16" s="8">
        <f t="shared" si="101"/>
        <v>3.9690994801915312E-2</v>
      </c>
      <c r="CK16" s="8">
        <f t="shared" si="102"/>
        <v>7.1045042436111441E-2</v>
      </c>
      <c r="CL16" s="8">
        <f t="shared" si="103"/>
        <v>-3.4360837062315207E-2</v>
      </c>
      <c r="CM16" s="8">
        <f t="shared" si="104"/>
        <v>7.3770631009173096E-2</v>
      </c>
      <c r="CN16" s="8">
        <f t="shared" si="105"/>
        <v>-7.9923261325829428E-2</v>
      </c>
      <c r="CO16" s="8">
        <f t="shared" si="106"/>
        <v>1.5331191152605306E-2</v>
      </c>
      <c r="CP16" s="8">
        <f t="shared" si="107"/>
        <v>-5.9219361385404103E-2</v>
      </c>
      <c r="CQ16" s="8">
        <f t="shared" si="108"/>
        <v>-5.5819713007318958E-2</v>
      </c>
      <c r="CR16" s="8">
        <f t="shared" si="109"/>
        <v>1.0584754632505217E-2</v>
      </c>
      <c r="CS16" s="8">
        <f t="shared" si="110"/>
        <v>-8.0689132431103788E-2</v>
      </c>
      <c r="CT16" s="8">
        <f t="shared" si="111"/>
        <v>7.161279256674831E-2</v>
      </c>
      <c r="CU16" s="8">
        <f t="shared" si="112"/>
        <v>-3.8657225248411503E-2</v>
      </c>
      <c r="DA16" s="20">
        <v>2.2419647582366475E-2</v>
      </c>
    </row>
    <row r="17" spans="1:105">
      <c r="A17" s="15">
        <v>15</v>
      </c>
      <c r="B17" s="16">
        <v>53</v>
      </c>
      <c r="C17" s="8">
        <f t="shared" si="113"/>
        <v>3.970291913552122</v>
      </c>
      <c r="D17" s="8">
        <f t="shared" si="114"/>
        <v>1.0129032258064516</v>
      </c>
      <c r="E17" s="7">
        <f t="shared" si="115"/>
        <v>6.2</v>
      </c>
      <c r="F17" s="8">
        <f>CX31</f>
        <v>6.5708822538301653E-2</v>
      </c>
      <c r="G17" s="8">
        <f>CY31</f>
        <v>0.26672238430680245</v>
      </c>
      <c r="H17" s="8">
        <f t="shared" si="119"/>
        <v>4.5201554797541538E-2</v>
      </c>
      <c r="I17" s="8">
        <f t="shared" si="116"/>
        <v>7.2436258522811783E-2</v>
      </c>
      <c r="J17" s="8">
        <f t="shared" si="117"/>
        <v>-3.7523221063560763E-2</v>
      </c>
      <c r="K17" s="8">
        <f t="shared" si="118"/>
        <v>7.6695501731939425E-2</v>
      </c>
      <c r="L17" s="8">
        <f t="shared" si="25"/>
        <v>-8.4931136705226173E-2</v>
      </c>
      <c r="M17" s="8">
        <f t="shared" si="26"/>
        <v>8.768929401982626E-3</v>
      </c>
      <c r="N17" s="8">
        <f t="shared" si="27"/>
        <v>-5.2401856171342347E-2</v>
      </c>
      <c r="O17" s="8">
        <f t="shared" si="28"/>
        <v>-6.7410960345456614E-2</v>
      </c>
      <c r="P17" s="8">
        <f t="shared" si="29"/>
        <v>2.9448057751329616E-2</v>
      </c>
      <c r="Q17" s="8">
        <f t="shared" si="30"/>
        <v>-8.0143646033688343E-2</v>
      </c>
      <c r="R17" s="8">
        <f t="shared" si="31"/>
        <v>8.3581456144166635E-2</v>
      </c>
      <c r="S17" s="8">
        <f t="shared" si="32"/>
        <v>-1.7445122347508023E-2</v>
      </c>
      <c r="T17" s="8">
        <f t="shared" si="33"/>
        <v>5.9047977869342246E-2</v>
      </c>
      <c r="U17" s="8">
        <f t="shared" si="34"/>
        <v>6.1672752609563668E-2</v>
      </c>
      <c r="V17" s="8">
        <f t="shared" si="35"/>
        <v>-2.1061464343106556E-2</v>
      </c>
      <c r="W17" s="8">
        <f t="shared" si="36"/>
        <v>8.2744225324930226E-2</v>
      </c>
      <c r="X17" s="8">
        <f t="shared" si="37"/>
        <v>-8.1347853759469999E-2</v>
      </c>
      <c r="Y17" s="8">
        <f t="shared" si="38"/>
        <v>2.5936823121320316E-2</v>
      </c>
      <c r="Z17" s="8">
        <f t="shared" si="39"/>
        <v>-6.5069633343753985E-2</v>
      </c>
      <c r="AA17" s="8">
        <f t="shared" si="40"/>
        <v>-5.528232015218059E-2</v>
      </c>
      <c r="AB17" s="8">
        <f t="shared" si="41"/>
        <v>1.2452133872986475E-2</v>
      </c>
      <c r="AC17" s="8">
        <f t="shared" si="42"/>
        <v>-8.4469736988509653E-2</v>
      </c>
      <c r="AD17" s="8">
        <f t="shared" si="43"/>
        <v>7.8253951177083503E-2</v>
      </c>
      <c r="AE17" s="8">
        <f t="shared" si="44"/>
        <v>-3.415422711866576E-2</v>
      </c>
      <c r="AF17" s="8">
        <f t="shared" si="45"/>
        <v>7.0403140135168352E-2</v>
      </c>
      <c r="AG17" s="8">
        <f t="shared" si="46"/>
        <v>4.8307245460765195E-2</v>
      </c>
      <c r="AH17" s="8">
        <f t="shared" si="47"/>
        <v>-3.711114947209459E-3</v>
      </c>
      <c r="AI17" s="8">
        <f t="shared" si="48"/>
        <v>8.5301932749190221E-2</v>
      </c>
      <c r="AJ17" s="8">
        <f t="shared" si="49"/>
        <v>-7.4332468190833847E-2</v>
      </c>
      <c r="AK17" s="8">
        <f t="shared" si="50"/>
        <v>4.2010430580481394E-2</v>
      </c>
      <c r="AL17" s="8">
        <f t="shared" si="51"/>
        <v>-7.4992093351077718E-2</v>
      </c>
      <c r="AM17" s="8">
        <f t="shared" si="52"/>
        <v>-4.082129394962903E-2</v>
      </c>
      <c r="AN17" s="8">
        <f t="shared" si="53"/>
        <v>-5.0691511470569257E-3</v>
      </c>
      <c r="AO17" s="8">
        <f t="shared" si="54"/>
        <v>-8.5232011659628598E-2</v>
      </c>
      <c r="AP17" s="8">
        <f t="shared" si="55"/>
        <v>6.9624876731846613E-2</v>
      </c>
      <c r="AQ17" s="8">
        <f t="shared" si="56"/>
        <v>-4.9422349650476316E-2</v>
      </c>
      <c r="AR17" s="8">
        <f t="shared" si="57"/>
        <v>7.8787962179956164E-2</v>
      </c>
      <c r="AS17" s="8">
        <f t="shared" si="58"/>
        <v>3.2903633848384746E-2</v>
      </c>
      <c r="AT17" s="8">
        <f t="shared" si="59"/>
        <v>1.3795808061333884E-2</v>
      </c>
      <c r="AU17" s="8">
        <f t="shared" si="60"/>
        <v>8.4260713175439053E-2</v>
      </c>
      <c r="AV17" s="8">
        <f t="shared" si="61"/>
        <v>-6.4180962279094186E-2</v>
      </c>
      <c r="AW17" s="8">
        <f t="shared" si="62"/>
        <v>5.6311599034552927E-2</v>
      </c>
      <c r="AX17" s="8">
        <f t="shared" si="63"/>
        <v>-8.1750603132418678E-2</v>
      </c>
      <c r="AY17" s="8">
        <f t="shared" si="64"/>
        <v>-2.4637998952523527E-2</v>
      </c>
      <c r="AZ17" s="8">
        <f t="shared" si="65"/>
        <v>-2.2376566394960509E-2</v>
      </c>
      <c r="BA17" s="8">
        <f t="shared" si="66"/>
        <v>-8.2398309335026398E-2</v>
      </c>
      <c r="BB17" s="8">
        <f t="shared" si="67"/>
        <v>5.8058297349409815E-2</v>
      </c>
      <c r="BC17" s="8">
        <f t="shared" si="68"/>
        <v>-6.260532097023612E-2</v>
      </c>
      <c r="BD17" s="8">
        <f t="shared" si="69"/>
        <v>8.3848684581639271E-2</v>
      </c>
      <c r="BE17" s="8">
        <f t="shared" si="70"/>
        <v>1.6111803090515478E-2</v>
      </c>
      <c r="BF17" s="8">
        <f t="shared" si="71"/>
        <v>3.0720679708423182E-2</v>
      </c>
      <c r="BG17" s="8">
        <f t="shared" si="72"/>
        <v>7.9664496126889861E-2</v>
      </c>
      <c r="BH17" s="8">
        <f t="shared" si="73"/>
        <v>-5.132163263510988E-2</v>
      </c>
      <c r="BI17" s="8">
        <f t="shared" si="74"/>
        <v>6.8236955739288355E-2</v>
      </c>
      <c r="BJ17" s="8">
        <f t="shared" si="75"/>
        <v>-8.5060018113269936E-2</v>
      </c>
      <c r="BK17" s="8">
        <f t="shared" si="76"/>
        <v>-7.4152156724511991E-3</v>
      </c>
      <c r="BL17" s="8">
        <f t="shared" si="77"/>
        <v>-3.8739904218986772E-2</v>
      </c>
      <c r="BM17" s="8">
        <f t="shared" si="78"/>
        <v>-7.6088185193251279E-2</v>
      </c>
      <c r="BN17" s="8">
        <f t="shared" si="79"/>
        <v>4.4042212228296122E-2</v>
      </c>
      <c r="BO17" s="8">
        <f t="shared" si="80"/>
        <v>-7.3146945574893943E-2</v>
      </c>
      <c r="BP17" s="8">
        <f t="shared" si="81"/>
        <v>8.5371793180645097E-2</v>
      </c>
      <c r="BQ17" s="8">
        <f t="shared" si="82"/>
        <v>-1.3597919031723064E-3</v>
      </c>
      <c r="BR17" s="8">
        <f t="shared" si="83"/>
        <v>4.6349432029295375E-2</v>
      </c>
      <c r="BS17" s="8">
        <f t="shared" si="84"/>
        <v>7.170719807286087E-2</v>
      </c>
      <c r="BT17" s="8">
        <f t="shared" si="85"/>
        <v>-3.6297020173729849E-2</v>
      </c>
      <c r="BU17" s="8">
        <f t="shared" si="86"/>
        <v>7.7283364519194056E-2</v>
      </c>
      <c r="BV17" s="8">
        <f t="shared" si="87"/>
        <v>-8.4780712583658005E-2</v>
      </c>
      <c r="BW17" s="8">
        <f t="shared" si="88"/>
        <v>1.0120418899726686E-2</v>
      </c>
      <c r="BX17" s="8">
        <f t="shared" si="89"/>
        <v>-5.3468788019514941E-2</v>
      </c>
      <c r="BY17" s="8">
        <f t="shared" si="90"/>
        <v>-6.656786621653836E-2</v>
      </c>
      <c r="BZ17" s="8">
        <f t="shared" si="91"/>
        <v>2.8167966318416324E-2</v>
      </c>
      <c r="CA17" s="8">
        <f t="shared" si="92"/>
        <v>-8.0602467570064729E-2</v>
      </c>
      <c r="CB17" s="8">
        <f t="shared" si="93"/>
        <v>8.3293027338542575E-2</v>
      </c>
      <c r="CC17" s="8">
        <f t="shared" si="94"/>
        <v>-1.8774016663452044E-2</v>
      </c>
      <c r="CD17" s="8">
        <f t="shared" si="95"/>
        <v>6.0022680917869345E-2</v>
      </c>
      <c r="CE17" s="8">
        <f t="shared" si="96"/>
        <v>6.072454100551454E-2</v>
      </c>
      <c r="CF17" s="8">
        <f t="shared" si="97"/>
        <v>-1.9741020068007695E-2</v>
      </c>
      <c r="CG17" s="8">
        <f t="shared" si="98"/>
        <v>8.3069153309596772E-2</v>
      </c>
      <c r="CH17" s="8">
        <f t="shared" si="99"/>
        <v>-8.0924470569792198E-2</v>
      </c>
      <c r="CI17" s="8">
        <f t="shared" si="100"/>
        <v>2.722906843609622E-2</v>
      </c>
      <c r="CJ17" s="8">
        <f t="shared" si="101"/>
        <v>-6.5941799549010735E-2</v>
      </c>
      <c r="CK17" s="8">
        <f t="shared" si="102"/>
        <v>-5.4239018954410127E-2</v>
      </c>
      <c r="CL17" s="8">
        <f t="shared" si="103"/>
        <v>1.1105301211042999E-2</v>
      </c>
      <c r="CM17" s="8">
        <f t="shared" si="104"/>
        <v>-8.4657335121717484E-2</v>
      </c>
      <c r="CN17" s="8">
        <f t="shared" si="105"/>
        <v>7.7700091123347192E-2</v>
      </c>
      <c r="CO17" s="8">
        <f t="shared" si="106"/>
        <v>-3.5396157197107078E-2</v>
      </c>
      <c r="CP17" s="8">
        <f t="shared" si="107"/>
        <v>7.1163545839441358E-2</v>
      </c>
      <c r="CQ17" s="8">
        <f t="shared" si="108"/>
        <v>4.7179888177660008E-2</v>
      </c>
      <c r="CR17" s="8">
        <f t="shared" si="109"/>
        <v>-2.3521374260840775E-3</v>
      </c>
      <c r="CS17" s="8">
        <f t="shared" si="110"/>
        <v>8.5350217073113466E-2</v>
      </c>
      <c r="CT17" s="8">
        <f t="shared" si="111"/>
        <v>-7.3653988660686134E-2</v>
      </c>
      <c r="CU17" s="8">
        <f t="shared" si="112"/>
        <v>4.318891129989607E-2</v>
      </c>
      <c r="CX17">
        <v>1.0390642912655677</v>
      </c>
      <c r="CY17">
        <v>4.6236840885322534</v>
      </c>
      <c r="DA17" s="21"/>
    </row>
    <row r="18" spans="1:105">
      <c r="A18" s="15">
        <v>16</v>
      </c>
      <c r="B18" s="16">
        <v>39</v>
      </c>
      <c r="C18" s="8">
        <f t="shared" si="113"/>
        <v>3.6635616461296463</v>
      </c>
      <c r="D18" s="8">
        <f t="shared" si="114"/>
        <v>1.0804301075268818</v>
      </c>
      <c r="E18" s="7">
        <f t="shared" si="115"/>
        <v>5.8125</v>
      </c>
      <c r="F18" s="8">
        <f>CX33</f>
        <v>6.4103648996513107E-2</v>
      </c>
      <c r="G18" s="8">
        <f>CY33</f>
        <v>0.26016906347156327</v>
      </c>
      <c r="H18" s="8">
        <f t="shared" si="119"/>
        <v>3.710431472458442E-2</v>
      </c>
      <c r="I18" s="8">
        <f t="shared" si="116"/>
        <v>6.9502132903523084E-2</v>
      </c>
      <c r="J18" s="8">
        <f t="shared" si="117"/>
        <v>-4.3837793324213205E-2</v>
      </c>
      <c r="K18" s="8">
        <f t="shared" si="118"/>
        <v>6.5463917739343763E-2</v>
      </c>
      <c r="L18" s="8">
        <f t="shared" si="25"/>
        <v>-7.8395043169339471E-2</v>
      </c>
      <c r="M18" s="8">
        <f t="shared" si="26"/>
        <v>-7.8418018208444434E-3</v>
      </c>
      <c r="N18" s="8">
        <f t="shared" si="27"/>
        <v>-3.0002338522298753E-2</v>
      </c>
      <c r="O18" s="8">
        <f t="shared" si="28"/>
        <v>-7.2850094938259252E-2</v>
      </c>
      <c r="P18" s="8">
        <f t="shared" si="29"/>
        <v>5.0135901486046575E-2</v>
      </c>
      <c r="Q18" s="8">
        <f t="shared" si="30"/>
        <v>-6.0775554555276841E-2</v>
      </c>
      <c r="R18" s="8">
        <f t="shared" si="31"/>
        <v>7.72252422456466E-2</v>
      </c>
      <c r="S18" s="8">
        <f t="shared" si="32"/>
        <v>1.5605723610944731E-2</v>
      </c>
      <c r="T18" s="8">
        <f t="shared" si="33"/>
        <v>2.2602397247712663E-2</v>
      </c>
      <c r="U18" s="8">
        <f t="shared" si="34"/>
        <v>7.5474553910417977E-2</v>
      </c>
      <c r="V18" s="8">
        <f t="shared" si="35"/>
        <v>-5.5936090210699056E-2</v>
      </c>
      <c r="W18" s="8">
        <f t="shared" si="36"/>
        <v>5.5483605337617849E-2</v>
      </c>
      <c r="X18" s="8">
        <f t="shared" si="37"/>
        <v>-7.5288486943646302E-2</v>
      </c>
      <c r="Y18" s="8">
        <f t="shared" si="38"/>
        <v>-2.321465879689814E-2</v>
      </c>
      <c r="Z18" s="8">
        <f t="shared" si="39"/>
        <v>-1.4977982639987307E-2</v>
      </c>
      <c r="AA18" s="8">
        <f t="shared" si="40"/>
        <v>-7.734944528150306E-2</v>
      </c>
      <c r="AB18" s="8">
        <f t="shared" si="41"/>
        <v>6.1180755533352546E-2</v>
      </c>
      <c r="AC18" s="8">
        <f t="shared" si="42"/>
        <v>-4.9640626523928456E-2</v>
      </c>
      <c r="AD18" s="8">
        <f t="shared" si="43"/>
        <v>7.2604011945100383E-2</v>
      </c>
      <c r="AE18" s="8">
        <f t="shared" si="44"/>
        <v>3.0593040038474729E-2</v>
      </c>
      <c r="AF18" s="8">
        <f t="shared" si="45"/>
        <v>7.2048157716031761E-3</v>
      </c>
      <c r="AG18" s="8">
        <f t="shared" si="46"/>
        <v>7.8456148764881758E-2</v>
      </c>
      <c r="AH18" s="8">
        <f t="shared" si="47"/>
        <v>-6.5817810611479968E-2</v>
      </c>
      <c r="AI18" s="8">
        <f t="shared" si="48"/>
        <v>4.3304647044299441E-2</v>
      </c>
      <c r="AJ18" s="8">
        <f t="shared" si="49"/>
        <v>-6.9198477831364527E-2</v>
      </c>
      <c r="AK18" s="8">
        <f t="shared" si="50"/>
        <v>-3.7667589717715541E-2</v>
      </c>
      <c r="AL18" s="8">
        <f t="shared" si="51"/>
        <v>6.3990496751343726E-4</v>
      </c>
      <c r="AM18" s="8">
        <f t="shared" si="52"/>
        <v>-7.8783673251204459E-2</v>
      </c>
      <c r="AN18" s="8">
        <f t="shared" si="53"/>
        <v>6.9801203019848268E-2</v>
      </c>
      <c r="AO18" s="8">
        <f t="shared" si="54"/>
        <v>-3.6538592013129416E-2</v>
      </c>
      <c r="AP18" s="8">
        <f t="shared" si="55"/>
        <v>6.5105706306625627E-2</v>
      </c>
      <c r="AQ18" s="8">
        <f t="shared" si="56"/>
        <v>4.4368047687895915E-2</v>
      </c>
      <c r="AR18" s="8">
        <f t="shared" si="57"/>
        <v>-8.478270557688284E-3</v>
      </c>
      <c r="AS18" s="8">
        <f t="shared" si="58"/>
        <v>7.8328765965452518E-2</v>
      </c>
      <c r="AT18" s="8">
        <f t="shared" si="59"/>
        <v>-7.3091372115340156E-2</v>
      </c>
      <c r="AU18" s="8">
        <f t="shared" si="60"/>
        <v>2.9409657794963778E-2</v>
      </c>
      <c r="AV18" s="8">
        <f t="shared" si="61"/>
        <v>-6.0366344301201233E-2</v>
      </c>
      <c r="AW18" s="8">
        <f t="shared" si="62"/>
        <v>-5.0627869054788666E-2</v>
      </c>
      <c r="AX18" s="8">
        <f t="shared" si="63"/>
        <v>1.623243509474101E-2</v>
      </c>
      <c r="AY18" s="8">
        <f t="shared" si="64"/>
        <v>-7.7095944771531394E-2</v>
      </c>
      <c r="AZ18" s="8">
        <f t="shared" si="65"/>
        <v>7.5655641929324655E-2</v>
      </c>
      <c r="BA18" s="8">
        <f t="shared" si="66"/>
        <v>-2.1988644650860395E-2</v>
      </c>
      <c r="BB18" s="8">
        <f t="shared" si="67"/>
        <v>5.5027460290822151E-2</v>
      </c>
      <c r="BC18" s="8">
        <f t="shared" si="68"/>
        <v>5.6384885060288895E-2</v>
      </c>
      <c r="BD18" s="8">
        <f t="shared" si="69"/>
        <v>-2.3825388908402252E-2</v>
      </c>
      <c r="BE18" s="8">
        <f t="shared" si="70"/>
        <v>7.5097453303580003E-2</v>
      </c>
      <c r="BF18" s="8">
        <f t="shared" si="71"/>
        <v>-7.7468545685605031E-2</v>
      </c>
      <c r="BG18" s="8">
        <f t="shared" si="72"/>
        <v>1.4349253593038331E-2</v>
      </c>
      <c r="BH18" s="8">
        <f t="shared" si="73"/>
        <v>-4.914207684101185E-2</v>
      </c>
      <c r="BI18" s="8">
        <f t="shared" si="74"/>
        <v>-6.1581920504902125E-2</v>
      </c>
      <c r="BJ18" s="8">
        <f t="shared" si="75"/>
        <v>3.1181723375761517E-2</v>
      </c>
      <c r="BK18" s="8">
        <f t="shared" si="76"/>
        <v>-7.2353139369604996E-2</v>
      </c>
      <c r="BL18" s="8">
        <f t="shared" si="77"/>
        <v>7.8512078721031053E-2</v>
      </c>
      <c r="BM18" s="8">
        <f t="shared" si="78"/>
        <v>-6.5673544310187008E-3</v>
      </c>
      <c r="BN18" s="8">
        <f t="shared" si="79"/>
        <v>4.2768644019048986E-2</v>
      </c>
      <c r="BO18" s="8">
        <f t="shared" si="80"/>
        <v>6.6167361577229772E-2</v>
      </c>
      <c r="BP18" s="8">
        <f t="shared" si="81"/>
        <v>-3.8228379834081443E-2</v>
      </c>
      <c r="BQ18" s="8">
        <f t="shared" si="82"/>
        <v>6.8890257835061072E-2</v>
      </c>
      <c r="BR18" s="8">
        <f t="shared" si="83"/>
        <v>-7.8775877296918886E-2</v>
      </c>
      <c r="BS18" s="8">
        <f t="shared" si="84"/>
        <v>-1.2797677214157076E-3</v>
      </c>
      <c r="BT18" s="8">
        <f t="shared" si="85"/>
        <v>-3.5970458903265397E-2</v>
      </c>
      <c r="BU18" s="8">
        <f t="shared" si="86"/>
        <v>-7.0095668451113965E-2</v>
      </c>
      <c r="BV18" s="8">
        <f t="shared" si="87"/>
        <v>4.489537515522958E-2</v>
      </c>
      <c r="BW18" s="8">
        <f t="shared" si="88"/>
        <v>-6.4743199944018781E-2</v>
      </c>
      <c r="BX18" s="8">
        <f t="shared" si="89"/>
        <v>7.8257321525432841E-2</v>
      </c>
      <c r="BY18" s="8">
        <f t="shared" si="90"/>
        <v>9.1141799952066255E-3</v>
      </c>
      <c r="BZ18" s="8">
        <f t="shared" si="91"/>
        <v>2.8815036954765453E-2</v>
      </c>
      <c r="CA18" s="8">
        <f t="shared" si="92"/>
        <v>7.3327827559634531E-2</v>
      </c>
      <c r="CB18" s="8">
        <f t="shared" si="93"/>
        <v>-5.1116496775761376E-2</v>
      </c>
      <c r="CC18" s="8">
        <f t="shared" si="94"/>
        <v>5.9953151766137983E-2</v>
      </c>
      <c r="CD18" s="8">
        <f t="shared" si="95"/>
        <v>-7.6961561388726049E-2</v>
      </c>
      <c r="CE18" s="8">
        <f t="shared" si="96"/>
        <v>-1.6858075748119938E-2</v>
      </c>
      <c r="CF18" s="8">
        <f t="shared" si="97"/>
        <v>-2.137344149471794E-2</v>
      </c>
      <c r="CG18" s="8">
        <f t="shared" si="98"/>
        <v>-7.5831739054250016E-2</v>
      </c>
      <c r="CH18" s="8">
        <f t="shared" si="99"/>
        <v>5.6829960280035875E-2</v>
      </c>
      <c r="CI18" s="8">
        <f t="shared" si="100"/>
        <v>-5.4567685161545414E-2</v>
      </c>
      <c r="CJ18" s="8">
        <f t="shared" si="101"/>
        <v>7.4901465592433963E-2</v>
      </c>
      <c r="CK18" s="8">
        <f t="shared" si="102"/>
        <v>2.4434547293236897E-2</v>
      </c>
      <c r="CL18" s="8">
        <f t="shared" si="103"/>
        <v>1.3719577946449618E-2</v>
      </c>
      <c r="CM18" s="8">
        <f t="shared" si="104"/>
        <v>7.758253560106998E-2</v>
      </c>
      <c r="CN18" s="8">
        <f t="shared" si="105"/>
        <v>-6.1979023005648684E-2</v>
      </c>
      <c r="CO18" s="8">
        <f t="shared" si="106"/>
        <v>4.864028532590315E-2</v>
      </c>
      <c r="CP18" s="8">
        <f t="shared" si="107"/>
        <v>-7.2097493761476505E-2</v>
      </c>
      <c r="CQ18" s="8">
        <f t="shared" si="108"/>
        <v>-3.1768349699565032E-2</v>
      </c>
      <c r="CR18" s="8">
        <f t="shared" si="109"/>
        <v>-5.9294598514996614E-3</v>
      </c>
      <c r="CS18" s="8">
        <f t="shared" si="110"/>
        <v>-7.8562829348168536E-2</v>
      </c>
      <c r="CT18" s="8">
        <f t="shared" si="111"/>
        <v>6.6512547577218611E-2</v>
      </c>
      <c r="CU18" s="8">
        <f t="shared" si="112"/>
        <v>-4.2229819607810651E-2</v>
      </c>
      <c r="DA18" s="20">
        <v>3.1465360083944441E-3</v>
      </c>
    </row>
    <row r="19" spans="1:105">
      <c r="A19" s="15">
        <v>17</v>
      </c>
      <c r="B19" s="16">
        <v>39</v>
      </c>
      <c r="C19" s="8">
        <f t="shared" si="113"/>
        <v>3.6635616461296463</v>
      </c>
      <c r="D19" s="8">
        <f t="shared" si="114"/>
        <v>1.1479569892473118</v>
      </c>
      <c r="E19" s="7">
        <f t="shared" si="115"/>
        <v>5.4705882352941178</v>
      </c>
      <c r="F19" s="8">
        <f>CX35</f>
        <v>0.38170284997077031</v>
      </c>
      <c r="G19" s="8">
        <f>CY35</f>
        <v>1.5948507904227416</v>
      </c>
      <c r="H19" s="8">
        <f t="shared" si="119"/>
        <v>3.2330054922701856E-2</v>
      </c>
      <c r="I19" s="8">
        <f t="shared" si="116"/>
        <v>7.1847367370106746E-2</v>
      </c>
      <c r="J19" s="8">
        <f t="shared" si="117"/>
        <v>-5.2252907064975873E-2</v>
      </c>
      <c r="K19" s="8">
        <f t="shared" si="118"/>
        <v>5.8965331785541503E-2</v>
      </c>
      <c r="L19" s="8">
        <f t="shared" ref="L19:L82" si="120">(2/93)*($C19*COS(L$1*$D19))</f>
        <v>-7.5214159304337336E-2</v>
      </c>
      <c r="M19" s="8">
        <f t="shared" ref="M19:M82" si="121">(2/93)*($C19*SIN(M$1*$D19))</f>
        <v>-2.3454357579387308E-2</v>
      </c>
      <c r="N19" s="8">
        <f t="shared" ref="N19:N82" si="122">(2/93)*($C19*COS(N$1*$D19))</f>
        <v>-9.4755601105116112E-3</v>
      </c>
      <c r="O19" s="8">
        <f t="shared" ref="O19:O82" si="123">(2/93)*($C19*SIN(O$1*$D19))</f>
        <v>-7.8214387486651576E-2</v>
      </c>
      <c r="P19" s="8">
        <f t="shared" ref="P19:P82" si="124">(2/93)*($C19*COS(P$1*$D19))</f>
        <v>6.7437541089615846E-2</v>
      </c>
      <c r="Q19" s="8">
        <f t="shared" ref="Q19:Q82" si="125">(2/93)*($C19*SIN(Q$1*$D19))</f>
        <v>-4.0736405107794818E-2</v>
      </c>
      <c r="R19" s="8">
        <f t="shared" ref="R19:R82" si="126">(2/93)*($C19*COS(R$1*$D19))</f>
        <v>6.4821735352623047E-2</v>
      </c>
      <c r="S19" s="8">
        <f t="shared" ref="S19:S82" si="127">(2/93)*($C19*SIN(S$1*$D19))</f>
        <v>4.4781907900339604E-2</v>
      </c>
      <c r="T19" s="8">
        <f t="shared" ref="T19:T82" si="128">(2/93)*($C19*COS(T$1*$D19))</f>
        <v>-1.4238164802207316E-2</v>
      </c>
      <c r="U19" s="8">
        <f t="shared" ref="U19:U82" si="129">(2/93)*($C19*SIN(U$1*$D19))</f>
        <v>7.7489039950080565E-2</v>
      </c>
      <c r="V19" s="8">
        <f t="shared" ref="V19:V82" si="130">(2/93)*($C19*COS(V$1*$D19))</f>
        <v>-7.6507036322031791E-2</v>
      </c>
      <c r="W19" s="8">
        <f t="shared" ref="W19:W82" si="131">(2/93)*($C19*SIN(W$1*$D19))</f>
        <v>1.8813560070845337E-2</v>
      </c>
      <c r="X19" s="8">
        <f t="shared" ref="X19:X82" si="132">(2/93)*($C19*COS(X$1*$D19))</f>
        <v>-4.8551370093598195E-2</v>
      </c>
      <c r="Y19" s="8">
        <f t="shared" ref="Y19:Y82" si="133">(2/93)*($C19*SIN(Y$1*$D19))</f>
        <v>-6.2048699513804942E-2</v>
      </c>
      <c r="Z19" s="8">
        <f t="shared" ref="Z19:Z82" si="134">(2/93)*($C19*COS(Z$1*$D19))</f>
        <v>3.6660793501967569E-2</v>
      </c>
      <c r="AA19" s="8">
        <f t="shared" ref="AA19:AA82" si="135">(2/93)*($C19*SIN(AA$1*$D19))</f>
        <v>-6.9737098227027561E-2</v>
      </c>
      <c r="AB19" s="8">
        <f t="shared" ref="AB19:AB82" si="136">(2/93)*($C19*COS(AB$1*$D19))</f>
        <v>7.8638984038158083E-2</v>
      </c>
      <c r="AC19" s="8">
        <f t="shared" ref="AC19:AC82" si="137">(2/93)*($C19*SIN(AC$1*$D19))</f>
        <v>4.8152714114903872E-3</v>
      </c>
      <c r="AD19" s="8">
        <f t="shared" ref="AD19:AD82" si="138">(2/93)*($C19*COS(AD$1*$D19))</f>
        <v>2.7878436741521993E-2</v>
      </c>
      <c r="AE19" s="8">
        <f t="shared" ref="AE19:AE82" si="139">(2/93)*($C19*SIN(AE$1*$D19))</f>
        <v>7.368900470334061E-2</v>
      </c>
      <c r="AF19" s="8">
        <f t="shared" ref="AF19:AF82" si="140">(2/93)*($C19*COS(AF$1*$D19))</f>
        <v>-5.5759074414496235E-2</v>
      </c>
      <c r="AG19" s="8">
        <f t="shared" ref="AG19:AG82" si="141">(2/93)*($C19*SIN(AG$1*$D19))</f>
        <v>5.566149719293103E-2</v>
      </c>
      <c r="AH19" s="8">
        <f t="shared" ref="AH19:AH82" si="142">(2/93)*($C19*COS(AH$1*$D19))</f>
        <v>-7.3640062299335174E-2</v>
      </c>
      <c r="AI19" s="8">
        <f t="shared" ref="AI19:AI82" si="143">(2/93)*($C19*SIN(AI$1*$D19))</f>
        <v>-2.800746103933794E-2</v>
      </c>
      <c r="AJ19" s="8">
        <f t="shared" ref="AJ19:AJ82" si="144">(2/93)*($C19*COS(AJ$1*$D19))</f>
        <v>-4.6775270244994935E-3</v>
      </c>
      <c r="AK19" s="8">
        <f t="shared" ref="AK19:AK82" si="145">(2/93)*($C19*SIN(AK$1*$D19))</f>
        <v>-7.8647297412276509E-2</v>
      </c>
      <c r="AL19" s="8">
        <f t="shared" ref="AL19:AL82" si="146">(2/93)*($C19*COS(AL$1*$D19))</f>
        <v>6.9801203019848129E-2</v>
      </c>
      <c r="AM19" s="8">
        <f t="shared" ref="AM19:AM82" si="147">(2/93)*($C19*SIN(AM$1*$D19))</f>
        <v>-3.6538592013129659E-2</v>
      </c>
      <c r="AN19" s="8">
        <f t="shared" ref="AN19:AN82" si="148">(2/93)*($C19*COS(AN$1*$D19))</f>
        <v>6.1963566106395605E-2</v>
      </c>
      <c r="AO19" s="8">
        <f t="shared" ref="AO19:AO82" si="149">(2/93)*($C19*SIN(AO$1*$D19))</f>
        <v>4.865997456532771E-2</v>
      </c>
      <c r="AP19" s="8">
        <f t="shared" ref="AP19:AP82" si="150">(2/93)*($C19*COS(AP$1*$D19))</f>
        <v>-1.8947534085012114E-2</v>
      </c>
      <c r="AQ19" s="8">
        <f t="shared" ref="AQ19:AQ82" si="151">(2/93)*($C19*SIN(AQ$1*$D19))</f>
        <v>7.6473966821509282E-2</v>
      </c>
      <c r="AR19" s="8">
        <f t="shared" ref="AR19:AR82" si="152">(2/93)*($C19*COS(AR$1*$D19))</f>
        <v>-7.7513859384162165E-2</v>
      </c>
      <c r="AS19" s="8">
        <f t="shared" ref="AS19:AS82" si="153">(2/93)*($C19*SIN(AS$1*$D19))</f>
        <v>1.4102420100547771E-2</v>
      </c>
      <c r="AT19" s="8">
        <f t="shared" ref="AT19:AT82" si="154">(2/93)*($C19*COS(AT$1*$D19))</f>
        <v>-4.4668303263909477E-2</v>
      </c>
      <c r="AU19" s="8">
        <f t="shared" ref="AU19:AU82" si="155">(2/93)*($C19*SIN(AU$1*$D19))</f>
        <v>-6.4900071901681372E-2</v>
      </c>
      <c r="AV19" s="8">
        <f t="shared" ref="AV19:AV82" si="156">(2/93)*($C19*COS(AV$1*$D19))</f>
        <v>4.0854460179098273E-2</v>
      </c>
      <c r="AW19" s="8">
        <f t="shared" ref="AW19:AW82" si="157">(2/93)*($C19*SIN(AW$1*$D19))</f>
        <v>-6.7366087408981021E-2</v>
      </c>
      <c r="AX19" s="8">
        <f t="shared" ref="AX19:AX82" si="158">(2/93)*($C19*COS(AX$1*$D19))</f>
        <v>7.8197670971570821E-2</v>
      </c>
      <c r="AY19" s="8">
        <f t="shared" ref="AY19:AY82" si="159">(2/93)*($C19*SIN(AY$1*$D19))</f>
        <v>9.6125388915701566E-3</v>
      </c>
      <c r="AZ19" s="8">
        <f t="shared" ref="AZ19:AZ82" si="160">(2/93)*($C19*COS(AZ$1*$D19))</f>
        <v>2.3322583218232072E-2</v>
      </c>
      <c r="BA19" s="8">
        <f t="shared" ref="BA19:BA82" si="161">(2/93)*($C19*SIN(BA$1*$D19))</f>
        <v>7.525512448563644E-2</v>
      </c>
      <c r="BB19" s="8">
        <f t="shared" ref="BB19:BB82" si="162">(2/93)*($C19*COS(BB$1*$D19))</f>
        <v>-5.9056762850682044E-2</v>
      </c>
      <c r="BC19" s="8">
        <f t="shared" ref="BC19:BC82" si="163">(2/93)*($C19*SIN(BC$1*$D19))</f>
        <v>5.2149548520752306E-2</v>
      </c>
      <c r="BD19" s="8">
        <f t="shared" ref="BD19:BD82" si="164">(2/93)*($C19*COS(BD$1*$D19))</f>
        <v>-7.1790630735299107E-2</v>
      </c>
      <c r="BE19" s="8">
        <f t="shared" ref="BE19:BE82" si="165">(2/93)*($C19*SIN(BE$1*$D19))</f>
        <v>-3.2455846745200238E-2</v>
      </c>
      <c r="BF19" s="8">
        <f t="shared" ref="BF19:BF82" si="166">(2/93)*($C19*COS(BF$1*$D19))</f>
        <v>1.3799497719869033E-4</v>
      </c>
      <c r="BG19" s="8">
        <f t="shared" ref="BG19:BG82" si="167">(2/93)*($C19*SIN(BG$1*$D19))</f>
        <v>-7.8786151109863617E-2</v>
      </c>
      <c r="BH19" s="8">
        <f t="shared" ref="BH19:BH82" si="168">(2/93)*($C19*COS(BH$1*$D19))</f>
        <v>7.1903883592197029E-2</v>
      </c>
      <c r="BI19" s="8">
        <f t="shared" ref="BI19:BI82" si="169">(2/93)*($C19*SIN(BI$1*$D19))</f>
        <v>-3.2204163918347219E-2</v>
      </c>
      <c r="BJ19" s="8">
        <f t="shared" ref="BJ19:BJ82" si="170">(2/93)*($C19*COS(BJ$1*$D19))</f>
        <v>5.8873719827078383E-2</v>
      </c>
      <c r="BK19" s="8">
        <f t="shared" ref="BK19:BK82" si="171">(2/93)*($C19*SIN(BK$1*$D19))</f>
        <v>5.2356105308193776E-2</v>
      </c>
      <c r="BL19" s="8">
        <f t="shared" ref="BL19:BL82" si="172">(2/93)*($C19*COS(BL$1*$D19))</f>
        <v>-2.3586059987471996E-2</v>
      </c>
      <c r="BM19" s="8">
        <f t="shared" ref="BM19:BM82" si="173">(2/93)*($C19*SIN(BM$1*$D19))</f>
        <v>7.5172963381706398E-2</v>
      </c>
      <c r="BN19" s="8">
        <f t="shared" ref="BN19:BN82" si="174">(2/93)*($C19*COS(BN$1*$D19))</f>
        <v>-7.8230864056327037E-2</v>
      </c>
      <c r="BO19" s="8">
        <f t="shared" ref="BO19:BO82" si="175">(2/93)*($C19*SIN(BO$1*$D19))</f>
        <v>9.3385522604136698E-3</v>
      </c>
      <c r="BP19" s="8">
        <f t="shared" ref="BP19:BP82" si="176">(2/93)*($C19*COS(BP$1*$D19))</f>
        <v>-4.0618225065708502E-2</v>
      </c>
      <c r="BQ19" s="8">
        <f t="shared" ref="BQ19:BQ82" si="177">(2/93)*($C19*SIN(BQ$1*$D19))</f>
        <v>-6.750878788595932E-2</v>
      </c>
      <c r="BR19" s="8">
        <f t="shared" ref="BR19:BR82" si="178">(2/93)*($C19*COS(BR$1*$D19))</f>
        <v>4.4895375155229109E-2</v>
      </c>
      <c r="BS19" s="8">
        <f t="shared" ref="BS19:BS82" si="179">(2/93)*($C19*SIN(BS$1*$D19))</f>
        <v>-6.47431999440191E-2</v>
      </c>
      <c r="BT19" s="8">
        <f t="shared" ref="BT19:BT82" si="180">(2/93)*($C19*COS(BT$1*$D19))</f>
        <v>7.746398279580842E-2</v>
      </c>
      <c r="BU19" s="8">
        <f t="shared" ref="BU19:BU82" si="181">(2/93)*($C19*SIN(BU$1*$D19))</f>
        <v>1.4373865824150962E-2</v>
      </c>
      <c r="BV19" s="8">
        <f t="shared" ref="BV19:BV82" si="182">(2/93)*($C19*COS(BV$1*$D19))</f>
        <v>1.8679528340605572E-2</v>
      </c>
      <c r="BW19" s="8">
        <f t="shared" ref="BW19:BW82" si="183">(2/93)*($C19*SIN(BW$1*$D19))</f>
        <v>7.6539871114945784E-2</v>
      </c>
      <c r="BX19" s="8">
        <f t="shared" ref="BX19:BX82" si="184">(2/93)*($C19*COS(BX$1*$D19))</f>
        <v>-6.2133642568763359E-2</v>
      </c>
      <c r="BY19" s="8">
        <f t="shared" ref="BY19:BY82" si="185">(2/93)*($C19*SIN(BY$1*$D19))</f>
        <v>4.8442616676405453E-2</v>
      </c>
      <c r="BZ19" s="8">
        <f t="shared" ref="BZ19:BZ82" si="186">(2/93)*($C19*COS(BZ$1*$D19))</f>
        <v>-6.9672779495354609E-2</v>
      </c>
      <c r="CA19" s="8">
        <f t="shared" ref="CA19:CA82" si="187">(2/93)*($C19*SIN(CA$1*$D19))</f>
        <v>-3.678288252314782E-2</v>
      </c>
      <c r="CB19" s="8">
        <f t="shared" ref="CB19:CB82" si="188">(2/93)*($C19*COS(CB$1*$D19))</f>
        <v>4.9530010262345651E-3</v>
      </c>
      <c r="CC19" s="8">
        <f t="shared" ref="CC19:CC82" si="189">(2/93)*($C19*SIN(CC$1*$D19))</f>
        <v>-7.8630429416060785E-2</v>
      </c>
      <c r="CD19" s="8">
        <f t="shared" ref="CD19:CD82" si="190">(2/93)*($C19*COS(CD$1*$D19))</f>
        <v>7.3737721044870058E-2</v>
      </c>
      <c r="CE19" s="8">
        <f t="shared" ref="CE19:CE82" si="191">(2/93)*($C19*SIN(CE$1*$D19))</f>
        <v>-2.7749326918484418E-2</v>
      </c>
      <c r="CF19" s="8">
        <f t="shared" ref="CF19:CF82" si="192">(2/93)*($C19*COS(CF$1*$D19))</f>
        <v>5.5563749213517553E-2</v>
      </c>
      <c r="CG19" s="8">
        <f t="shared" ref="CG19:CG82" si="193">(2/93)*($C19*SIN(CG$1*$D19))</f>
        <v>5.5856480578866816E-2</v>
      </c>
      <c r="CH19" s="8">
        <f t="shared" ref="CH19:CH82" si="194">(2/93)*($C19*COS(CH$1*$D19))</f>
        <v>-2.8136399416113324E-2</v>
      </c>
      <c r="CI19" s="8">
        <f t="shared" ref="CI19:CI82" si="195">(2/93)*($C19*SIN(CI$1*$D19))</f>
        <v>7.3590893982998576E-2</v>
      </c>
      <c r="CJ19" s="8">
        <f t="shared" ref="CJ19:CJ82" si="196">(2/93)*($C19*COS(CJ$1*$D19))</f>
        <v>-7.8655369512912382E-2</v>
      </c>
      <c r="CK19" s="8">
        <f t="shared" ref="CK19:CK82" si="197">(2/93)*($C19*SIN(CK$1*$D19))</f>
        <v>4.5397682878327555E-3</v>
      </c>
      <c r="CL19" s="8">
        <f t="shared" ref="CL19:CL82" si="198">(2/93)*($C19*COS(CL$1*$D19))</f>
        <v>-3.6416278431522994E-2</v>
      </c>
      <c r="CM19" s="8">
        <f t="shared" ref="CM19:CM82" si="199">(2/93)*($C19*SIN(CM$1*$D19))</f>
        <v>-6.9865093677156057E-2</v>
      </c>
      <c r="CN19" s="8">
        <f t="shared" ref="CN19:CN82" si="200">(2/93)*($C19*COS(CN$1*$D19))</f>
        <v>4.8768429758417928E-2</v>
      </c>
      <c r="CO19" s="8">
        <f t="shared" ref="CO19:CO82" si="201">(2/93)*($C19*SIN(CO$1*$D19))</f>
        <v>-6.1878242607707065E-2</v>
      </c>
      <c r="CP19" s="8">
        <f t="shared" ref="CP19:CP82" si="202">(2/93)*($C19*COS(CP$1*$D19))</f>
        <v>7.6440662714828633E-2</v>
      </c>
      <c r="CQ19" s="8">
        <f t="shared" ref="CQ19:CQ82" si="203">(2/93)*($C19*SIN(CQ$1*$D19))</f>
        <v>1.9081449972101344E-2</v>
      </c>
      <c r="CR19" s="8">
        <f t="shared" ref="CR19:CR82" si="204">(2/93)*($C19*COS(CR$1*$D19))</f>
        <v>1.3966632135609003E-2</v>
      </c>
      <c r="CS19" s="8">
        <f t="shared" ref="CS19:CS82" si="205">(2/93)*($C19*SIN(CS$1*$D19))</f>
        <v>7.7538441021912291E-2</v>
      </c>
      <c r="CT19" s="8">
        <f t="shared" ref="CT19:CT82" si="206">(2/93)*($C19*COS(CT$1*$D19))</f>
        <v>-6.4978209350873631E-2</v>
      </c>
      <c r="CU19" s="8">
        <f t="shared" si="112"/>
        <v>4.455456159445445E-2</v>
      </c>
      <c r="CX19">
        <v>0.22820517163889645</v>
      </c>
      <c r="CY19">
        <v>0.94010021176969483</v>
      </c>
      <c r="DA19" s="21"/>
    </row>
    <row r="20" spans="1:105">
      <c r="A20" s="15">
        <v>18</v>
      </c>
      <c r="B20" s="16">
        <v>32</v>
      </c>
      <c r="C20" s="8">
        <f t="shared" si="113"/>
        <v>3.4657359027997265</v>
      </c>
      <c r="D20" s="8">
        <f t="shared" si="114"/>
        <v>1.215483870967742</v>
      </c>
      <c r="E20" s="7">
        <f t="shared" si="115"/>
        <v>5.1666666666666661</v>
      </c>
      <c r="F20" s="8">
        <f>CX37</f>
        <v>0.4345609564954756</v>
      </c>
      <c r="G20" s="8">
        <f>CY37</f>
        <v>1.8246605035928007</v>
      </c>
      <c r="H20" s="8">
        <f t="shared" si="119"/>
        <v>2.5928424018648987E-2</v>
      </c>
      <c r="I20" s="8">
        <f t="shared" si="116"/>
        <v>6.9876527739746924E-2</v>
      </c>
      <c r="J20" s="8">
        <f t="shared" si="117"/>
        <v>-5.6491822367775342E-2</v>
      </c>
      <c r="K20" s="8">
        <f t="shared" si="118"/>
        <v>4.8617757112213569E-2</v>
      </c>
      <c r="L20" s="8">
        <f t="shared" si="120"/>
        <v>-6.5233549610064973E-2</v>
      </c>
      <c r="M20" s="8">
        <f t="shared" si="121"/>
        <v>-3.604991409595406E-2</v>
      </c>
      <c r="N20" s="8">
        <f t="shared" si="122"/>
        <v>1.1104494561192505E-2</v>
      </c>
      <c r="O20" s="8">
        <f t="shared" si="123"/>
        <v>-7.3700084814027997E-2</v>
      </c>
      <c r="P20" s="8">
        <f t="shared" si="124"/>
        <v>7.2959686510294247E-2</v>
      </c>
      <c r="Q20" s="8">
        <f t="shared" si="125"/>
        <v>-1.5228146485178763E-2</v>
      </c>
      <c r="R20" s="8">
        <f t="shared" si="126"/>
        <v>3.9658421577856894E-2</v>
      </c>
      <c r="S20" s="8">
        <f t="shared" si="127"/>
        <v>6.3104848458794729E-2</v>
      </c>
      <c r="T20" s="8">
        <f t="shared" si="128"/>
        <v>-4.5366679672473445E-2</v>
      </c>
      <c r="U20" s="8">
        <f t="shared" si="129"/>
        <v>5.9134395038333315E-2</v>
      </c>
      <c r="V20" s="8">
        <f t="shared" si="130"/>
        <v>-7.1223043986095275E-2</v>
      </c>
      <c r="W20" s="8">
        <f t="shared" si="131"/>
        <v>-2.1961108952172986E-2</v>
      </c>
      <c r="X20" s="8">
        <f t="shared" si="132"/>
        <v>-4.1879385278646066E-3</v>
      </c>
      <c r="Y20" s="8">
        <f t="shared" si="133"/>
        <v>-7.4414202084960246E-2</v>
      </c>
      <c r="Z20" s="8">
        <f t="shared" si="134"/>
        <v>6.8309216056537406E-2</v>
      </c>
      <c r="AA20" s="8">
        <f t="shared" si="135"/>
        <v>-2.9813810605083112E-2</v>
      </c>
      <c r="AB20" s="8">
        <f t="shared" si="136"/>
        <v>5.1715212452115258E-2</v>
      </c>
      <c r="AC20" s="8">
        <f t="shared" si="137"/>
        <v>5.3670747172804088E-2</v>
      </c>
      <c r="AD20" s="8">
        <f t="shared" si="138"/>
        <v>-3.2327496309846215E-2</v>
      </c>
      <c r="AE20" s="8">
        <f t="shared" si="139"/>
        <v>6.7156126179160697E-2</v>
      </c>
      <c r="AF20" s="8">
        <f t="shared" si="140"/>
        <v>-7.4207606027992423E-2</v>
      </c>
      <c r="AG20" s="8">
        <f t="shared" si="141"/>
        <v>-6.945754721319918E-3</v>
      </c>
      <c r="AH20" s="8">
        <f t="shared" si="142"/>
        <v>-1.9303680602448747E-2</v>
      </c>
      <c r="AI20" s="8">
        <f t="shared" si="143"/>
        <v>-7.1988750622948849E-2</v>
      </c>
      <c r="AJ20" s="8">
        <f t="shared" si="144"/>
        <v>6.0776748982590473E-2</v>
      </c>
      <c r="AK20" s="8">
        <f t="shared" si="145"/>
        <v>-4.3141616615069746E-2</v>
      </c>
      <c r="AL20" s="8">
        <f t="shared" si="146"/>
        <v>6.1590115199066611E-2</v>
      </c>
      <c r="AM20" s="8">
        <f t="shared" si="147"/>
        <v>4.1972252868057711E-2</v>
      </c>
      <c r="AN20" s="8">
        <f t="shared" si="148"/>
        <v>-1.7924401304212207E-2</v>
      </c>
      <c r="AO20" s="8">
        <f t="shared" si="149"/>
        <v>7.2344510081553737E-2</v>
      </c>
      <c r="AP20" s="8">
        <f t="shared" si="150"/>
        <v>-7.4061315717725784E-2</v>
      </c>
      <c r="AQ20" s="8">
        <f t="shared" si="151"/>
        <v>8.3626440324706501E-3</v>
      </c>
      <c r="AR20" s="8">
        <f t="shared" si="152"/>
        <v>-3.3604991690042323E-2</v>
      </c>
      <c r="AS20" s="8">
        <f t="shared" si="153"/>
        <v>-6.6526061318604016E-2</v>
      </c>
      <c r="AT20" s="8">
        <f t="shared" si="154"/>
        <v>5.0680083470046412E-2</v>
      </c>
      <c r="AU20" s="8">
        <f t="shared" si="155"/>
        <v>-5.4649258371213087E-2</v>
      </c>
      <c r="AV20" s="8">
        <f t="shared" si="156"/>
        <v>6.8866503220070652E-2</v>
      </c>
      <c r="AW20" s="8">
        <f t="shared" si="157"/>
        <v>2.850293029312027E-2</v>
      </c>
      <c r="AX20" s="8">
        <f t="shared" si="158"/>
        <v>-2.7650677269787979E-3</v>
      </c>
      <c r="AY20" s="8">
        <f t="shared" si="159"/>
        <v>7.4480646489673369E-2</v>
      </c>
      <c r="AZ20" s="8">
        <f t="shared" si="160"/>
        <v>-7.0790345109435299E-2</v>
      </c>
      <c r="BA20" s="8">
        <f t="shared" si="161"/>
        <v>2.3318219064532446E-2</v>
      </c>
      <c r="BB20" s="8">
        <f t="shared" si="162"/>
        <v>-4.6488493028625677E-2</v>
      </c>
      <c r="BC20" s="8">
        <f t="shared" si="163"/>
        <v>-5.8256607496333802E-2</v>
      </c>
      <c r="BD20" s="8">
        <f t="shared" si="164"/>
        <v>3.844520238859965E-2</v>
      </c>
      <c r="BE20" s="8">
        <f t="shared" si="165"/>
        <v>-6.3851223280013095E-2</v>
      </c>
      <c r="BF20" s="8">
        <f t="shared" si="166"/>
        <v>7.3237382424222161E-2</v>
      </c>
      <c r="BG20" s="8">
        <f t="shared" si="167"/>
        <v>1.3831056239590286E-2</v>
      </c>
      <c r="BH20" s="8">
        <f t="shared" si="168"/>
        <v>1.251092530418765E-2</v>
      </c>
      <c r="BI20" s="8">
        <f t="shared" si="169"/>
        <v>7.3474410845460428E-2</v>
      </c>
      <c r="BJ20" s="8">
        <f t="shared" si="170"/>
        <v>-6.4532697927684859E-2</v>
      </c>
      <c r="BK20" s="8">
        <f t="shared" si="171"/>
        <v>3.728998792207705E-2</v>
      </c>
      <c r="BL20" s="8">
        <f t="shared" si="172"/>
        <v>-5.7410623888658162E-2</v>
      </c>
      <c r="BM20" s="8">
        <f t="shared" si="173"/>
        <v>-4.7529281140887329E-2</v>
      </c>
      <c r="BN20" s="8">
        <f t="shared" si="174"/>
        <v>2.458830088673461E-2</v>
      </c>
      <c r="BO20" s="8">
        <f t="shared" si="175"/>
        <v>-7.0359276293591039E-2</v>
      </c>
      <c r="BP20" s="8">
        <f t="shared" si="176"/>
        <v>7.4518343447443555E-2</v>
      </c>
      <c r="BQ20" s="8">
        <f t="shared" si="177"/>
        <v>-1.4243563119248693E-3</v>
      </c>
      <c r="BR20" s="8">
        <f t="shared" si="178"/>
        <v>2.7259076756667597E-2</v>
      </c>
      <c r="BS20" s="8">
        <f t="shared" si="179"/>
        <v>6.9368256684369536E-2</v>
      </c>
      <c r="BT20" s="8">
        <f t="shared" si="180"/>
        <v>-5.5552387128108546E-2</v>
      </c>
      <c r="BU20" s="8">
        <f t="shared" si="181"/>
        <v>4.9688475378333298E-2</v>
      </c>
      <c r="BV20" s="8">
        <f t="shared" si="182"/>
        <v>-6.5910574645303505E-2</v>
      </c>
      <c r="BW20" s="8">
        <f t="shared" si="183"/>
        <v>-3.4796672987231818E-2</v>
      </c>
      <c r="BX20" s="8">
        <f t="shared" si="184"/>
        <v>9.6940078857029703E-3</v>
      </c>
      <c r="BY20" s="8">
        <f t="shared" si="185"/>
        <v>-7.389883972138131E-2</v>
      </c>
      <c r="BZ20" s="8">
        <f t="shared" si="186"/>
        <v>7.2655341966689671E-2</v>
      </c>
      <c r="CA20" s="8">
        <f t="shared" si="187"/>
        <v>-1.6619674628519602E-2</v>
      </c>
      <c r="CB20" s="8">
        <f t="shared" si="188"/>
        <v>4.0857155472004789E-2</v>
      </c>
      <c r="CC20" s="8">
        <f t="shared" si="189"/>
        <v>6.2335424501569758E-2</v>
      </c>
      <c r="CD20" s="8">
        <f t="shared" si="190"/>
        <v>-4.4228296071792211E-2</v>
      </c>
      <c r="CE20" s="8">
        <f t="shared" si="191"/>
        <v>5.9990583658107242E-2</v>
      </c>
      <c r="CF20" s="8">
        <f t="shared" si="192"/>
        <v>-7.1629728544240337E-2</v>
      </c>
      <c r="CG20" s="8">
        <f t="shared" si="193"/>
        <v>-2.0595977513410607E-2</v>
      </c>
      <c r="CH20" s="8">
        <f t="shared" si="194"/>
        <v>-5.6092796782229136E-3</v>
      </c>
      <c r="CI20" s="8">
        <f t="shared" si="195"/>
        <v>-7.4320577786679984E-2</v>
      </c>
      <c r="CJ20" s="8">
        <f t="shared" si="196"/>
        <v>6.7726978854301068E-2</v>
      </c>
      <c r="CK20" s="8">
        <f t="shared" si="197"/>
        <v>-3.1113801380151723E-2</v>
      </c>
      <c r="CL20" s="8">
        <f t="shared" si="198"/>
        <v>5.2731452378992121E-2</v>
      </c>
      <c r="CM20" s="8">
        <f t="shared" si="199"/>
        <v>5.267263265735405E-2</v>
      </c>
      <c r="CN20" s="8">
        <f t="shared" si="200"/>
        <v>-3.1038193265462932E-2</v>
      </c>
      <c r="CO20" s="8">
        <f t="shared" si="201"/>
        <v>6.7761662168738496E-2</v>
      </c>
      <c r="CP20" s="8">
        <f t="shared" si="202"/>
        <v>-7.4326791904196693E-2</v>
      </c>
      <c r="CQ20" s="8">
        <f t="shared" si="203"/>
        <v>-5.5263284633394185E-3</v>
      </c>
      <c r="CR20" s="8">
        <f t="shared" si="204"/>
        <v>-2.0675909203781626E-2</v>
      </c>
      <c r="CS20" s="8">
        <f t="shared" si="205"/>
        <v>-7.1606697170386605E-2</v>
      </c>
      <c r="CT20" s="8">
        <f t="shared" si="206"/>
        <v>5.9941183971765517E-2</v>
      </c>
      <c r="CU20" s="8">
        <f t="shared" si="112"/>
        <v>-4.4295222825011665E-2</v>
      </c>
      <c r="DA20" s="20">
        <v>5.1678329716795014E-3</v>
      </c>
    </row>
    <row r="21" spans="1:105">
      <c r="A21" s="15">
        <v>19</v>
      </c>
      <c r="B21" s="16">
        <v>22</v>
      </c>
      <c r="C21" s="8">
        <f t="shared" si="113"/>
        <v>3.0910424533583161</v>
      </c>
      <c r="D21" s="8">
        <f t="shared" si="114"/>
        <v>1.2830107526881722</v>
      </c>
      <c r="E21" s="7">
        <f t="shared" si="115"/>
        <v>4.8947368421052628</v>
      </c>
      <c r="F21" s="8">
        <f>CX39</f>
        <v>0.19902076376777059</v>
      </c>
      <c r="G21" s="8">
        <f>CY39</f>
        <v>0.81768927447686512</v>
      </c>
      <c r="H21" s="8">
        <f t="shared" si="119"/>
        <v>1.8867295420107382E-2</v>
      </c>
      <c r="I21" s="8">
        <f t="shared" si="116"/>
        <v>6.3740269805072566E-2</v>
      </c>
      <c r="J21" s="8">
        <f t="shared" si="117"/>
        <v>-5.5763838725728591E-2</v>
      </c>
      <c r="K21" s="8">
        <f t="shared" si="118"/>
        <v>3.6182746190193786E-2</v>
      </c>
      <c r="L21" s="8">
        <f t="shared" si="120"/>
        <v>-5.0522147672448572E-2</v>
      </c>
      <c r="M21" s="8">
        <f t="shared" si="121"/>
        <v>-4.3200803532531078E-2</v>
      </c>
      <c r="N21" s="8">
        <f t="shared" si="122"/>
        <v>2.708448026354934E-2</v>
      </c>
      <c r="O21" s="8">
        <f t="shared" si="123"/>
        <v>-6.0706076797520499E-2</v>
      </c>
      <c r="P21" s="8">
        <f t="shared" si="124"/>
        <v>6.5896900212189621E-2</v>
      </c>
      <c r="Q21" s="8">
        <f t="shared" si="125"/>
        <v>8.7404447093826047E-3</v>
      </c>
      <c r="R21" s="8">
        <f t="shared" si="126"/>
        <v>1.0322496870212883E-2</v>
      </c>
      <c r="S21" s="8">
        <f t="shared" si="127"/>
        <v>6.5667670048947954E-2</v>
      </c>
      <c r="T21" s="8">
        <f t="shared" si="128"/>
        <v>-6.003724060537919E-2</v>
      </c>
      <c r="U21" s="8">
        <f t="shared" si="129"/>
        <v>2.8536407829032363E-2</v>
      </c>
      <c r="V21" s="8">
        <f t="shared" si="130"/>
        <v>-4.4403184721508344E-2</v>
      </c>
      <c r="W21" s="8">
        <f t="shared" si="131"/>
        <v>-4.9468717568587312E-2</v>
      </c>
      <c r="X21" s="8">
        <f t="shared" si="132"/>
        <v>3.483136733675414E-2</v>
      </c>
      <c r="Y21" s="8">
        <f t="shared" si="133"/>
        <v>-5.6617777073505349E-2</v>
      </c>
      <c r="Z21" s="8">
        <f t="shared" si="134"/>
        <v>6.417552844796813E-2</v>
      </c>
      <c r="AA21" s="8">
        <f t="shared" si="135"/>
        <v>1.7329119415512243E-2</v>
      </c>
      <c r="AB21" s="8">
        <f t="shared" si="136"/>
        <v>1.5984573965826415E-3</v>
      </c>
      <c r="AC21" s="8">
        <f t="shared" si="137"/>
        <v>6.6454809948147175E-2</v>
      </c>
      <c r="AD21" s="8">
        <f t="shared" si="138"/>
        <v>-6.3268149510708221E-2</v>
      </c>
      <c r="AE21" s="8">
        <f t="shared" si="139"/>
        <v>2.0394560274340882E-2</v>
      </c>
      <c r="AF21" s="8">
        <f t="shared" si="140"/>
        <v>-3.7513200190580277E-2</v>
      </c>
      <c r="AG21" s="8">
        <f t="shared" si="141"/>
        <v>-5.4877651578347439E-2</v>
      </c>
      <c r="AH21" s="8">
        <f t="shared" si="142"/>
        <v>4.1973438875993065E-2</v>
      </c>
      <c r="AI21" s="8">
        <f t="shared" si="143"/>
        <v>-5.1546360300377417E-2</v>
      </c>
      <c r="AJ21" s="8">
        <f t="shared" si="144"/>
        <v>6.1339806043114627E-2</v>
      </c>
      <c r="AK21" s="8">
        <f t="shared" si="145"/>
        <v>2.5616889465470426E-2</v>
      </c>
      <c r="AL21" s="8">
        <f t="shared" si="146"/>
        <v>-7.1533378597732396E-3</v>
      </c>
      <c r="AM21" s="8">
        <f t="shared" si="147"/>
        <v>6.6088021522489118E-2</v>
      </c>
      <c r="AN21" s="8">
        <f t="shared" si="148"/>
        <v>-6.5400463598917477E-2</v>
      </c>
      <c r="AO21" s="8">
        <f t="shared" si="149"/>
        <v>1.1898579425281004E-2</v>
      </c>
      <c r="AP21" s="8">
        <f t="shared" si="150"/>
        <v>-2.9971832497323672E-2</v>
      </c>
      <c r="AQ21" s="8">
        <f t="shared" si="151"/>
        <v>-5.9333684261517285E-2</v>
      </c>
      <c r="AR21" s="8">
        <f t="shared" si="152"/>
        <v>4.83866791982221E-2</v>
      </c>
      <c r="AS21" s="8">
        <f t="shared" si="153"/>
        <v>-4.5579887093556856E-2</v>
      </c>
      <c r="AT21" s="8">
        <f t="shared" si="154"/>
        <v>5.7438972780377018E-2</v>
      </c>
      <c r="AU21" s="8">
        <f t="shared" si="155"/>
        <v>3.3459845146505976E-2</v>
      </c>
      <c r="AV21" s="8">
        <f t="shared" si="156"/>
        <v>-1.5780921803507587E-2</v>
      </c>
      <c r="AW21" s="8">
        <f t="shared" si="157"/>
        <v>6.4573673724859657E-2</v>
      </c>
      <c r="AX21" s="8">
        <f t="shared" si="158"/>
        <v>-6.6397157143414862E-2</v>
      </c>
      <c r="AY21" s="8">
        <f t="shared" si="159"/>
        <v>3.1959903888660731E-3</v>
      </c>
      <c r="AZ21" s="8">
        <f t="shared" si="160"/>
        <v>-2.1910030745290496E-2</v>
      </c>
      <c r="BA21" s="8">
        <f t="shared" si="161"/>
        <v>-6.2759440596881322E-2</v>
      </c>
      <c r="BB21" s="8">
        <f t="shared" si="162"/>
        <v>5.3959728122474272E-2</v>
      </c>
      <c r="BC21" s="8">
        <f t="shared" si="163"/>
        <v>-3.8821959922725573E-2</v>
      </c>
      <c r="BD21" s="8">
        <f t="shared" si="164"/>
        <v>5.2540763139711323E-2</v>
      </c>
      <c r="BE21" s="8">
        <f t="shared" si="165"/>
        <v>4.0721800549457558E-2</v>
      </c>
      <c r="BF21" s="8">
        <f t="shared" si="166"/>
        <v>-2.4134484157598782E-2</v>
      </c>
      <c r="BG21" s="8">
        <f t="shared" si="167"/>
        <v>6.1938061850042289E-2</v>
      </c>
      <c r="BH21" s="8">
        <f t="shared" si="168"/>
        <v>-6.6240923452433403E-2</v>
      </c>
      <c r="BI21" s="8">
        <f t="shared" si="169"/>
        <v>-5.5620941615464421E-3</v>
      </c>
      <c r="BJ21" s="8">
        <f t="shared" si="170"/>
        <v>-1.3467780909887631E-2</v>
      </c>
      <c r="BK21" s="8">
        <f t="shared" si="171"/>
        <v>-6.5095435390327624E-2</v>
      </c>
      <c r="BL21" s="8">
        <f t="shared" si="172"/>
        <v>5.8595814639780974E-2</v>
      </c>
      <c r="BM21" s="8">
        <f t="shared" si="173"/>
        <v>-3.1389924147622296E-2</v>
      </c>
      <c r="BN21" s="8">
        <f t="shared" si="174"/>
        <v>4.6730230149631846E-2</v>
      </c>
      <c r="BO21" s="8">
        <f t="shared" si="175"/>
        <v>4.7276658315235115E-2</v>
      </c>
      <c r="BP21" s="8">
        <f t="shared" si="176"/>
        <v>-3.2068972784792343E-2</v>
      </c>
      <c r="BQ21" s="8">
        <f t="shared" si="177"/>
        <v>5.8226950940447664E-2</v>
      </c>
      <c r="BR21" s="8">
        <f t="shared" si="178"/>
        <v>-6.4934475384251761E-2</v>
      </c>
      <c r="BS21" s="8">
        <f t="shared" si="179"/>
        <v>-1.4223597922644304E-2</v>
      </c>
      <c r="BT21" s="8">
        <f t="shared" si="180"/>
        <v>-4.7916751071436893E-3</v>
      </c>
      <c r="BU21" s="8">
        <f t="shared" si="181"/>
        <v>-6.6301106182028585E-2</v>
      </c>
      <c r="BV21" s="8">
        <f t="shared" si="182"/>
        <v>6.2214437255171673E-2</v>
      </c>
      <c r="BW21" s="8">
        <f t="shared" si="183"/>
        <v>-2.3412830420847422E-2</v>
      </c>
      <c r="BX21" s="8">
        <f t="shared" si="184"/>
        <v>4.010826851745989E-2</v>
      </c>
      <c r="BY21" s="8">
        <f t="shared" si="185"/>
        <v>5.3010599202653677E-2</v>
      </c>
      <c r="BZ21" s="8">
        <f t="shared" si="186"/>
        <v>-3.9446612388200387E-2</v>
      </c>
      <c r="CA21" s="8">
        <f t="shared" si="187"/>
        <v>5.3504781117093878E-2</v>
      </c>
      <c r="CB21" s="8">
        <f t="shared" si="188"/>
        <v>-6.2500498240836921E-2</v>
      </c>
      <c r="CC21" s="8">
        <f t="shared" si="189"/>
        <v>-2.2638121630121872E-2</v>
      </c>
      <c r="CD21" s="8">
        <f t="shared" si="190"/>
        <v>3.9676338472455913E-3</v>
      </c>
      <c r="CE21" s="8">
        <f t="shared" si="191"/>
        <v>-6.6355517577268902E-2</v>
      </c>
      <c r="CF21" s="8">
        <f t="shared" si="192"/>
        <v>6.4752761824118377E-2</v>
      </c>
      <c r="CG21" s="8">
        <f t="shared" si="193"/>
        <v>-1.5029193838727604E-2</v>
      </c>
      <c r="CH21" s="8">
        <f t="shared" si="194"/>
        <v>3.2789862682988807E-2</v>
      </c>
      <c r="CI21" s="8">
        <f t="shared" si="195"/>
        <v>5.7824058457737026E-2</v>
      </c>
      <c r="CJ21" s="8">
        <f t="shared" si="196"/>
        <v>-4.6139296856082125E-2</v>
      </c>
      <c r="CK21" s="8">
        <f t="shared" si="197"/>
        <v>4.7853548634551449E-2</v>
      </c>
      <c r="CL21" s="8">
        <f t="shared" si="198"/>
        <v>-5.8981255857869556E-2</v>
      </c>
      <c r="CM21" s="8">
        <f t="shared" si="199"/>
        <v>-3.0659554607358183E-2</v>
      </c>
      <c r="CN21" s="8">
        <f t="shared" si="200"/>
        <v>1.2658048389287553E-2</v>
      </c>
      <c r="CO21" s="8">
        <f t="shared" si="201"/>
        <v>-6.525772477084614E-2</v>
      </c>
      <c r="CP21" s="8">
        <f t="shared" si="202"/>
        <v>6.6166712611244072E-2</v>
      </c>
      <c r="CQ21" s="8">
        <f t="shared" si="203"/>
        <v>-6.3845887505842129E-3</v>
      </c>
      <c r="CR21" s="8">
        <f t="shared" si="204"/>
        <v>2.4902090216552274E-2</v>
      </c>
      <c r="CS21" s="8">
        <f t="shared" si="205"/>
        <v>6.1633454666599224E-2</v>
      </c>
      <c r="CT21" s="8">
        <f t="shared" si="206"/>
        <v>-5.2030813709870102E-2</v>
      </c>
      <c r="CU21" s="8">
        <f t="shared" si="112"/>
        <v>4.1371382089336162E-2</v>
      </c>
      <c r="CX21">
        <v>0.32278756544475973</v>
      </c>
      <c r="CY21">
        <v>1.3413502992417217</v>
      </c>
      <c r="DA21" s="21"/>
    </row>
    <row r="22" spans="1:105">
      <c r="A22" s="15">
        <v>20</v>
      </c>
      <c r="B22" s="16">
        <v>21</v>
      </c>
      <c r="C22" s="8">
        <f t="shared" si="113"/>
        <v>3.044522437723423</v>
      </c>
      <c r="D22" s="8">
        <f t="shared" si="114"/>
        <v>1.3505376344086022</v>
      </c>
      <c r="E22" s="7">
        <f t="shared" si="115"/>
        <v>4.6500000000000004</v>
      </c>
      <c r="F22" s="8">
        <f>CX41</f>
        <v>0.31256463252047056</v>
      </c>
      <c r="G22" s="8">
        <f>CY41</f>
        <v>1.2976436714312867</v>
      </c>
      <c r="H22" s="8">
        <f t="shared" si="119"/>
        <v>1.4304808033055231E-2</v>
      </c>
      <c r="I22" s="8">
        <f t="shared" si="116"/>
        <v>6.3891821623187378E-2</v>
      </c>
      <c r="J22" s="8">
        <f t="shared" si="117"/>
        <v>-5.9222912584945171E-2</v>
      </c>
      <c r="K22" s="8">
        <f t="shared" si="118"/>
        <v>2.7918435273985177E-2</v>
      </c>
      <c r="L22" s="8">
        <f t="shared" si="120"/>
        <v>-4.0183097456245258E-2</v>
      </c>
      <c r="M22" s="8">
        <f t="shared" si="121"/>
        <v>-5.1692466395149426E-2</v>
      </c>
      <c r="N22" s="8">
        <f t="shared" si="122"/>
        <v>4.1664339720068756E-2</v>
      </c>
      <c r="O22" s="8">
        <f t="shared" si="123"/>
        <v>-5.0506189708613515E-2</v>
      </c>
      <c r="P22" s="8">
        <f t="shared" si="124"/>
        <v>5.8388920081999356E-2</v>
      </c>
      <c r="Q22" s="8">
        <f t="shared" si="125"/>
        <v>2.9623072339810558E-2</v>
      </c>
      <c r="R22" s="8">
        <f t="shared" si="126"/>
        <v>-1.6150475118725281E-2</v>
      </c>
      <c r="S22" s="8">
        <f t="shared" si="127"/>
        <v>6.345041021641383E-2</v>
      </c>
      <c r="T22" s="8">
        <f t="shared" si="128"/>
        <v>-6.5446098650259216E-2</v>
      </c>
      <c r="U22" s="8">
        <f t="shared" si="129"/>
        <v>-1.8975180242347745E-3</v>
      </c>
      <c r="V22" s="8">
        <f t="shared" si="130"/>
        <v>-1.2447123489091015E-2</v>
      </c>
      <c r="W22" s="8">
        <f t="shared" si="131"/>
        <v>-6.4279557559453346E-2</v>
      </c>
      <c r="X22" s="8">
        <f t="shared" si="132"/>
        <v>6.0007151964297574E-2</v>
      </c>
      <c r="Y22" s="8">
        <f t="shared" si="133"/>
        <v>-2.6190343952026546E-2</v>
      </c>
      <c r="Z22" s="8">
        <f t="shared" si="134"/>
        <v>3.8668097402964188E-2</v>
      </c>
      <c r="AA22" s="8">
        <f t="shared" si="135"/>
        <v>5.2835316280179782E-2</v>
      </c>
      <c r="AB22" s="8">
        <f t="shared" si="136"/>
        <v>-4.3110579803941042E-2</v>
      </c>
      <c r="AC22" s="8">
        <f t="shared" si="137"/>
        <v>4.927748281070967E-2</v>
      </c>
      <c r="AD22" s="8">
        <f t="shared" si="138"/>
        <v>-5.7505875091924341E-2</v>
      </c>
      <c r="AE22" s="8">
        <f t="shared" si="139"/>
        <v>-3.1302823085206731E-2</v>
      </c>
      <c r="AF22" s="8">
        <f t="shared" si="140"/>
        <v>1.7982574202593346E-2</v>
      </c>
      <c r="AG22" s="8">
        <f t="shared" si="141"/>
        <v>-6.2955694168518081E-2</v>
      </c>
      <c r="AH22" s="8">
        <f t="shared" si="142"/>
        <v>6.5363615271812031E-2</v>
      </c>
      <c r="AI22" s="8">
        <f t="shared" si="143"/>
        <v>3.7934419450278258E-3</v>
      </c>
      <c r="AJ22" s="8">
        <f t="shared" si="144"/>
        <v>1.0578982126198084E-2</v>
      </c>
      <c r="AK22" s="8">
        <f t="shared" si="145"/>
        <v>6.4613292288548022E-2</v>
      </c>
      <c r="AL22" s="8">
        <f t="shared" si="146"/>
        <v>-6.0740979381153394E-2</v>
      </c>
      <c r="AM22" s="8">
        <f t="shared" si="147"/>
        <v>2.4440250142133465E-2</v>
      </c>
      <c r="AN22" s="8">
        <f t="shared" si="148"/>
        <v>-3.7120612310612193E-2</v>
      </c>
      <c r="AO22" s="8">
        <f t="shared" si="149"/>
        <v>-5.3933779256389799E-2</v>
      </c>
      <c r="AP22" s="8">
        <f t="shared" si="150"/>
        <v>4.4520602722673337E-2</v>
      </c>
      <c r="AQ22" s="8">
        <f t="shared" si="151"/>
        <v>-4.8007377937163448E-2</v>
      </c>
      <c r="AR22" s="8">
        <f t="shared" si="152"/>
        <v>5.6574519460141352E-2</v>
      </c>
      <c r="AS22" s="8">
        <f t="shared" si="153"/>
        <v>3.2956276352856431E-2</v>
      </c>
      <c r="AT22" s="8">
        <f t="shared" si="154"/>
        <v>-1.9799566139619338E-2</v>
      </c>
      <c r="AU22" s="8">
        <f t="shared" si="155"/>
        <v>6.2408089090073858E-2</v>
      </c>
      <c r="AV22" s="8">
        <f t="shared" si="156"/>
        <v>-6.5226219970138055E-2</v>
      </c>
      <c r="AW22" s="8">
        <f t="shared" si="157"/>
        <v>-5.6861789981427482E-3</v>
      </c>
      <c r="AX22" s="8">
        <f t="shared" si="158"/>
        <v>-8.7019533685073619E-3</v>
      </c>
      <c r="AY22" s="8">
        <f t="shared" si="159"/>
        <v>-6.4892745440180602E-2</v>
      </c>
      <c r="AZ22" s="8">
        <f t="shared" si="160"/>
        <v>6.1423778347660683E-2</v>
      </c>
      <c r="BA22" s="8">
        <f t="shared" si="161"/>
        <v>-2.2669624096777769E-2</v>
      </c>
      <c r="BB22" s="8">
        <f t="shared" si="162"/>
        <v>3.5541942220232652E-2</v>
      </c>
      <c r="BC22" s="8">
        <f t="shared" si="163"/>
        <v>5.49869325058727E-2</v>
      </c>
      <c r="BD22" s="8">
        <f t="shared" si="164"/>
        <v>-4.5893223917089082E-2</v>
      </c>
      <c r="BE22" s="8">
        <f t="shared" si="165"/>
        <v>4.6696942102108549E-2</v>
      </c>
      <c r="BF22" s="8">
        <f t="shared" si="166"/>
        <v>-5.5595635617804576E-2</v>
      </c>
      <c r="BG22" s="8">
        <f t="shared" si="167"/>
        <v>-3.4582043077933618E-2</v>
      </c>
      <c r="BH22" s="8">
        <f t="shared" si="168"/>
        <v>2.1599924476266172E-2</v>
      </c>
      <c r="BI22" s="8">
        <f t="shared" si="169"/>
        <v>-6.1808055023688892E-2</v>
      </c>
      <c r="BJ22" s="8">
        <f t="shared" si="170"/>
        <v>6.503402817092524E-2</v>
      </c>
      <c r="BK22" s="8">
        <f t="shared" si="171"/>
        <v>7.5741390966273039E-3</v>
      </c>
      <c r="BL22" s="8">
        <f t="shared" si="172"/>
        <v>6.8176141064434127E-3</v>
      </c>
      <c r="BM22" s="8">
        <f t="shared" si="173"/>
        <v>6.5117682245972017E-2</v>
      </c>
      <c r="BN22" s="8">
        <f t="shared" si="174"/>
        <v>-6.205497524492961E-2</v>
      </c>
      <c r="BO22" s="8">
        <f t="shared" si="175"/>
        <v>2.0879953317546728E-2</v>
      </c>
      <c r="BP22" s="8">
        <f t="shared" si="176"/>
        <v>-3.3933413371361673E-2</v>
      </c>
      <c r="BQ22" s="8">
        <f t="shared" si="177"/>
        <v>-5.5993891275388695E-2</v>
      </c>
      <c r="BR22" s="8">
        <f t="shared" si="178"/>
        <v>4.7227290249172264E-2</v>
      </c>
      <c r="BS22" s="8">
        <f t="shared" si="179"/>
        <v>-4.5347276201688186E-2</v>
      </c>
      <c r="BT22" s="8">
        <f t="shared" si="180"/>
        <v>5.4570045924481933E-2</v>
      </c>
      <c r="BU22" s="8">
        <f t="shared" si="181"/>
        <v>3.6178757455054888E-2</v>
      </c>
      <c r="BV22" s="8">
        <f t="shared" si="182"/>
        <v>-2.3382136732870967E-2</v>
      </c>
      <c r="BW22" s="8">
        <f t="shared" si="183"/>
        <v>6.1156096057523833E-2</v>
      </c>
      <c r="BX22" s="8">
        <f t="shared" si="184"/>
        <v>-6.4787201334357086E-2</v>
      </c>
      <c r="BY22" s="8">
        <f t="shared" si="185"/>
        <v>-9.4557361666470444E-3</v>
      </c>
      <c r="BZ22" s="8">
        <f t="shared" si="186"/>
        <v>-4.9275473719794681E-3</v>
      </c>
      <c r="CA22" s="8">
        <f t="shared" si="187"/>
        <v>-6.5287913736683717E-2</v>
      </c>
      <c r="CB22" s="8">
        <f t="shared" si="188"/>
        <v>6.2634039804929237E-2</v>
      </c>
      <c r="CC22" s="8">
        <f t="shared" si="189"/>
        <v>-1.9072741305493971E-2</v>
      </c>
      <c r="CD22" s="8">
        <f t="shared" si="190"/>
        <v>3.2296377087855647E-2</v>
      </c>
      <c r="CE22" s="8">
        <f t="shared" si="191"/>
        <v>5.6953809619645197E-2</v>
      </c>
      <c r="CF22" s="8">
        <f t="shared" si="192"/>
        <v>-4.8521680970817001E-2</v>
      </c>
      <c r="CG22" s="8">
        <f t="shared" si="193"/>
        <v>4.3959514089193616E-2</v>
      </c>
      <c r="CH22" s="8">
        <f t="shared" si="194"/>
        <v>-5.3498611977290743E-2</v>
      </c>
      <c r="CI22" s="8">
        <f t="shared" si="195"/>
        <v>-3.7745078085692704E-2</v>
      </c>
      <c r="CJ22" s="8">
        <f t="shared" si="196"/>
        <v>2.5144705674279465E-2</v>
      </c>
      <c r="CK22" s="8">
        <f t="shared" si="197"/>
        <v>-6.0452759901807755E-2</v>
      </c>
      <c r="CL22" s="8">
        <f t="shared" si="198"/>
        <v>6.4485946819470438E-2</v>
      </c>
      <c r="CM22" s="8">
        <f t="shared" si="199"/>
        <v>1.132938947994056E-2</v>
      </c>
      <c r="CN22" s="8">
        <f t="shared" si="200"/>
        <v>3.0333410087353377E-3</v>
      </c>
      <c r="CO22" s="8">
        <f t="shared" si="201"/>
        <v>6.5403296900970381E-2</v>
      </c>
      <c r="CP22" s="8">
        <f t="shared" si="202"/>
        <v>-6.3160485555965373E-2</v>
      </c>
      <c r="CQ22" s="8">
        <f t="shared" si="203"/>
        <v>1.7249506298049413E-2</v>
      </c>
      <c r="CR22" s="8">
        <f t="shared" si="204"/>
        <v>-3.0632208642645032E-2</v>
      </c>
      <c r="CS22" s="8">
        <f t="shared" si="205"/>
        <v>-5.7865881111974951E-2</v>
      </c>
      <c r="CT22" s="8">
        <f t="shared" si="206"/>
        <v>4.977530866536746E-2</v>
      </c>
      <c r="CU22" s="8">
        <f t="shared" si="112"/>
        <v>-4.2534821622514783E-2</v>
      </c>
      <c r="DA22" s="20">
        <v>1.2240516522783011E-2</v>
      </c>
    </row>
    <row r="23" spans="1:105">
      <c r="A23" s="15">
        <v>21</v>
      </c>
      <c r="B23" s="16">
        <v>21</v>
      </c>
      <c r="C23" s="8">
        <f t="shared" si="113"/>
        <v>3.044522437723423</v>
      </c>
      <c r="D23" s="8">
        <f t="shared" si="114"/>
        <v>1.4180645161290322</v>
      </c>
      <c r="E23" s="7">
        <f t="shared" si="115"/>
        <v>4.4285714285714288</v>
      </c>
      <c r="F23" s="8">
        <f>CX43</f>
        <v>9.0795614011622297E-2</v>
      </c>
      <c r="G23" s="8">
        <f>CY43</f>
        <v>0.36938949053321113</v>
      </c>
      <c r="H23" s="8">
        <f t="shared" si="119"/>
        <v>9.9610689620984044E-3</v>
      </c>
      <c r="I23" s="8">
        <f t="shared" si="116"/>
        <v>6.4711432593662119E-2</v>
      </c>
      <c r="J23" s="8">
        <f t="shared" si="117"/>
        <v>-6.2442672509215584E-2</v>
      </c>
      <c r="K23" s="8">
        <f t="shared" si="118"/>
        <v>1.9690227350099558E-2</v>
      </c>
      <c r="L23" s="8">
        <f t="shared" si="120"/>
        <v>-2.896096386126782E-2</v>
      </c>
      <c r="M23" s="8">
        <f t="shared" si="121"/>
        <v>-5.8720141139289639E-2</v>
      </c>
      <c r="N23" s="8">
        <f t="shared" si="122"/>
        <v>5.363050532560372E-2</v>
      </c>
      <c r="O23" s="8">
        <f t="shared" si="123"/>
        <v>-3.7557440031399207E-2</v>
      </c>
      <c r="P23" s="8">
        <f t="shared" si="124"/>
        <v>4.527951532021493E-2</v>
      </c>
      <c r="Q23" s="8">
        <f t="shared" si="125"/>
        <v>4.7292260419207893E-2</v>
      </c>
      <c r="R23" s="8">
        <f t="shared" si="126"/>
        <v>-3.9852971507805535E-2</v>
      </c>
      <c r="S23" s="8">
        <f t="shared" si="127"/>
        <v>5.1947406722470731E-2</v>
      </c>
      <c r="T23" s="8">
        <f t="shared" si="128"/>
        <v>-5.7405874421135004E-2</v>
      </c>
      <c r="U23" s="8">
        <f t="shared" si="129"/>
        <v>-3.1485837850319852E-2</v>
      </c>
      <c r="V23" s="8">
        <f t="shared" si="130"/>
        <v>2.2385660504492665E-2</v>
      </c>
      <c r="W23" s="8">
        <f t="shared" si="131"/>
        <v>-6.1527836033533255E-2</v>
      </c>
      <c r="X23" s="8">
        <f t="shared" si="132"/>
        <v>6.4217325304680661E-2</v>
      </c>
      <c r="Y23" s="8">
        <f t="shared" si="133"/>
        <v>1.276430702798147E-2</v>
      </c>
      <c r="Z23" s="8">
        <f t="shared" si="134"/>
        <v>-2.8457788424027896E-3</v>
      </c>
      <c r="AA23" s="8">
        <f t="shared" si="135"/>
        <v>6.5411726364405717E-2</v>
      </c>
      <c r="AB23" s="8">
        <f t="shared" si="136"/>
        <v>-6.5083231530970911E-2</v>
      </c>
      <c r="AC23" s="8">
        <f t="shared" si="137"/>
        <v>7.1390038995499715E-3</v>
      </c>
      <c r="AD23" s="8">
        <f t="shared" si="138"/>
        <v>-1.6957578526778629E-2</v>
      </c>
      <c r="AE23" s="8">
        <f t="shared" si="139"/>
        <v>-6.323948872105066E-2</v>
      </c>
      <c r="AF23" s="8">
        <f t="shared" si="140"/>
        <v>5.9923423393264195E-2</v>
      </c>
      <c r="AG23" s="8">
        <f t="shared" si="141"/>
        <v>-2.6381351974896085E-2</v>
      </c>
      <c r="AH23" s="8">
        <f t="shared" si="142"/>
        <v>3.5190922820337152E-2</v>
      </c>
      <c r="AI23" s="8">
        <f t="shared" si="143"/>
        <v>5.5212239170720386E-2</v>
      </c>
      <c r="AJ23" s="8">
        <f t="shared" si="144"/>
        <v>-4.9215620409775465E-2</v>
      </c>
      <c r="AK23" s="8">
        <f t="shared" si="145"/>
        <v>4.3181189317486955E-2</v>
      </c>
      <c r="AL23" s="8">
        <f t="shared" si="146"/>
        <v>-5.0166124515061958E-2</v>
      </c>
      <c r="AM23" s="8">
        <f t="shared" si="147"/>
        <v>-4.2073178562250992E-2</v>
      </c>
      <c r="AN23" s="8">
        <f t="shared" si="148"/>
        <v>3.3951201784128825E-2</v>
      </c>
      <c r="AO23" s="8">
        <f t="shared" si="149"/>
        <v>-5.5983107278938384E-2</v>
      </c>
      <c r="AP23" s="8">
        <f t="shared" si="150"/>
        <v>6.0496708387873271E-2</v>
      </c>
      <c r="AQ23" s="8">
        <f t="shared" si="151"/>
        <v>2.5038783465343922E-2</v>
      </c>
      <c r="AR23" s="8">
        <f t="shared" si="152"/>
        <v>-1.5543419815065051E-2</v>
      </c>
      <c r="AS23" s="8">
        <f t="shared" si="153"/>
        <v>6.3601843555390752E-2</v>
      </c>
      <c r="AT23" s="8">
        <f t="shared" si="154"/>
        <v>-6.5226219970138083E-2</v>
      </c>
      <c r="AU23" s="8">
        <f t="shared" si="155"/>
        <v>-5.6861789981425166E-3</v>
      </c>
      <c r="AV23" s="8">
        <f t="shared" si="156"/>
        <v>-4.3034457065832792E-3</v>
      </c>
      <c r="AW23" s="8">
        <f t="shared" si="157"/>
        <v>-6.533201939510401E-2</v>
      </c>
      <c r="AX23" s="8">
        <f t="shared" si="158"/>
        <v>6.3916778640295949E-2</v>
      </c>
      <c r="AY23" s="8">
        <f t="shared" si="159"/>
        <v>-1.4192878898911411E-2</v>
      </c>
      <c r="AZ23" s="8">
        <f t="shared" si="160"/>
        <v>2.3751877806921146E-2</v>
      </c>
      <c r="BA23" s="8">
        <f t="shared" si="161"/>
        <v>6.101344690997914E-2</v>
      </c>
      <c r="BB23" s="8">
        <f t="shared" si="162"/>
        <v>-5.668961868933757E-2</v>
      </c>
      <c r="BC23" s="8">
        <f t="shared" si="163"/>
        <v>3.2757892729070114E-2</v>
      </c>
      <c r="BD23" s="8">
        <f t="shared" si="164"/>
        <v>-4.1001248368573773E-2</v>
      </c>
      <c r="BE23" s="8">
        <f t="shared" si="165"/>
        <v>-5.104596003025394E-2</v>
      </c>
      <c r="BF23" s="8">
        <f t="shared" si="166"/>
        <v>4.4213864874946059E-2</v>
      </c>
      <c r="BG23" s="8">
        <f t="shared" si="167"/>
        <v>-4.829002542981075E-2</v>
      </c>
      <c r="BH23" s="8">
        <f t="shared" si="168"/>
        <v>5.4454528824917033E-2</v>
      </c>
      <c r="BI23" s="8">
        <f t="shared" si="169"/>
        <v>3.6352395982218774E-2</v>
      </c>
      <c r="BJ23" s="8">
        <f t="shared" si="170"/>
        <v>-2.7644581676753068E-2</v>
      </c>
      <c r="BK23" s="8">
        <f t="shared" si="171"/>
        <v>5.9351238463144856E-2</v>
      </c>
      <c r="BL23" s="8">
        <f t="shared" si="172"/>
        <v>-6.286615064190898E-2</v>
      </c>
      <c r="BM23" s="8">
        <f t="shared" si="173"/>
        <v>-1.8293154639388021E-2</v>
      </c>
      <c r="BN23" s="8">
        <f t="shared" si="174"/>
        <v>8.5158319465851104E-3</v>
      </c>
      <c r="BO23" s="8">
        <f t="shared" si="175"/>
        <v>-6.4917432246271695E-2</v>
      </c>
      <c r="BP23" s="8">
        <f t="shared" si="176"/>
        <v>6.5457325962603841E-2</v>
      </c>
      <c r="BQ23" s="8">
        <f t="shared" si="177"/>
        <v>-1.4597537522428432E-3</v>
      </c>
      <c r="BR23" s="8">
        <f t="shared" si="178"/>
        <v>1.140135390875441E-2</v>
      </c>
      <c r="BS23" s="8">
        <f t="shared" si="179"/>
        <v>6.4473262149817481E-2</v>
      </c>
      <c r="BT23" s="8">
        <f t="shared" si="180"/>
        <v>-6.1988151481921688E-2</v>
      </c>
      <c r="BU23" s="8">
        <f t="shared" si="181"/>
        <v>2.107751121565558E-2</v>
      </c>
      <c r="BV23" s="8">
        <f t="shared" si="182"/>
        <v>-3.0262948325240714E-2</v>
      </c>
      <c r="BW23" s="8">
        <f t="shared" si="183"/>
        <v>-5.8059851548686953E-2</v>
      </c>
      <c r="BX23" s="8">
        <f t="shared" si="184"/>
        <v>5.2779819832860356E-2</v>
      </c>
      <c r="BY23" s="8">
        <f t="shared" si="185"/>
        <v>-3.8743812687996489E-2</v>
      </c>
      <c r="BZ23" s="8">
        <f t="shared" si="186"/>
        <v>4.632265540253544E-2</v>
      </c>
      <c r="CA23" s="8">
        <f t="shared" si="187"/>
        <v>4.6270984424904016E-2</v>
      </c>
      <c r="CB23" s="8">
        <f t="shared" si="188"/>
        <v>-3.8684882048627904E-2</v>
      </c>
      <c r="CC23" s="8">
        <f t="shared" si="189"/>
        <v>5.2823028160788953E-2</v>
      </c>
      <c r="CD23" s="8">
        <f t="shared" si="190"/>
        <v>-5.8093591263780282E-2</v>
      </c>
      <c r="CE23" s="8">
        <f t="shared" si="191"/>
        <v>-3.0198130029334407E-2</v>
      </c>
      <c r="CF23" s="8">
        <f t="shared" si="192"/>
        <v>2.1008314343037508E-2</v>
      </c>
      <c r="CG23" s="8">
        <f t="shared" si="193"/>
        <v>-6.2011637066407797E-2</v>
      </c>
      <c r="CH23" s="8">
        <f t="shared" si="194"/>
        <v>6.4485946819470508E-2</v>
      </c>
      <c r="CI23" s="8">
        <f t="shared" si="195"/>
        <v>1.1329389479940104E-2</v>
      </c>
      <c r="CJ23" s="8">
        <f t="shared" si="196"/>
        <v>-1.3866972211483844E-3</v>
      </c>
      <c r="CK23" s="8">
        <f t="shared" si="197"/>
        <v>6.5458914396807844E-2</v>
      </c>
      <c r="CL23" s="8">
        <f t="shared" si="198"/>
        <v>-6.4907887463585265E-2</v>
      </c>
      <c r="CM23" s="8">
        <f t="shared" si="199"/>
        <v>8.5882797000509346E-3</v>
      </c>
      <c r="CN23" s="8">
        <f t="shared" si="200"/>
        <v>-1.8363306908691781E-2</v>
      </c>
      <c r="CO23" s="8">
        <f t="shared" si="201"/>
        <v>-6.2845694861055915E-2</v>
      </c>
      <c r="CP23" s="8">
        <f t="shared" si="202"/>
        <v>5.9320347929385502E-2</v>
      </c>
      <c r="CQ23" s="8">
        <f t="shared" si="203"/>
        <v>-2.7710805198124543E-2</v>
      </c>
      <c r="CR23" s="8">
        <f t="shared" si="204"/>
        <v>3.6413148959800669E-2</v>
      </c>
      <c r="CS23" s="8">
        <f t="shared" si="205"/>
        <v>5.4413922722251186E-2</v>
      </c>
      <c r="CT23" s="8">
        <f t="shared" si="206"/>
        <v>-4.824064913715443E-2</v>
      </c>
      <c r="CU23" s="8">
        <f t="shared" si="112"/>
        <v>4.4267732876415965E-2</v>
      </c>
      <c r="CX23">
        <v>0.22816077428920709</v>
      </c>
      <c r="CY23">
        <v>0.93991349497941101</v>
      </c>
      <c r="DA23" s="21"/>
    </row>
    <row r="24" spans="1:105">
      <c r="A24" s="15">
        <v>22</v>
      </c>
      <c r="B24" s="16">
        <v>33</v>
      </c>
      <c r="C24" s="8">
        <f t="shared" si="113"/>
        <v>3.4965075614664802</v>
      </c>
      <c r="D24" s="8">
        <f t="shared" si="114"/>
        <v>1.4855913978494624</v>
      </c>
      <c r="E24" s="7">
        <f t="shared" si="115"/>
        <v>4.2272727272727275</v>
      </c>
      <c r="F24" s="8">
        <f>CX45</f>
        <v>0.121890660628312</v>
      </c>
      <c r="G24" s="8">
        <f>CY45</f>
        <v>0.49729343134496856</v>
      </c>
      <c r="H24" s="8">
        <f t="shared" si="119"/>
        <v>6.3991254260643863E-3</v>
      </c>
      <c r="I24" s="8">
        <f t="shared" si="116"/>
        <v>7.4920927434359824E-2</v>
      </c>
      <c r="J24" s="8">
        <f t="shared" si="117"/>
        <v>-7.4104555917708675E-2</v>
      </c>
      <c r="K24" s="8">
        <f t="shared" si="118"/>
        <v>1.2751822069112476E-2</v>
      </c>
      <c r="L24" s="8">
        <f t="shared" si="120"/>
        <v>-1.9011998009644281E-2</v>
      </c>
      <c r="M24" s="8">
        <f t="shared" si="121"/>
        <v>-7.2750519623741489E-2</v>
      </c>
      <c r="N24" s="8">
        <f t="shared" si="122"/>
        <v>7.0868642747657348E-2</v>
      </c>
      <c r="O24" s="8">
        <f t="shared" si="123"/>
        <v>-2.5134232611083017E-2</v>
      </c>
      <c r="P24" s="8">
        <f t="shared" si="124"/>
        <v>3.1074106068696084E-2</v>
      </c>
      <c r="Q24" s="8">
        <f t="shared" si="125"/>
        <v>6.8472579226099992E-2</v>
      </c>
      <c r="R24" s="8">
        <f t="shared" si="126"/>
        <v>-6.5579713671173268E-2</v>
      </c>
      <c r="S24" s="8">
        <f t="shared" si="127"/>
        <v>3.678852169699192E-2</v>
      </c>
      <c r="T24" s="8">
        <f t="shared" si="128"/>
        <v>-4.2236018617240231E-2</v>
      </c>
      <c r="U24" s="8">
        <f t="shared" si="129"/>
        <v>-6.221103523658203E-2</v>
      </c>
      <c r="V24" s="8">
        <f t="shared" si="130"/>
        <v>5.8390985331062427E-2</v>
      </c>
      <c r="W24" s="8">
        <f t="shared" si="131"/>
        <v>-4.7377072576413652E-2</v>
      </c>
      <c r="X24" s="8">
        <f t="shared" si="132"/>
        <v>5.2174382714964662E-2</v>
      </c>
      <c r="Y24" s="8">
        <f t="shared" si="133"/>
        <v>5.4147280284013451E-2</v>
      </c>
      <c r="Z24" s="8">
        <f t="shared" si="134"/>
        <v>-4.9510710249978947E-2</v>
      </c>
      <c r="AA24" s="8">
        <f t="shared" si="135"/>
        <v>5.6593142202794711E-2</v>
      </c>
      <c r="AB24" s="8">
        <f t="shared" si="136"/>
        <v>-6.0601290779820988E-2</v>
      </c>
      <c r="AC24" s="8">
        <f t="shared" si="137"/>
        <v>-4.451491581102561E-2</v>
      </c>
      <c r="AD24" s="8">
        <f t="shared" si="138"/>
        <v>3.91961438978757E-2</v>
      </c>
      <c r="AE24" s="8">
        <f t="shared" si="139"/>
        <v>-6.4169747368835239E-2</v>
      </c>
      <c r="AF24" s="8">
        <f t="shared" si="140"/>
        <v>6.7272621072934913E-2</v>
      </c>
      <c r="AG24" s="8">
        <f t="shared" si="141"/>
        <v>3.359298480070546E-2</v>
      </c>
      <c r="AH24" s="8">
        <f t="shared" si="142"/>
        <v>-2.7746092177727319E-2</v>
      </c>
      <c r="AI24" s="8">
        <f t="shared" si="143"/>
        <v>6.9887399026635502E-2</v>
      </c>
      <c r="AJ24" s="8">
        <f t="shared" si="144"/>
        <v>-7.1995109737714932E-2</v>
      </c>
      <c r="AK24" s="8">
        <f t="shared" si="145"/>
        <v>-2.1697888093026432E-2</v>
      </c>
      <c r="AL24" s="8">
        <f t="shared" si="146"/>
        <v>1.5492255223748004E-2</v>
      </c>
      <c r="AM24" s="8">
        <f t="shared" si="147"/>
        <v>-7.358046073466358E-2</v>
      </c>
      <c r="AN24" s="8">
        <f t="shared" si="148"/>
        <v>7.4631949521039812E-2</v>
      </c>
      <c r="AO24" s="8">
        <f t="shared" si="149"/>
        <v>9.174218469825161E-3</v>
      </c>
      <c r="AP24" s="8">
        <f t="shared" si="150"/>
        <v>-2.7896182763199389E-3</v>
      </c>
      <c r="AQ24" s="8">
        <f t="shared" si="151"/>
        <v>7.5141947031704834E-2</v>
      </c>
      <c r="AR24" s="8">
        <f t="shared" si="152"/>
        <v>-7.5106752985419509E-2</v>
      </c>
      <c r="AS24" s="8">
        <f t="shared" si="153"/>
        <v>3.6152219614144052E-3</v>
      </c>
      <c r="AT24" s="8">
        <f t="shared" si="154"/>
        <v>-9.9938319966091059E-3</v>
      </c>
      <c r="AU24" s="8">
        <f t="shared" si="155"/>
        <v>-7.4526622732193265E-2</v>
      </c>
      <c r="AV24" s="8">
        <f t="shared" si="156"/>
        <v>7.3405765400595319E-2</v>
      </c>
      <c r="AW24" s="8">
        <f t="shared" si="157"/>
        <v>-1.6299931895436794E-2</v>
      </c>
      <c r="AX24" s="8">
        <f t="shared" si="158"/>
        <v>2.2487767820555223E-2</v>
      </c>
      <c r="AY24" s="8">
        <f t="shared" si="159"/>
        <v>7.1752313358468905E-2</v>
      </c>
      <c r="AZ24" s="8">
        <f t="shared" si="160"/>
        <v>-6.957826320862813E-2</v>
      </c>
      <c r="BA24" s="8">
        <f t="shared" si="161"/>
        <v>2.8512443997559707E-2</v>
      </c>
      <c r="BB24" s="8">
        <f t="shared" si="162"/>
        <v>-3.433024845577716E-2</v>
      </c>
      <c r="BC24" s="8">
        <f t="shared" si="163"/>
        <v>-6.6899388747638969E-2</v>
      </c>
      <c r="BD24" s="8">
        <f t="shared" si="164"/>
        <v>6.3735126519215896E-2</v>
      </c>
      <c r="BE24" s="8">
        <f t="shared" si="165"/>
        <v>-3.9898970179976526E-2</v>
      </c>
      <c r="BF24" s="8">
        <f t="shared" si="166"/>
        <v>4.5178205371920334E-2</v>
      </c>
      <c r="BG24" s="8">
        <f t="shared" si="167"/>
        <v>6.0108434792595485E-2</v>
      </c>
      <c r="BH24" s="8">
        <f t="shared" si="168"/>
        <v>-5.6045626989070646E-2</v>
      </c>
      <c r="BI24" s="8">
        <f t="shared" si="169"/>
        <v>5.0129650599670755E-2</v>
      </c>
      <c r="BJ24" s="8">
        <f t="shared" si="170"/>
        <v>-5.4717380707712045E-2</v>
      </c>
      <c r="BK24" s="8">
        <f t="shared" si="171"/>
        <v>-5.157618076525651E-2</v>
      </c>
      <c r="BL24" s="8">
        <f t="shared" si="172"/>
        <v>4.6732524138282744E-2</v>
      </c>
      <c r="BM24" s="8">
        <f t="shared" si="173"/>
        <v>-5.890810947151448E-2</v>
      </c>
      <c r="BN24" s="8">
        <f t="shared" si="174"/>
        <v>6.267143110536591E-2</v>
      </c>
      <c r="BO24" s="8">
        <f t="shared" si="175"/>
        <v>4.1549800204675955E-2</v>
      </c>
      <c r="BP24" s="8">
        <f t="shared" si="176"/>
        <v>-3.6065612160017989E-2</v>
      </c>
      <c r="BQ24" s="8">
        <f t="shared" si="177"/>
        <v>6.5980040871207984E-2</v>
      </c>
      <c r="BR24" s="8">
        <f t="shared" si="178"/>
        <v>-6.8809933187859579E-2</v>
      </c>
      <c r="BS24" s="8">
        <f t="shared" si="179"/>
        <v>-3.0319750469379139E-2</v>
      </c>
      <c r="BT24" s="8">
        <f t="shared" si="180"/>
        <v>2.4353904168043752E-2</v>
      </c>
      <c r="BU24" s="8">
        <f t="shared" si="181"/>
        <v>-7.1140575803242248E-2</v>
      </c>
      <c r="BV24" s="8">
        <f t="shared" si="182"/>
        <v>7.2955058765905856E-2</v>
      </c>
      <c r="BW24" s="8">
        <f t="shared" si="183"/>
        <v>1.8211358387180712E-2</v>
      </c>
      <c r="BX24" s="8">
        <f t="shared" si="184"/>
        <v>-1.1936680299057921E-2</v>
      </c>
      <c r="BY24" s="8">
        <f t="shared" si="185"/>
        <v>7.4240217114992305E-2</v>
      </c>
      <c r="BZ24" s="8">
        <f t="shared" si="186"/>
        <v>-7.4986726398461864E-2</v>
      </c>
      <c r="CA24" s="8">
        <f t="shared" si="187"/>
        <v>-5.5753957604225213E-3</v>
      </c>
      <c r="CB24" s="8">
        <f t="shared" si="188"/>
        <v>-8.2634099984611243E-4</v>
      </c>
      <c r="CC24" s="8">
        <f t="shared" si="189"/>
        <v>-7.5189170326550939E-2</v>
      </c>
      <c r="CD24" s="8">
        <f t="shared" si="190"/>
        <v>7.4846080069601584E-2</v>
      </c>
      <c r="CE24" s="8">
        <f t="shared" si="191"/>
        <v>-7.2220822522250181E-3</v>
      </c>
      <c r="CF24" s="8">
        <f t="shared" si="192"/>
        <v>1.3565423767532258E-2</v>
      </c>
      <c r="CG24" s="8">
        <f t="shared" si="193"/>
        <v>7.3959944915138923E-2</v>
      </c>
      <c r="CH24" s="8">
        <f t="shared" si="194"/>
        <v>-7.2537194206873323E-2</v>
      </c>
      <c r="CI24" s="8">
        <f t="shared" si="195"/>
        <v>1.9810341502292626E-2</v>
      </c>
      <c r="CJ24" s="8">
        <f t="shared" si="196"/>
        <v>-2.5911525525670758E-2</v>
      </c>
      <c r="CK24" s="8">
        <f t="shared" si="197"/>
        <v>-7.0588150696668808E-2</v>
      </c>
      <c r="CL24" s="8">
        <f t="shared" si="198"/>
        <v>6.8126955647932683E-2</v>
      </c>
      <c r="CM24" s="8">
        <f t="shared" si="199"/>
        <v>-3.1824708765167464E-2</v>
      </c>
      <c r="CN24" s="8">
        <f t="shared" si="200"/>
        <v>3.7506988185871504E-2</v>
      </c>
      <c r="CO24" s="8">
        <f t="shared" si="201"/>
        <v>6.5171466233835879E-2</v>
      </c>
      <c r="CP24" s="8">
        <f t="shared" si="202"/>
        <v>-6.1743125974793596E-2</v>
      </c>
      <c r="CQ24" s="8">
        <f t="shared" si="203"/>
        <v>4.2917136072947386E-2</v>
      </c>
      <c r="CR24" s="8">
        <f t="shared" si="204"/>
        <v>-4.8015899158859045E-2</v>
      </c>
      <c r="CS24" s="8">
        <f t="shared" si="205"/>
        <v>-5.786680915524367E-2</v>
      </c>
      <c r="CT24" s="8">
        <f t="shared" si="206"/>
        <v>5.3570640348549539E-2</v>
      </c>
      <c r="CU24" s="8">
        <f t="shared" si="112"/>
        <v>-5.2766283425019336E-2</v>
      </c>
      <c r="DA24" s="20">
        <v>2.2345468629367048E-2</v>
      </c>
    </row>
    <row r="25" spans="1:105">
      <c r="A25" s="15">
        <v>23</v>
      </c>
      <c r="B25" s="16">
        <v>87</v>
      </c>
      <c r="C25" s="8">
        <f t="shared" si="113"/>
        <v>4.4659081186545837</v>
      </c>
      <c r="D25" s="8">
        <f t="shared" si="114"/>
        <v>1.5531182795698923</v>
      </c>
      <c r="E25" s="7">
        <f t="shared" si="115"/>
        <v>4.0434782608695654</v>
      </c>
      <c r="F25" s="8">
        <f>CX47</f>
        <v>0.14627738974324678</v>
      </c>
      <c r="G25" s="8">
        <f>CY47</f>
        <v>0.59810959572897648</v>
      </c>
      <c r="H25" s="8">
        <f t="shared" si="119"/>
        <v>1.697729518490434E-3</v>
      </c>
      <c r="I25" s="8">
        <f t="shared" si="116"/>
        <v>9.6026028147657191E-2</v>
      </c>
      <c r="J25" s="8">
        <f t="shared" si="117"/>
        <v>-9.5981012850960945E-2</v>
      </c>
      <c r="K25" s="8">
        <f t="shared" si="118"/>
        <v>3.3949284876525817E-3</v>
      </c>
      <c r="L25" s="8">
        <f t="shared" si="120"/>
        <v>-5.0910665239575683E-3</v>
      </c>
      <c r="M25" s="8">
        <f t="shared" si="121"/>
        <v>-9.5906002987202241E-2</v>
      </c>
      <c r="N25" s="8">
        <f t="shared" si="122"/>
        <v>9.5801021997354643E-2</v>
      </c>
      <c r="O25" s="8">
        <f t="shared" si="123"/>
        <v>-6.7856135754236543E-3</v>
      </c>
      <c r="P25" s="8">
        <f t="shared" si="124"/>
        <v>8.4780400872600525E-3</v>
      </c>
      <c r="Q25" s="8">
        <f t="shared" si="125"/>
        <v>9.5666102688525032E-2</v>
      </c>
      <c r="R25" s="8">
        <f t="shared" si="126"/>
        <v>-9.5501287223700992E-2</v>
      </c>
      <c r="S25" s="8">
        <f t="shared" si="127"/>
        <v>1.0167817167355627E-2</v>
      </c>
      <c r="T25" s="8">
        <f t="shared" si="128"/>
        <v>-1.1854416751560732E-2</v>
      </c>
      <c r="U25" s="8">
        <f t="shared" si="129"/>
        <v>-9.5306627108574793E-2</v>
      </c>
      <c r="V25" s="8">
        <f t="shared" si="130"/>
        <v>9.5082183175447574E-2</v>
      </c>
      <c r="W25" s="8">
        <f t="shared" si="131"/>
        <v>-1.3537311768709504E-2</v>
      </c>
      <c r="X25" s="8">
        <f t="shared" si="132"/>
        <v>1.5215976305332689E-2</v>
      </c>
      <c r="Y25" s="8">
        <f t="shared" si="133"/>
        <v>9.4828025564218946E-2</v>
      </c>
      <c r="Z25" s="8">
        <f t="shared" si="134"/>
        <v>-9.4544233700467842E-2</v>
      </c>
      <c r="AA25" s="8">
        <f t="shared" si="135"/>
        <v>1.6889885770008262E-2</v>
      </c>
      <c r="AB25" s="8">
        <f t="shared" si="136"/>
        <v>-1.8558517057298975E-2</v>
      </c>
      <c r="AC25" s="8">
        <f t="shared" si="137"/>
        <v>-9.4230896270631692E-2</v>
      </c>
      <c r="AD25" s="8">
        <f t="shared" si="138"/>
        <v>9.3888111194291413E-2</v>
      </c>
      <c r="AE25" s="8">
        <f t="shared" si="139"/>
        <v>-2.022134871122537E-2</v>
      </c>
      <c r="AF25" s="8">
        <f t="shared" si="140"/>
        <v>2.1877861088224339E-2</v>
      </c>
      <c r="AG25" s="8">
        <f t="shared" si="141"/>
        <v>9.3515985593570938E-2</v>
      </c>
      <c r="AH25" s="8">
        <f t="shared" si="142"/>
        <v>-9.3114635759661238E-2</v>
      </c>
      <c r="AI25" s="8">
        <f t="shared" si="143"/>
        <v>2.3527536519538591E-2</v>
      </c>
      <c r="AJ25" s="8">
        <f t="shared" si="144"/>
        <v>-2.5169859472993356E-2</v>
      </c>
      <c r="AK25" s="8">
        <f t="shared" si="145"/>
        <v>-9.2684187116478342E-2</v>
      </c>
      <c r="AL25" s="8">
        <f t="shared" si="146"/>
        <v>9.2224774181468253E-2</v>
      </c>
      <c r="AM25" s="8">
        <f t="shared" si="147"/>
        <v>-2.6804316714100201E-2</v>
      </c>
      <c r="AN25" s="8">
        <f t="shared" si="148"/>
        <v>2.8430397466447835E-2</v>
      </c>
      <c r="AO25" s="8">
        <f t="shared" si="149"/>
        <v>9.1736540523568916E-2</v>
      </c>
      <c r="AP25" s="8">
        <f t="shared" si="150"/>
        <v>-9.1219638718344487E-2</v>
      </c>
      <c r="AQ25" s="8">
        <f t="shared" si="151"/>
        <v>3.0047593571321352E-2</v>
      </c>
      <c r="AR25" s="8">
        <f t="shared" si="152"/>
        <v>-3.1655399646503574E-2</v>
      </c>
      <c r="AS25" s="8">
        <f t="shared" si="153"/>
        <v>-9.0674230300304998E-2</v>
      </c>
      <c r="AT25" s="8">
        <f t="shared" si="154"/>
        <v>9.0100485712425168E-2</v>
      </c>
      <c r="AU25" s="8">
        <f t="shared" si="155"/>
        <v>-3.3253313244211838E-2</v>
      </c>
      <c r="AV25" s="8">
        <f t="shared" si="156"/>
        <v>3.4840835008113337E-2</v>
      </c>
      <c r="AW25" s="8">
        <f t="shared" si="157"/>
        <v>8.9498584252880958E-2</v>
      </c>
      <c r="AX25" s="8">
        <f t="shared" si="158"/>
        <v>-8.8868714019017539E-2</v>
      </c>
      <c r="AY25" s="8">
        <f t="shared" si="159"/>
        <v>3.6417468829377499E-2</v>
      </c>
      <c r="AZ25" s="8">
        <f t="shared" si="160"/>
        <v>-3.7982722001713279E-2</v>
      </c>
      <c r="BA25" s="8">
        <f t="shared" si="161"/>
        <v>-8.821107184856769E-2</v>
      </c>
      <c r="BB25" s="8">
        <f t="shared" si="162"/>
        <v>8.7525863258139325E-2</v>
      </c>
      <c r="BC25" s="8">
        <f t="shared" si="163"/>
        <v>-3.9536105375341427E-2</v>
      </c>
      <c r="BD25" s="8">
        <f t="shared" si="164"/>
        <v>4.1077133509856707E-2</v>
      </c>
      <c r="BE25" s="8">
        <f t="shared" si="165"/>
        <v>8.6813302378990362E-2</v>
      </c>
      <c r="BF25" s="8">
        <f t="shared" si="166"/>
        <v>-8.6073611890111257E-2</v>
      </c>
      <c r="BG25" s="8">
        <f t="shared" si="167"/>
        <v>4.2605324825931143E-2</v>
      </c>
      <c r="BH25" s="8">
        <f t="shared" si="168"/>
        <v>-4.412020175580763E-2</v>
      </c>
      <c r="BI25" s="8">
        <f t="shared" si="169"/>
        <v>-8.5307022948637914E-2</v>
      </c>
      <c r="BJ25" s="8">
        <f t="shared" si="170"/>
        <v>8.4513775117612072E-2</v>
      </c>
      <c r="BK25" s="8">
        <f t="shared" si="171"/>
        <v>-4.5621290892546004E-2</v>
      </c>
      <c r="BL25" s="8">
        <f t="shared" si="172"/>
        <v>4.7108123137962803E-2</v>
      </c>
      <c r="BM25" s="8">
        <f t="shared" si="173"/>
        <v>8.369411629111774E-2</v>
      </c>
      <c r="BN25" s="8">
        <f t="shared" si="174"/>
        <v>-8.2848302616812433E-2</v>
      </c>
      <c r="BO25" s="8">
        <f t="shared" si="175"/>
        <v>4.858023384922798E-2</v>
      </c>
      <c r="BP25" s="8">
        <f t="shared" si="176"/>
        <v>-5.0037162984065957E-2</v>
      </c>
      <c r="BQ25" s="8">
        <f t="shared" si="177"/>
        <v>-8.1976598415881008E-2</v>
      </c>
      <c r="BR25" s="8">
        <f t="shared" si="178"/>
        <v>8.1079276100431932E-2</v>
      </c>
      <c r="BS25" s="8">
        <f t="shared" si="179"/>
        <v>-5.1478455244524705E-2</v>
      </c>
      <c r="BT25" s="8">
        <f t="shared" si="180"/>
        <v>5.290366021925641E-2</v>
      </c>
      <c r="BU25" s="8">
        <f t="shared" si="181"/>
        <v>8.0156616088368354E-2</v>
      </c>
      <c r="BV25" s="8">
        <f t="shared" si="182"/>
        <v>-7.9208906715755756E-2</v>
      </c>
      <c r="BW25" s="8">
        <f t="shared" si="183"/>
        <v>5.4312332524273962E-2</v>
      </c>
      <c r="BX25" s="8">
        <f t="shared" si="184"/>
        <v>-5.570403194213628E-2</v>
      </c>
      <c r="BY25" s="8">
        <f t="shared" si="185"/>
        <v>-7.8236444146715073E-2</v>
      </c>
      <c r="BZ25" s="8">
        <f t="shared" si="186"/>
        <v>7.7239532280871326E-2</v>
      </c>
      <c r="CA25" s="8">
        <f t="shared" si="187"/>
        <v>-5.7078323559516357E-2</v>
      </c>
      <c r="CB25" s="8">
        <f t="shared" si="188"/>
        <v>5.8434777903117345E-2</v>
      </c>
      <c r="CC25" s="8">
        <f t="shared" si="189"/>
        <v>7.6218482658381201E-2</v>
      </c>
      <c r="CD25" s="8">
        <f t="shared" si="190"/>
        <v>-7.5173614362576524E-2</v>
      </c>
      <c r="CE25" s="8">
        <f t="shared" si="191"/>
        <v>5.9772971073882845E-2</v>
      </c>
      <c r="CF25" s="8">
        <f t="shared" si="192"/>
        <v>-6.1092484879468771E-2</v>
      </c>
      <c r="CG25" s="8">
        <f t="shared" si="193"/>
        <v>-7.410525392024836E-2</v>
      </c>
      <c r="CH25" s="8">
        <f t="shared" si="194"/>
        <v>7.3013735199607355E-2</v>
      </c>
      <c r="CI25" s="8">
        <f t="shared" si="195"/>
        <v>-6.2392906964928517E-2</v>
      </c>
      <c r="CJ25" s="8">
        <f t="shared" si="196"/>
        <v>6.3673830941579065E-2</v>
      </c>
      <c r="CK25" s="8">
        <f t="shared" si="197"/>
        <v>7.1899399305945619E-2</v>
      </c>
      <c r="CL25" s="8">
        <f t="shared" si="198"/>
        <v>-7.0762594475040783E-2</v>
      </c>
      <c r="CM25" s="8">
        <f t="shared" si="199"/>
        <v>6.493485651399819E-2</v>
      </c>
      <c r="CN25" s="8">
        <f t="shared" si="200"/>
        <v>-6.6175589605116644E-2</v>
      </c>
      <c r="CO25" s="8">
        <f t="shared" si="201"/>
        <v>-6.9603675964332395E-2</v>
      </c>
      <c r="CP25" s="8">
        <f t="shared" si="202"/>
        <v>6.8423005941897028E-2</v>
      </c>
      <c r="CQ25" s="8">
        <f t="shared" si="203"/>
        <v>-6.7395642479374962E-2</v>
      </c>
      <c r="CR25" s="8">
        <f t="shared" si="204"/>
        <v>6.8594633863885313E-2</v>
      </c>
      <c r="CS25" s="8">
        <f t="shared" si="205"/>
        <v>6.7220953373275841E-2</v>
      </c>
      <c r="CT25" s="8">
        <f t="shared" si="206"/>
        <v>-6.5997893906163341E-2</v>
      </c>
      <c r="CU25" s="8">
        <f t="shared" si="112"/>
        <v>6.9772189067589196E-2</v>
      </c>
      <c r="CX25">
        <v>3.3556331970729006E-2</v>
      </c>
      <c r="CY25">
        <v>0.13581649401796231</v>
      </c>
      <c r="DA25" s="21"/>
    </row>
    <row r="26" spans="1:105">
      <c r="A26" s="15">
        <v>24</v>
      </c>
      <c r="B26" s="16">
        <v>68</v>
      </c>
      <c r="C26" s="8">
        <f t="shared" si="113"/>
        <v>4.219507705176107</v>
      </c>
      <c r="D26" s="8">
        <f t="shared" si="114"/>
        <v>1.6206451612903225</v>
      </c>
      <c r="E26" s="7">
        <f t="shared" si="115"/>
        <v>3.8750000000000004</v>
      </c>
      <c r="F26" s="8">
        <f>CX49</f>
        <v>1.2468286125517378E-2</v>
      </c>
      <c r="G26" s="8">
        <f>CY49</f>
        <v>5.0368827454084344E-2</v>
      </c>
      <c r="H26" s="8">
        <f t="shared" si="119"/>
        <v>-4.5215148506768587E-3</v>
      </c>
      <c r="I26" s="8">
        <f t="shared" si="116"/>
        <v>9.0629381721443775E-2</v>
      </c>
      <c r="J26" s="8">
        <f t="shared" si="117"/>
        <v>-9.0291503365338893E-2</v>
      </c>
      <c r="K26" s="8">
        <f t="shared" si="118"/>
        <v>-9.0317964870260219E-3</v>
      </c>
      <c r="L26" s="8">
        <f t="shared" si="120"/>
        <v>1.3519639602425092E-2</v>
      </c>
      <c r="M26" s="8">
        <f t="shared" si="121"/>
        <v>-8.9729305540478796E-2</v>
      </c>
      <c r="N26" s="8">
        <f t="shared" si="122"/>
        <v>8.8944184966518222E-2</v>
      </c>
      <c r="O26" s="8">
        <f t="shared" si="123"/>
        <v>1.7973894636328838E-2</v>
      </c>
      <c r="P26" s="8">
        <f t="shared" si="124"/>
        <v>-2.2383495474145389E-2</v>
      </c>
      <c r="Q26" s="8">
        <f t="shared" si="125"/>
        <v>8.7938092190557399E-2</v>
      </c>
      <c r="R26" s="8">
        <f t="shared" si="126"/>
        <v>-8.6713526741218738E-2</v>
      </c>
      <c r="S26" s="8">
        <f t="shared" si="127"/>
        <v>-2.6737486939800503E-2</v>
      </c>
      <c r="T26" s="8">
        <f t="shared" si="128"/>
        <v>3.1025052012687473E-2</v>
      </c>
      <c r="U26" s="8">
        <f t="shared" si="129"/>
        <v>-8.527353091883845E-2</v>
      </c>
      <c r="V26" s="8">
        <f t="shared" si="130"/>
        <v>8.3621682237200762E-2</v>
      </c>
      <c r="W26" s="8">
        <f t="shared" si="131"/>
        <v>3.5235538701383316E-2</v>
      </c>
      <c r="X26" s="8">
        <f t="shared" si="132"/>
        <v>-3.9358486507369263E-2</v>
      </c>
      <c r="Y26" s="8">
        <f t="shared" si="133"/>
        <v>8.1762084535591986E-2</v>
      </c>
      <c r="Z26" s="8">
        <f t="shared" si="134"/>
        <v>-7.9699357783255903E-2</v>
      </c>
      <c r="AA26" s="8">
        <f t="shared" si="135"/>
        <v>-4.33836524130072E-2</v>
      </c>
      <c r="AB26" s="8">
        <f t="shared" si="136"/>
        <v>4.7301036329208436E-2</v>
      </c>
      <c r="AC26" s="8">
        <f t="shared" si="137"/>
        <v>-7.7438626601580199E-2</v>
      </c>
      <c r="AD26" s="8">
        <f t="shared" si="138"/>
        <v>7.4985507532529333E-2</v>
      </c>
      <c r="AE26" s="8">
        <f t="shared" si="139"/>
        <v>5.1100905939572595E-2</v>
      </c>
      <c r="AF26" s="8">
        <f t="shared" si="140"/>
        <v>-5.477382087927557E-2</v>
      </c>
      <c r="AG26" s="8">
        <f t="shared" si="141"/>
        <v>7.2346095084953224E-2</v>
      </c>
      <c r="AH26" s="8">
        <f t="shared" si="142"/>
        <v>-6.9526946593440567E-2</v>
      </c>
      <c r="AI26" s="8">
        <f t="shared" si="143"/>
        <v>-5.831065618863264E-2</v>
      </c>
      <c r="AJ26" s="8">
        <f t="shared" si="144"/>
        <v>6.1702624983074383E-2</v>
      </c>
      <c r="AK26" s="8">
        <f t="shared" si="145"/>
        <v>-6.6535065927329967E-2</v>
      </c>
      <c r="AL26" s="8">
        <f t="shared" si="146"/>
        <v>6.3377886090354732E-2</v>
      </c>
      <c r="AM26" s="8">
        <f t="shared" si="147"/>
        <v>6.4941300283210227E-2</v>
      </c>
      <c r="AN26" s="8">
        <f t="shared" si="148"/>
        <v>-6.8018635950746767E-2</v>
      </c>
      <c r="AO26" s="8">
        <f t="shared" si="149"/>
        <v>6.0063250754149485E-2</v>
      </c>
      <c r="AP26" s="8">
        <f t="shared" si="150"/>
        <v>-5.6599394771496864E-2</v>
      </c>
      <c r="AQ26" s="8">
        <f t="shared" si="151"/>
        <v>-7.0926986678247594E-2</v>
      </c>
      <c r="AR26" s="8">
        <f t="shared" si="152"/>
        <v>7.3659126983072268E-2</v>
      </c>
      <c r="AS26" s="8">
        <f t="shared" si="153"/>
        <v>-5.2994923717726898E-2</v>
      </c>
      <c r="AT26" s="8">
        <f t="shared" si="154"/>
        <v>4.9258792511096453E-2</v>
      </c>
      <c r="AU26" s="8">
        <f t="shared" si="155"/>
        <v>7.6208269158305961E-2</v>
      </c>
      <c r="AV26" s="8">
        <f t="shared" si="156"/>
        <v>-7.856808013608256E-2</v>
      </c>
      <c r="AW26" s="8">
        <f t="shared" si="157"/>
        <v>4.5400283165264163E-2</v>
      </c>
      <c r="AX26" s="8">
        <f t="shared" si="158"/>
        <v>-4.1428981729130628E-2</v>
      </c>
      <c r="AY26" s="8">
        <f t="shared" si="159"/>
        <v>-8.0732697221407274E-2</v>
      </c>
      <c r="AZ26" s="8">
        <f t="shared" si="160"/>
        <v>8.2696742657386052E-2</v>
      </c>
      <c r="BA26" s="8">
        <f t="shared" si="161"/>
        <v>-3.7354754471340387E-2</v>
      </c>
      <c r="BB26" s="8">
        <f t="shared" si="162"/>
        <v>3.3187723368601568E-2</v>
      </c>
      <c r="BC26" s="8">
        <f t="shared" si="163"/>
        <v>8.4455336985682777E-2</v>
      </c>
      <c r="BD26" s="8">
        <f t="shared" si="164"/>
        <v>-8.6004111169004235E-2</v>
      </c>
      <c r="BE26" s="8">
        <f t="shared" si="165"/>
        <v>2.8938240958731768E-2</v>
      </c>
      <c r="BF26" s="8">
        <f t="shared" si="166"/>
        <v>-2.4616864620900084E-2</v>
      </c>
      <c r="BG26" s="8">
        <f t="shared" si="167"/>
        <v>-8.7339217445500023E-2</v>
      </c>
      <c r="BH26" s="8">
        <f t="shared" si="168"/>
        <v>8.8457338888111942E-2</v>
      </c>
      <c r="BI26" s="8">
        <f t="shared" si="169"/>
        <v>-2.0234330346956823E-2</v>
      </c>
      <c r="BJ26" s="8">
        <f t="shared" si="170"/>
        <v>1.5801526069028529E-2</v>
      </c>
      <c r="BK26" s="8">
        <f t="shared" si="171"/>
        <v>8.9355697645118706E-2</v>
      </c>
      <c r="BL26" s="8">
        <f t="shared" si="172"/>
        <v>-9.0032061841409244E-2</v>
      </c>
      <c r="BM26" s="8">
        <f t="shared" si="173"/>
        <v>1.1329464609623911E-2</v>
      </c>
      <c r="BN26" s="8">
        <f t="shared" si="174"/>
        <v>-6.8292563214731724E-3</v>
      </c>
      <c r="BO26" s="8">
        <f t="shared" si="175"/>
        <v>-9.0484751123333901E-2</v>
      </c>
      <c r="BP26" s="8">
        <f t="shared" si="176"/>
        <v>9.0712640833361974E-2</v>
      </c>
      <c r="BQ26" s="8">
        <f t="shared" si="177"/>
        <v>-2.3120814850539268E-3</v>
      </c>
      <c r="BR26" s="8">
        <f t="shared" si="178"/>
        <v>-2.2108374676005904E-3</v>
      </c>
      <c r="BS26" s="8">
        <f t="shared" si="179"/>
        <v>9.0715164804171036E-2</v>
      </c>
      <c r="BT26" s="8">
        <f t="shared" si="180"/>
        <v>-9.0492316765228842E-2</v>
      </c>
      <c r="BU26" s="8">
        <f t="shared" si="181"/>
        <v>-6.728263833823917E-3</v>
      </c>
      <c r="BV26" s="8">
        <f t="shared" si="182"/>
        <v>1.122897455668617E-2</v>
      </c>
      <c r="BW26" s="8">
        <f t="shared" si="183"/>
        <v>-9.0044650358371392E-2</v>
      </c>
      <c r="BX26" s="8">
        <f t="shared" si="184"/>
        <v>8.9373277762340178E-2</v>
      </c>
      <c r="BY26" s="8">
        <f t="shared" si="185"/>
        <v>1.5701788107462502E-2</v>
      </c>
      <c r="BZ26" s="8">
        <f t="shared" si="186"/>
        <v>-2.0135592264935633E-2</v>
      </c>
      <c r="CA26" s="8">
        <f t="shared" si="187"/>
        <v>8.8479866929693812E-2</v>
      </c>
      <c r="CB26" s="8">
        <f t="shared" si="188"/>
        <v>-8.7366637442961262E-2</v>
      </c>
      <c r="CC26" s="8">
        <f t="shared" si="189"/>
        <v>-2.4519371722501813E-2</v>
      </c>
      <c r="CD26" s="8">
        <f t="shared" si="190"/>
        <v>2.8842235454513043E-2</v>
      </c>
      <c r="CE26" s="8">
        <f t="shared" si="191"/>
        <v>-8.6036355000328149E-2</v>
      </c>
      <c r="CF26" s="8">
        <f t="shared" si="192"/>
        <v>8.4492324544560307E-2</v>
      </c>
      <c r="CG26" s="8">
        <f t="shared" si="193"/>
        <v>3.3093443773846667E-2</v>
      </c>
      <c r="CH26" s="8">
        <f t="shared" si="194"/>
        <v>-3.7262435013500732E-2</v>
      </c>
      <c r="CI26" s="8">
        <f t="shared" si="195"/>
        <v>8.2738382052229498E-2</v>
      </c>
      <c r="CJ26" s="8">
        <f t="shared" si="196"/>
        <v>-8.0778885003646897E-2</v>
      </c>
      <c r="CK26" s="8">
        <f t="shared" si="197"/>
        <v>-4.1338851765907222E-2</v>
      </c>
      <c r="CL26" s="8">
        <f t="shared" si="198"/>
        <v>4.531256661479735E-2</v>
      </c>
      <c r="CM26" s="8">
        <f t="shared" si="199"/>
        <v>-7.8618701557171558E-2</v>
      </c>
      <c r="CN26" s="8">
        <f t="shared" si="200"/>
        <v>7.6263198454801562E-2</v>
      </c>
      <c r="CO26" s="8">
        <f t="shared" si="201"/>
        <v>4.917370729566372E-2</v>
      </c>
      <c r="CP26" s="8">
        <f t="shared" si="202"/>
        <v>-5.2912681222337755E-2</v>
      </c>
      <c r="CQ26" s="8">
        <f t="shared" si="203"/>
        <v>7.3718227689081928E-2</v>
      </c>
      <c r="CR26" s="8">
        <f t="shared" si="204"/>
        <v>-7.0990111964463865E-2</v>
      </c>
      <c r="CS26" s="8">
        <f t="shared" si="205"/>
        <v>-5.6520199318729793E-2</v>
      </c>
      <c r="CT26" s="8">
        <f t="shared" si="206"/>
        <v>5.9987299096537369E-2</v>
      </c>
      <c r="CU26" s="8">
        <f t="shared" si="112"/>
        <v>-6.8085628989226696E-2</v>
      </c>
      <c r="DA26" s="20">
        <v>4.9076380997612138E-3</v>
      </c>
    </row>
    <row r="27" spans="1:105">
      <c r="A27" s="15">
        <v>25</v>
      </c>
      <c r="B27" s="16">
        <v>58</v>
      </c>
      <c r="C27" s="8">
        <f t="shared" si="113"/>
        <v>4.0604430105464191</v>
      </c>
      <c r="D27" s="8">
        <f t="shared" si="114"/>
        <v>1.6881720430107527</v>
      </c>
      <c r="E27" s="7">
        <f t="shared" si="115"/>
        <v>3.72</v>
      </c>
      <c r="F27" s="8">
        <f>CX51</f>
        <v>3.8365028630498385E-2</v>
      </c>
      <c r="G27" s="8">
        <f>CY51</f>
        <v>0.15534648669265425</v>
      </c>
      <c r="H27" s="8">
        <f t="shared" si="119"/>
        <v>-1.0225888352069194E-2</v>
      </c>
      <c r="I27" s="8">
        <f t="shared" si="116"/>
        <v>8.6720529621818226E-2</v>
      </c>
      <c r="J27" s="8">
        <f t="shared" si="117"/>
        <v>-8.4926321399109883E-2</v>
      </c>
      <c r="K27" s="8">
        <f t="shared" si="118"/>
        <v>-2.0311055710935527E-2</v>
      </c>
      <c r="L27" s="8">
        <f t="shared" si="120"/>
        <v>3.0116717579986556E-2</v>
      </c>
      <c r="M27" s="8">
        <f t="shared" si="121"/>
        <v>-8.1963420943033882E-2</v>
      </c>
      <c r="N27" s="8">
        <f t="shared" si="122"/>
        <v>7.7872601463758864E-2</v>
      </c>
      <c r="O27" s="8">
        <f t="shared" si="123"/>
        <v>3.9507935807179533E-2</v>
      </c>
      <c r="P27" s="8">
        <f t="shared" si="124"/>
        <v>-4.8355475502516031E-2</v>
      </c>
      <c r="Q27" s="8">
        <f t="shared" si="125"/>
        <v>7.271015774569059E-2</v>
      </c>
      <c r="R27" s="8">
        <f t="shared" si="126"/>
        <v>-6.6547131460941017E-2</v>
      </c>
      <c r="S27" s="8">
        <f t="shared" si="127"/>
        <v>-5.6537583471509216E-2</v>
      </c>
      <c r="T27" s="8">
        <f t="shared" si="128"/>
        <v>6.394166369117836E-2</v>
      </c>
      <c r="U27" s="8">
        <f t="shared" si="129"/>
        <v>-5.9468333547207125E-2</v>
      </c>
      <c r="V27" s="8">
        <f t="shared" si="130"/>
        <v>5.1571177103362009E-2</v>
      </c>
      <c r="W27" s="8">
        <f t="shared" si="131"/>
        <v>7.04658267719276E-2</v>
      </c>
      <c r="X27" s="8">
        <f t="shared" si="132"/>
        <v>-7.6020292082780896E-2</v>
      </c>
      <c r="Y27" s="8">
        <f t="shared" si="133"/>
        <v>4.2964336863569978E-2</v>
      </c>
      <c r="Z27" s="8">
        <f t="shared" si="134"/>
        <v>-3.3766253697238277E-2</v>
      </c>
      <c r="AA27" s="8">
        <f t="shared" si="135"/>
        <v>-8.052862324497656E-2</v>
      </c>
      <c r="AB27" s="8">
        <f t="shared" si="136"/>
        <v>8.392877999198807E-2</v>
      </c>
      <c r="AC27" s="8">
        <f t="shared" si="137"/>
        <v>-2.4103504714752592E-2</v>
      </c>
      <c r="AD27" s="8">
        <f t="shared" si="138"/>
        <v>1.4109061408375386E-2</v>
      </c>
      <c r="AE27" s="8">
        <f t="shared" si="139"/>
        <v>8.6173971921064019E-2</v>
      </c>
      <c r="AF27" s="8">
        <f t="shared" si="140"/>
        <v>-8.7233302387598785E-2</v>
      </c>
      <c r="AG27" s="8">
        <f t="shared" si="141"/>
        <v>3.920459798466047E-3</v>
      </c>
      <c r="AH27" s="8">
        <f t="shared" si="142"/>
        <v>6.3220922339064468E-3</v>
      </c>
      <c r="AI27" s="8">
        <f t="shared" si="143"/>
        <v>-8.709219368154425E-2</v>
      </c>
      <c r="AJ27" s="8">
        <f t="shared" si="144"/>
        <v>8.5752587634903857E-2</v>
      </c>
      <c r="AK27" s="8">
        <f t="shared" si="145"/>
        <v>1.6477644382489033E-2</v>
      </c>
      <c r="AL27" s="8">
        <f t="shared" si="146"/>
        <v>-2.640644356807079E-2</v>
      </c>
      <c r="AM27" s="8">
        <f t="shared" si="147"/>
        <v>8.3232918899699346E-2</v>
      </c>
      <c r="AN27" s="8">
        <f t="shared" si="148"/>
        <v>-7.956786126413895E-2</v>
      </c>
      <c r="AO27" s="8">
        <f t="shared" si="149"/>
        <v>-3.597185711536692E-2</v>
      </c>
      <c r="AP27" s="8">
        <f t="shared" si="150"/>
        <v>4.5042252989249715E-2</v>
      </c>
      <c r="AQ27" s="8">
        <f t="shared" si="151"/>
        <v>-7.4807850497992934E-2</v>
      </c>
      <c r="AR27" s="8">
        <f t="shared" si="152"/>
        <v>6.9018390293420342E-2</v>
      </c>
      <c r="AS27" s="8">
        <f t="shared" si="153"/>
        <v>5.3492811215926361E-2</v>
      </c>
      <c r="AT27" s="8">
        <f t="shared" si="154"/>
        <v>-6.1207241561645094E-2</v>
      </c>
      <c r="AU27" s="8">
        <f t="shared" si="155"/>
        <v>6.2279150852368417E-2</v>
      </c>
      <c r="AV27" s="8">
        <f t="shared" si="156"/>
        <v>-5.4682872525105418E-2</v>
      </c>
      <c r="AW27" s="8">
        <f t="shared" si="157"/>
        <v>-6.8079383831529408E-2</v>
      </c>
      <c r="AX27" s="8">
        <f t="shared" si="158"/>
        <v>7.4014668766424999E-2</v>
      </c>
      <c r="AY27" s="8">
        <f t="shared" si="159"/>
        <v>-4.6334089587193018E-2</v>
      </c>
      <c r="AZ27" s="8">
        <f t="shared" si="160"/>
        <v>3.7347691717318172E-2</v>
      </c>
      <c r="BA27" s="8">
        <f t="shared" si="161"/>
        <v>7.893141943399852E-2</v>
      </c>
      <c r="BB27" s="8">
        <f t="shared" si="162"/>
        <v>-8.2761975205319721E-2</v>
      </c>
      <c r="BC27" s="8">
        <f t="shared" si="163"/>
        <v>2.784734297184709E-2</v>
      </c>
      <c r="BD27" s="8">
        <f t="shared" si="164"/>
        <v>-1.7963780012985341E-2</v>
      </c>
      <c r="BE27" s="8">
        <f t="shared" si="165"/>
        <v>-8.5453622849606004E-2</v>
      </c>
      <c r="BF27" s="8">
        <f t="shared" si="166"/>
        <v>8.6969321934103269E-2</v>
      </c>
      <c r="BG27" s="8">
        <f t="shared" si="167"/>
        <v>-7.8330130090497503E-3</v>
      </c>
      <c r="BH27" s="8">
        <f t="shared" si="168"/>
        <v>-2.4055460352896177E-3</v>
      </c>
      <c r="BI27" s="8">
        <f t="shared" si="169"/>
        <v>8.7288214546694318E-2</v>
      </c>
      <c r="BJ27" s="8">
        <f t="shared" si="170"/>
        <v>-8.6405912326815867E-2</v>
      </c>
      <c r="BK27" s="8">
        <f t="shared" si="171"/>
        <v>-1.2611001762280621E-2</v>
      </c>
      <c r="BL27" s="8">
        <f t="shared" si="172"/>
        <v>2.2642914357157141E-2</v>
      </c>
      <c r="BM27" s="8">
        <f t="shared" si="173"/>
        <v>-8.433455685477978E-2</v>
      </c>
      <c r="BN27" s="8">
        <f t="shared" si="174"/>
        <v>8.110265256846623E-2</v>
      </c>
      <c r="BO27" s="8">
        <f t="shared" si="175"/>
        <v>3.2363232175360614E-2</v>
      </c>
      <c r="BP27" s="8">
        <f t="shared" si="176"/>
        <v>-4.1638191505560453E-2</v>
      </c>
      <c r="BQ27" s="8">
        <f t="shared" si="177"/>
        <v>7.6754674506663831E-2</v>
      </c>
      <c r="BR27" s="8">
        <f t="shared" si="178"/>
        <v>-7.1350456276998223E-2</v>
      </c>
      <c r="BS27" s="8">
        <f t="shared" si="179"/>
        <v>-5.0340157325358063E-2</v>
      </c>
      <c r="BT27" s="8">
        <f t="shared" si="180"/>
        <v>5.8349379718578051E-2</v>
      </c>
      <c r="BU27" s="8">
        <f t="shared" si="181"/>
        <v>-6.4964366670774432E-2</v>
      </c>
      <c r="BV27" s="8">
        <f t="shared" si="182"/>
        <v>5.7684286255541256E-2</v>
      </c>
      <c r="BW27" s="8">
        <f t="shared" si="183"/>
        <v>6.5555641783651322E-2</v>
      </c>
      <c r="BX27" s="8">
        <f t="shared" si="184"/>
        <v>-7.1859776355812977E-2</v>
      </c>
      <c r="BY27" s="8">
        <f t="shared" si="185"/>
        <v>4.961039802874171E-2</v>
      </c>
      <c r="BZ27" s="8">
        <f t="shared" si="186"/>
        <v>-4.0853808774565792E-2</v>
      </c>
      <c r="CA27" s="8">
        <f t="shared" si="187"/>
        <v>-7.7175030671123468E-2</v>
      </c>
      <c r="CB27" s="8">
        <f t="shared" si="188"/>
        <v>8.1428260192832114E-2</v>
      </c>
      <c r="CC27" s="8">
        <f t="shared" si="189"/>
        <v>-3.1535020095856424E-2</v>
      </c>
      <c r="CD27" s="8">
        <f t="shared" si="190"/>
        <v>2.1782270161578559E-2</v>
      </c>
      <c r="CE27" s="8">
        <f t="shared" si="191"/>
        <v>8.4560935171541493E-2</v>
      </c>
      <c r="CF27" s="8">
        <f t="shared" si="192"/>
        <v>-8.6529946087646789E-2</v>
      </c>
      <c r="CG27" s="8">
        <f t="shared" si="193"/>
        <v>1.172976898948044E-2</v>
      </c>
      <c r="CH27" s="8">
        <f t="shared" si="194"/>
        <v>-1.515851548652396E-3</v>
      </c>
      <c r="CI27" s="8">
        <f t="shared" si="195"/>
        <v>-8.7308196892159462E-2</v>
      </c>
      <c r="CJ27" s="8">
        <f t="shared" si="196"/>
        <v>8.688497788217632E-2</v>
      </c>
      <c r="CK27" s="8">
        <f t="shared" si="197"/>
        <v>8.7189259023899481E-3</v>
      </c>
      <c r="CL27" s="8">
        <f t="shared" si="198"/>
        <v>-1.8833720045341687E-2</v>
      </c>
      <c r="CM27" s="8">
        <f t="shared" si="199"/>
        <v>8.5266113079765352E-2</v>
      </c>
      <c r="CN27" s="8">
        <f t="shared" si="200"/>
        <v>-8.2473880086149337E-2</v>
      </c>
      <c r="CO27" s="8">
        <f t="shared" si="201"/>
        <v>-2.8689338682045224E-2</v>
      </c>
      <c r="CP27" s="8">
        <f t="shared" si="202"/>
        <v>3.8150156192951833E-2</v>
      </c>
      <c r="CQ27" s="8">
        <f t="shared" si="203"/>
        <v>-7.8546703514094179E-2</v>
      </c>
      <c r="CR27" s="8">
        <f t="shared" si="204"/>
        <v>7.3538626217254835E-2</v>
      </c>
      <c r="CS27" s="8">
        <f t="shared" si="205"/>
        <v>4.7085979915007806E-2</v>
      </c>
      <c r="CT27" s="8">
        <f t="shared" si="206"/>
        <v>-5.5373841755274877E-2</v>
      </c>
      <c r="CU27" s="8">
        <f t="shared" si="112"/>
        <v>6.751856559302348E-2</v>
      </c>
      <c r="CX27">
        <v>0.30427294363284835</v>
      </c>
      <c r="CY27">
        <v>1.2622542962977774</v>
      </c>
      <c r="DA27" s="21"/>
    </row>
    <row r="28" spans="1:105">
      <c r="A28" s="15">
        <v>26</v>
      </c>
      <c r="B28" s="16">
        <v>43</v>
      </c>
      <c r="C28" s="8">
        <f t="shared" si="113"/>
        <v>3.7612001156935624</v>
      </c>
      <c r="D28" s="8">
        <f t="shared" si="114"/>
        <v>1.7556989247311827</v>
      </c>
      <c r="E28" s="7">
        <f t="shared" si="115"/>
        <v>3.5769230769230771</v>
      </c>
      <c r="F28" s="8">
        <f>CX53</f>
        <v>2.1581010074752504E-2</v>
      </c>
      <c r="G28" s="8">
        <f>CY53</f>
        <v>8.7253383577411955E-2</v>
      </c>
      <c r="H28" s="8">
        <f t="shared" si="119"/>
        <v>-1.4870959624388553E-2</v>
      </c>
      <c r="I28" s="8">
        <f t="shared" si="116"/>
        <v>7.9507253991772942E-2</v>
      </c>
      <c r="J28" s="8">
        <f t="shared" si="117"/>
        <v>-7.5417948564996951E-2</v>
      </c>
      <c r="K28" s="8">
        <f t="shared" si="118"/>
        <v>-2.9234943333448823E-2</v>
      </c>
      <c r="L28" s="8">
        <f t="shared" si="120"/>
        <v>4.2602258869747847E-2</v>
      </c>
      <c r="M28" s="8">
        <f t="shared" si="121"/>
        <v>-6.8757518982708224E-2</v>
      </c>
      <c r="N28" s="8">
        <f t="shared" si="122"/>
        <v>5.9753030442395556E-2</v>
      </c>
      <c r="O28" s="8">
        <f t="shared" si="123"/>
        <v>5.4517192062803831E-2</v>
      </c>
      <c r="P28" s="8">
        <f t="shared" si="124"/>
        <v>-6.4573542888260602E-2</v>
      </c>
      <c r="Q28" s="8">
        <f t="shared" si="125"/>
        <v>4.8711461036602656E-2</v>
      </c>
      <c r="R28" s="8">
        <f t="shared" si="126"/>
        <v>-3.6009236355711766E-2</v>
      </c>
      <c r="S28" s="8">
        <f t="shared" si="127"/>
        <v>-7.2428473506908703E-2</v>
      </c>
      <c r="T28" s="8">
        <f t="shared" si="128"/>
        <v>7.7814196180712766E-2</v>
      </c>
      <c r="U28" s="8">
        <f t="shared" si="129"/>
        <v>-2.2079396509235363E-2</v>
      </c>
      <c r="V28" s="8">
        <f t="shared" si="130"/>
        <v>7.396833063347946E-3</v>
      </c>
      <c r="W28" s="8">
        <f t="shared" si="131"/>
        <v>8.0547102605217594E-2</v>
      </c>
      <c r="X28" s="8">
        <f t="shared" si="132"/>
        <v>-8.053402342410286E-2</v>
      </c>
      <c r="Y28" s="8">
        <f t="shared" si="133"/>
        <v>-7.5379008078206491E-3</v>
      </c>
      <c r="Z28" s="8">
        <f t="shared" si="134"/>
        <v>2.2215655018077967E-2</v>
      </c>
      <c r="AA28" s="8">
        <f t="shared" si="135"/>
        <v>-7.7775404528554123E-2</v>
      </c>
      <c r="AB28" s="8">
        <f t="shared" si="136"/>
        <v>7.236529185608559E-2</v>
      </c>
      <c r="AC28" s="8">
        <f t="shared" si="137"/>
        <v>3.6136040348190374E-2</v>
      </c>
      <c r="AD28" s="8">
        <f t="shared" si="138"/>
        <v>-4.882448755227748E-2</v>
      </c>
      <c r="AE28" s="8">
        <f t="shared" si="139"/>
        <v>6.4488125207048719E-2</v>
      </c>
      <c r="AF28" s="8">
        <f t="shared" si="140"/>
        <v>-5.4412450382989135E-2</v>
      </c>
      <c r="AG28" s="8">
        <f t="shared" si="141"/>
        <v>-5.9848426218082257E-2</v>
      </c>
      <c r="AH28" s="8">
        <f t="shared" si="142"/>
        <v>6.8832031816671163E-2</v>
      </c>
      <c r="AI28" s="8">
        <f t="shared" si="143"/>
        <v>-4.2481764010587633E-2</v>
      </c>
      <c r="AJ28" s="8">
        <f t="shared" si="144"/>
        <v>2.910280316646275E-2</v>
      </c>
      <c r="AK28" s="8">
        <f t="shared" si="145"/>
        <v>7.5469038189953208E-2</v>
      </c>
      <c r="AL28" s="8">
        <f t="shared" si="146"/>
        <v>-7.9533178676856983E-2</v>
      </c>
      <c r="AM28" s="8">
        <f t="shared" si="147"/>
        <v>1.4731679029140913E-2</v>
      </c>
      <c r="AN28" s="8">
        <f t="shared" si="148"/>
        <v>1.4167271478893095E-4</v>
      </c>
      <c r="AO28" s="8">
        <f t="shared" si="149"/>
        <v>-8.0885899922695889E-2</v>
      </c>
      <c r="AP28" s="8">
        <f t="shared" si="150"/>
        <v>7.9481085395039175E-2</v>
      </c>
      <c r="AQ28" s="8">
        <f t="shared" si="151"/>
        <v>1.501019459863798E-2</v>
      </c>
      <c r="AR28" s="8">
        <f t="shared" si="152"/>
        <v>-2.9366993813734702E-2</v>
      </c>
      <c r="AS28" s="8">
        <f t="shared" si="153"/>
        <v>7.5366627573525927E-2</v>
      </c>
      <c r="AT28" s="8">
        <f t="shared" si="154"/>
        <v>-6.8682795215037493E-2</v>
      </c>
      <c r="AU28" s="8">
        <f t="shared" si="155"/>
        <v>-4.2722623034075431E-2</v>
      </c>
      <c r="AV28" s="8">
        <f t="shared" si="156"/>
        <v>5.4621766495259363E-2</v>
      </c>
      <c r="AW28" s="8">
        <f t="shared" si="157"/>
        <v>-5.9657451356891308E-2</v>
      </c>
      <c r="AX28" s="8">
        <f t="shared" si="158"/>
        <v>4.8598285084338798E-2</v>
      </c>
      <c r="AY28" s="8">
        <f t="shared" si="159"/>
        <v>6.4658762471329623E-2</v>
      </c>
      <c r="AZ28" s="8">
        <f t="shared" si="160"/>
        <v>-7.2491432962302302E-2</v>
      </c>
      <c r="BA28" s="8">
        <f t="shared" si="161"/>
        <v>3.5882321894416487E-2</v>
      </c>
      <c r="BB28" s="8">
        <f t="shared" si="162"/>
        <v>-2.1943070265415671E-2</v>
      </c>
      <c r="BC28" s="8">
        <f t="shared" si="163"/>
        <v>-7.785274911516947E-2</v>
      </c>
      <c r="BD28" s="8">
        <f t="shared" si="164"/>
        <v>8.0559934684644258E-2</v>
      </c>
      <c r="BE28" s="8">
        <f t="shared" si="165"/>
        <v>-7.2557426269362719E-3</v>
      </c>
      <c r="BF28" s="8">
        <f t="shared" si="166"/>
        <v>-7.6789454275881502E-3</v>
      </c>
      <c r="BG28" s="8">
        <f t="shared" si="167"/>
        <v>8.0520697181424183E-2</v>
      </c>
      <c r="BH28" s="8">
        <f t="shared" si="168"/>
        <v>-7.7736374277698181E-2</v>
      </c>
      <c r="BI28" s="8">
        <f t="shared" si="169"/>
        <v>-2.2351845373930836E-2</v>
      </c>
      <c r="BJ28" s="8">
        <f t="shared" si="170"/>
        <v>3.6262733482844277E-2</v>
      </c>
      <c r="BK28" s="8">
        <f t="shared" si="171"/>
        <v>-7.2301888203661013E-2</v>
      </c>
      <c r="BL28" s="8">
        <f t="shared" si="172"/>
        <v>6.4402509689737208E-2</v>
      </c>
      <c r="BM28" s="8">
        <f t="shared" si="173"/>
        <v>4.893736428462199E-2</v>
      </c>
      <c r="BN28" s="8">
        <f t="shared" si="174"/>
        <v>-5.994363839129703E-2</v>
      </c>
      <c r="BO28" s="8">
        <f t="shared" si="175"/>
        <v>5.4307541777140964E-2</v>
      </c>
      <c r="BP28" s="8">
        <f t="shared" si="176"/>
        <v>-4.2361138826248049E-2</v>
      </c>
      <c r="BQ28" s="8">
        <f t="shared" si="177"/>
        <v>-6.8906333488336399E-2</v>
      </c>
      <c r="BR28" s="8">
        <f t="shared" si="178"/>
        <v>7.5519896291662336E-2</v>
      </c>
      <c r="BS28" s="8">
        <f t="shared" si="179"/>
        <v>-2.897057371815507E-2</v>
      </c>
      <c r="BT28" s="8">
        <f t="shared" si="180"/>
        <v>1.4592353240178645E-2</v>
      </c>
      <c r="BU28" s="8">
        <f t="shared" si="181"/>
        <v>7.9558859370759821E-2</v>
      </c>
      <c r="BV28" s="8">
        <f t="shared" si="182"/>
        <v>-8.0885527710934324E-2</v>
      </c>
      <c r="BW28" s="8">
        <f t="shared" si="183"/>
        <v>-2.8334499495556205E-4</v>
      </c>
      <c r="BX28" s="8">
        <f t="shared" si="184"/>
        <v>1.514938352474518E-2</v>
      </c>
      <c r="BY28" s="8">
        <f t="shared" si="185"/>
        <v>-7.9454672966935494E-2</v>
      </c>
      <c r="BZ28" s="8">
        <f t="shared" si="186"/>
        <v>7.5315075372982349E-2</v>
      </c>
      <c r="CA28" s="8">
        <f t="shared" si="187"/>
        <v>2.9498954202216706E-2</v>
      </c>
      <c r="CB28" s="8">
        <f t="shared" si="188"/>
        <v>-4.2842856134318472E-2</v>
      </c>
      <c r="CC28" s="8">
        <f t="shared" si="189"/>
        <v>6.8607860742895779E-2</v>
      </c>
      <c r="CD28" s="8">
        <f t="shared" si="190"/>
        <v>-5.9561689254785735E-2</v>
      </c>
      <c r="CE28" s="8">
        <f t="shared" si="191"/>
        <v>-5.4726173359543717E-2</v>
      </c>
      <c r="CF28" s="8">
        <f t="shared" si="192"/>
        <v>6.4743783694819534E-2</v>
      </c>
      <c r="CG28" s="8">
        <f t="shared" si="193"/>
        <v>-4.8484960042686542E-2</v>
      </c>
      <c r="CH28" s="8">
        <f t="shared" si="194"/>
        <v>3.5755297353652751E-2</v>
      </c>
      <c r="CI28" s="8">
        <f t="shared" si="195"/>
        <v>7.2554170029119361E-2</v>
      </c>
      <c r="CJ28" s="8">
        <f t="shared" si="196"/>
        <v>-7.7891063213652009E-2</v>
      </c>
      <c r="CK28" s="8">
        <f t="shared" si="197"/>
        <v>2.1806676704838778E-2</v>
      </c>
      <c r="CL28" s="8">
        <f t="shared" si="198"/>
        <v>-7.1146299314217634E-3</v>
      </c>
      <c r="CM28" s="8">
        <f t="shared" si="199"/>
        <v>-8.0572519623016675E-2</v>
      </c>
      <c r="CN28" s="8">
        <f t="shared" si="200"/>
        <v>8.0507123918063833E-2</v>
      </c>
      <c r="CO28" s="8">
        <f t="shared" si="201"/>
        <v>7.819966489954009E-3</v>
      </c>
      <c r="CP28" s="8">
        <f t="shared" si="202"/>
        <v>-2.248796715899095E-2</v>
      </c>
      <c r="CQ28" s="8">
        <f t="shared" si="203"/>
        <v>7.7697105547881479E-2</v>
      </c>
      <c r="CR28" s="8">
        <f t="shared" si="204"/>
        <v>-7.2238262744144063E-2</v>
      </c>
      <c r="CS28" s="8">
        <f t="shared" si="205"/>
        <v>-3.6389315371005516E-2</v>
      </c>
      <c r="CT28" s="8">
        <f t="shared" si="206"/>
        <v>4.9050090887353924E-2</v>
      </c>
      <c r="CU28" s="8">
        <f t="shared" si="112"/>
        <v>-6.4316696598976611E-2</v>
      </c>
      <c r="DA28" s="20">
        <v>6.9416680740808541E-3</v>
      </c>
    </row>
    <row r="29" spans="1:105">
      <c r="A29" s="15">
        <v>27</v>
      </c>
      <c r="B29" s="16">
        <v>36</v>
      </c>
      <c r="C29" s="8">
        <f t="shared" si="113"/>
        <v>3.5835189384561099</v>
      </c>
      <c r="D29" s="8">
        <f t="shared" si="114"/>
        <v>1.8232258064516129</v>
      </c>
      <c r="E29" s="7">
        <f t="shared" si="115"/>
        <v>3.4444444444444446</v>
      </c>
      <c r="F29" s="8">
        <f>CX55</f>
        <v>0.14398859949726031</v>
      </c>
      <c r="G29" s="8">
        <f>CY55</f>
        <v>0.58862860817808527</v>
      </c>
      <c r="H29" s="8">
        <f t="shared" si="119"/>
        <v>-1.9247517933486741E-2</v>
      </c>
      <c r="I29" s="8">
        <f t="shared" si="116"/>
        <v>7.4622620385700361E-2</v>
      </c>
      <c r="J29" s="8">
        <f t="shared" si="117"/>
        <v>-6.7450511812380459E-2</v>
      </c>
      <c r="K29" s="8">
        <f t="shared" si="118"/>
        <v>-3.7275070436904104E-2</v>
      </c>
      <c r="L29" s="8">
        <f t="shared" si="120"/>
        <v>5.2940017149093278E-2</v>
      </c>
      <c r="M29" s="8">
        <f t="shared" si="121"/>
        <v>-5.600318744573337E-2</v>
      </c>
      <c r="N29" s="8">
        <f t="shared" si="122"/>
        <v>4.1006213046620325E-2</v>
      </c>
      <c r="O29" s="8">
        <f t="shared" si="123"/>
        <v>6.5249466751870266E-2</v>
      </c>
      <c r="P29" s="8">
        <f t="shared" si="124"/>
        <v>-7.3423209400492323E-2</v>
      </c>
      <c r="Q29" s="8">
        <f t="shared" si="125"/>
        <v>2.3410141844074629E-2</v>
      </c>
      <c r="R29" s="8">
        <f t="shared" si="126"/>
        <v>-4.3302656199421478E-3</v>
      </c>
      <c r="S29" s="8">
        <f t="shared" si="127"/>
        <v>-7.6943168764283323E-2</v>
      </c>
      <c r="T29" s="8">
        <f t="shared" si="128"/>
        <v>7.5586239258725194E-2</v>
      </c>
      <c r="U29" s="8">
        <f t="shared" si="129"/>
        <v>1.5024075830179623E-2</v>
      </c>
      <c r="V29" s="8">
        <f t="shared" si="130"/>
        <v>-3.3426146281261601E-2</v>
      </c>
      <c r="W29" s="8">
        <f t="shared" si="131"/>
        <v>6.9438427146731499E-2</v>
      </c>
      <c r="X29" s="8">
        <f t="shared" si="132"/>
        <v>-5.8889399203681393E-2</v>
      </c>
      <c r="Y29" s="8">
        <f t="shared" si="133"/>
        <v>-4.9709567301050694E-2</v>
      </c>
      <c r="Z29" s="8">
        <f t="shared" si="134"/>
        <v>6.2842246814295621E-2</v>
      </c>
      <c r="AA29" s="8">
        <f t="shared" si="135"/>
        <v>-4.4607784468177626E-2</v>
      </c>
      <c r="AB29" s="8">
        <f t="shared" si="136"/>
        <v>2.7498794527662192E-2</v>
      </c>
      <c r="AC29" s="8">
        <f t="shared" si="137"/>
        <v>7.1991796194800242E-2</v>
      </c>
      <c r="AD29" s="8">
        <f t="shared" si="138"/>
        <v>-7.6578289553756618E-2</v>
      </c>
      <c r="AE29" s="8">
        <f t="shared" si="139"/>
        <v>8.6468484923264734E-3</v>
      </c>
      <c r="AF29" s="8">
        <f t="shared" si="140"/>
        <v>1.0753160741398742E-2</v>
      </c>
      <c r="AG29" s="8">
        <f t="shared" si="141"/>
        <v>-7.6311021182381505E-2</v>
      </c>
      <c r="AH29" s="8">
        <f t="shared" si="142"/>
        <v>7.1206931351870256E-2</v>
      </c>
      <c r="AI29" s="8">
        <f t="shared" si="143"/>
        <v>2.9471602387353735E-2</v>
      </c>
      <c r="AJ29" s="8">
        <f t="shared" si="144"/>
        <v>-4.6322045457826755E-2</v>
      </c>
      <c r="AK29" s="8">
        <f t="shared" si="145"/>
        <v>6.1589532588186349E-2</v>
      </c>
      <c r="AL29" s="8">
        <f t="shared" si="146"/>
        <v>-4.8068404477613708E-2</v>
      </c>
      <c r="AM29" s="8">
        <f t="shared" si="147"/>
        <v>-6.0236458318901544E-2</v>
      </c>
      <c r="AN29" s="8">
        <f t="shared" si="148"/>
        <v>7.0332903739560332E-2</v>
      </c>
      <c r="AO29" s="8">
        <f t="shared" si="149"/>
        <v>-3.1500556683810819E-2</v>
      </c>
      <c r="AP29" s="8">
        <f t="shared" si="150"/>
        <v>1.2936109104259397E-2</v>
      </c>
      <c r="AQ29" s="8">
        <f t="shared" si="151"/>
        <v>7.5971438719238005E-2</v>
      </c>
      <c r="AR29" s="8">
        <f t="shared" si="152"/>
        <v>-7.6794675995056599E-2</v>
      </c>
      <c r="AS29" s="8">
        <f t="shared" si="153"/>
        <v>-6.4482678792459891E-3</v>
      </c>
      <c r="AT29" s="8">
        <f t="shared" si="154"/>
        <v>2.5423934299463085E-2</v>
      </c>
      <c r="AU29" s="8">
        <f t="shared" si="155"/>
        <v>-7.2750436318724729E-2</v>
      </c>
      <c r="AV29" s="8">
        <f t="shared" si="156"/>
        <v>6.409505573383481E-2</v>
      </c>
      <c r="AW29" s="8">
        <f t="shared" si="157"/>
        <v>4.2788155490799638E-2</v>
      </c>
      <c r="AX29" s="8">
        <f t="shared" si="158"/>
        <v>-5.7440335020681729E-2</v>
      </c>
      <c r="AY29" s="8">
        <f t="shared" si="159"/>
        <v>5.1377138228399621E-2</v>
      </c>
      <c r="AZ29" s="8">
        <f t="shared" si="160"/>
        <v>-3.540278356825452E-2</v>
      </c>
      <c r="BA29" s="8">
        <f t="shared" si="161"/>
        <v>-6.8451773793288692E-2</v>
      </c>
      <c r="BB29" s="8">
        <f t="shared" si="162"/>
        <v>7.5124533784385952E-2</v>
      </c>
      <c r="BC29" s="8">
        <f t="shared" si="163"/>
        <v>-1.7184494275563993E-2</v>
      </c>
      <c r="BD29" s="8">
        <f t="shared" si="164"/>
        <v>-2.1229998185902589E-3</v>
      </c>
      <c r="BE29" s="8">
        <f t="shared" si="165"/>
        <v>7.7035675447149177E-2</v>
      </c>
      <c r="BF29" s="8">
        <f t="shared" si="166"/>
        <v>-7.4064064889478837E-2</v>
      </c>
      <c r="BG29" s="8">
        <f t="shared" si="167"/>
        <v>-2.1295931815145032E-2</v>
      </c>
      <c r="BH29" s="8">
        <f t="shared" si="168"/>
        <v>3.911906376447391E-2</v>
      </c>
      <c r="BI29" s="8">
        <f t="shared" si="169"/>
        <v>-6.6398051703489475E-2</v>
      </c>
      <c r="BJ29" s="8">
        <f t="shared" si="170"/>
        <v>5.4523530803303591E-2</v>
      </c>
      <c r="BK29" s="8">
        <f t="shared" si="171"/>
        <v>5.4462712093407917E-2</v>
      </c>
      <c r="BL29" s="8">
        <f t="shared" si="172"/>
        <v>-6.6354350339204088E-2</v>
      </c>
      <c r="BM29" s="8">
        <f t="shared" si="173"/>
        <v>3.9193144947687004E-2</v>
      </c>
      <c r="BN29" s="8">
        <f t="shared" si="174"/>
        <v>-2.1378579984036895E-2</v>
      </c>
      <c r="BO29" s="8">
        <f t="shared" si="175"/>
        <v>-7.4040250794377885E-2</v>
      </c>
      <c r="BP29" s="8">
        <f t="shared" si="176"/>
        <v>7.7033258030023546E-2</v>
      </c>
      <c r="BQ29" s="8">
        <f t="shared" si="177"/>
        <v>-2.2089764842681955E-3</v>
      </c>
      <c r="BR29" s="8">
        <f t="shared" si="178"/>
        <v>-1.7100638572104625E-2</v>
      </c>
      <c r="BS29" s="8">
        <f t="shared" si="179"/>
        <v>7.5143666268385437E-2</v>
      </c>
      <c r="BT29" s="8">
        <f t="shared" si="180"/>
        <v>-6.8491243504179039E-2</v>
      </c>
      <c r="BU29" s="8">
        <f t="shared" si="181"/>
        <v>-3.5326363853069975E-2</v>
      </c>
      <c r="BV29" s="8">
        <f t="shared" si="182"/>
        <v>5.1312998212300981E-2</v>
      </c>
      <c r="BW29" s="8">
        <f t="shared" si="183"/>
        <v>-5.7497640249775765E-2</v>
      </c>
      <c r="BX29" s="8">
        <f t="shared" si="184"/>
        <v>4.2859664060759042E-2</v>
      </c>
      <c r="BY29" s="8">
        <f t="shared" si="185"/>
        <v>6.4047260803465414E-2</v>
      </c>
      <c r="BZ29" s="8">
        <f t="shared" si="186"/>
        <v>-7.2722015860158584E-2</v>
      </c>
      <c r="CA29" s="8">
        <f t="shared" si="187"/>
        <v>2.5505113782594301E-2</v>
      </c>
      <c r="CB29" s="8">
        <f t="shared" si="188"/>
        <v>-6.5339728763674837E-3</v>
      </c>
      <c r="CC29" s="8">
        <f t="shared" si="189"/>
        <v>-7.6787431382219926E-2</v>
      </c>
      <c r="CD29" s="8">
        <f t="shared" si="190"/>
        <v>7.5985829137426811E-2</v>
      </c>
      <c r="CE29" s="8">
        <f t="shared" si="191"/>
        <v>1.2851310832985708E-2</v>
      </c>
      <c r="CF29" s="8">
        <f t="shared" si="192"/>
        <v>-3.1422039907216703E-2</v>
      </c>
      <c r="CG29" s="8">
        <f t="shared" si="193"/>
        <v>7.0368017080897766E-2</v>
      </c>
      <c r="CH29" s="8">
        <f t="shared" si="194"/>
        <v>-6.0290068994471854E-2</v>
      </c>
      <c r="CI29" s="8">
        <f t="shared" si="195"/>
        <v>-4.8001145824553629E-2</v>
      </c>
      <c r="CJ29" s="8">
        <f t="shared" si="196"/>
        <v>6.1537795113869573E-2</v>
      </c>
      <c r="CK29" s="8">
        <f t="shared" si="197"/>
        <v>-4.6390755462178551E-2</v>
      </c>
      <c r="CL29" s="8">
        <f t="shared" si="198"/>
        <v>2.9551056674277227E-2</v>
      </c>
      <c r="CM29" s="8">
        <f t="shared" si="199"/>
        <v>7.1173994332634535E-2</v>
      </c>
      <c r="CN29" s="8">
        <f t="shared" si="200"/>
        <v>-7.6298972265318496E-2</v>
      </c>
      <c r="CO29" s="8">
        <f t="shared" si="201"/>
        <v>1.0838323259821871E-2</v>
      </c>
      <c r="CP29" s="8">
        <f t="shared" si="202"/>
        <v>8.5613755983115439E-3</v>
      </c>
      <c r="CQ29" s="8">
        <f t="shared" si="203"/>
        <v>-7.6587892435376975E-2</v>
      </c>
      <c r="CR29" s="8">
        <f t="shared" si="204"/>
        <v>7.2022442215657789E-2</v>
      </c>
      <c r="CS29" s="8">
        <f t="shared" si="205"/>
        <v>2.7418428786501838E-2</v>
      </c>
      <c r="CT29" s="8">
        <f t="shared" si="206"/>
        <v>-4.4537619701647706E-2</v>
      </c>
      <c r="CU29" s="8">
        <f t="shared" si="112"/>
        <v>6.2891993537648641E-2</v>
      </c>
      <c r="CX29">
        <v>0.43131287524613038</v>
      </c>
      <c r="CY29">
        <v>1.8104735622655919</v>
      </c>
      <c r="DA29" s="21"/>
    </row>
    <row r="30" spans="1:105">
      <c r="A30" s="15">
        <v>28</v>
      </c>
      <c r="B30" s="16">
        <v>34</v>
      </c>
      <c r="C30" s="8">
        <f t="shared" si="113"/>
        <v>3.5263605246161616</v>
      </c>
      <c r="D30" s="8">
        <f t="shared" si="114"/>
        <v>1.8907526881720431</v>
      </c>
      <c r="E30" s="7">
        <f t="shared" si="115"/>
        <v>3.3214285714285712</v>
      </c>
      <c r="F30" s="8">
        <f>CX57</f>
        <v>9.1614712990263202E-3</v>
      </c>
      <c r="G30" s="8">
        <f>CY57</f>
        <v>3.6999120492367261E-2</v>
      </c>
      <c r="H30" s="8">
        <f t="shared" si="119"/>
        <v>-2.3852237141542835E-2</v>
      </c>
      <c r="I30" s="8">
        <f t="shared" si="116"/>
        <v>7.1986983031053803E-2</v>
      </c>
      <c r="J30" s="8">
        <f t="shared" si="117"/>
        <v>-6.0831453897866046E-2</v>
      </c>
      <c r="K30" s="8">
        <f t="shared" si="118"/>
        <v>-4.5283431398707219E-2</v>
      </c>
      <c r="L30" s="8">
        <f t="shared" si="120"/>
        <v>6.2118279882621905E-2</v>
      </c>
      <c r="M30" s="8">
        <f t="shared" si="121"/>
        <v>-4.3501428102924115E-2</v>
      </c>
      <c r="N30" s="8">
        <f t="shared" si="122"/>
        <v>2.1755932918511224E-2</v>
      </c>
      <c r="O30" s="8">
        <f t="shared" si="123"/>
        <v>7.2648016665390558E-2</v>
      </c>
      <c r="P30" s="8">
        <f t="shared" si="124"/>
        <v>-7.5803855445710708E-2</v>
      </c>
      <c r="Q30" s="8">
        <f t="shared" si="125"/>
        <v>-2.1978266845729317E-3</v>
      </c>
      <c r="R30" s="8">
        <f t="shared" si="126"/>
        <v>2.5928503118384197E-2</v>
      </c>
      <c r="S30" s="8">
        <f t="shared" si="127"/>
        <v>-7.1265473187298534E-2</v>
      </c>
      <c r="T30" s="8">
        <f t="shared" si="128"/>
        <v>5.949352345518933E-2</v>
      </c>
      <c r="U30" s="8">
        <f t="shared" si="129"/>
        <v>4.7027392118386295E-2</v>
      </c>
      <c r="V30" s="8">
        <f t="shared" si="130"/>
        <v>-6.3352920347930719E-2</v>
      </c>
      <c r="W30" s="8">
        <f t="shared" si="131"/>
        <v>4.1682879290643675E-2</v>
      </c>
      <c r="X30" s="8">
        <f t="shared" si="132"/>
        <v>-1.9641351552864596E-2</v>
      </c>
      <c r="Y30" s="8">
        <f t="shared" si="133"/>
        <v>-7.3248018756457908E-2</v>
      </c>
      <c r="Z30" s="8">
        <f t="shared" si="134"/>
        <v>7.5708317923605717E-2</v>
      </c>
      <c r="AA30" s="8">
        <f t="shared" si="135"/>
        <v>4.393806976628143E-3</v>
      </c>
      <c r="AB30" s="8">
        <f t="shared" si="136"/>
        <v>-2.7982986579575216E-2</v>
      </c>
      <c r="AC30" s="8">
        <f t="shared" si="137"/>
        <v>7.0484093273992951E-2</v>
      </c>
      <c r="AD30" s="8">
        <f t="shared" si="138"/>
        <v>-5.810561254893392E-2</v>
      </c>
      <c r="AE30" s="8">
        <f t="shared" si="139"/>
        <v>-4.8731845161893841E-2</v>
      </c>
      <c r="AF30" s="8">
        <f t="shared" si="140"/>
        <v>6.4534338073281378E-2</v>
      </c>
      <c r="AG30" s="8">
        <f t="shared" si="141"/>
        <v>-3.9829312723332941E-2</v>
      </c>
      <c r="AH30" s="8">
        <f t="shared" si="142"/>
        <v>1.7510269502792181E-2</v>
      </c>
      <c r="AI30" s="8">
        <f t="shared" si="143"/>
        <v>7.3786485242957667E-2</v>
      </c>
      <c r="AJ30" s="8">
        <f t="shared" si="144"/>
        <v>-7.5549177901483536E-2</v>
      </c>
      <c r="AK30" s="8">
        <f t="shared" si="145"/>
        <v>-6.5860960348007201E-3</v>
      </c>
      <c r="AL30" s="8">
        <f t="shared" si="146"/>
        <v>3.0013961555130416E-2</v>
      </c>
      <c r="AM30" s="8">
        <f t="shared" si="147"/>
        <v>-6.9643499727805022E-2</v>
      </c>
      <c r="AN30" s="8">
        <f t="shared" si="148"/>
        <v>5.6668887161991206E-2</v>
      </c>
      <c r="AO30" s="8">
        <f t="shared" si="149"/>
        <v>5.0395358619530956E-2</v>
      </c>
      <c r="AP30" s="8">
        <f t="shared" si="150"/>
        <v>-6.5661540550545905E-2</v>
      </c>
      <c r="AQ30" s="8">
        <f t="shared" si="151"/>
        <v>3.7942285580848195E-2</v>
      </c>
      <c r="AR30" s="8">
        <f t="shared" si="152"/>
        <v>-1.5364477088694818E-2</v>
      </c>
      <c r="AS30" s="8">
        <f t="shared" si="153"/>
        <v>-7.4262963759606296E-2</v>
      </c>
      <c r="AT30" s="8">
        <f t="shared" si="154"/>
        <v>7.5326569072755048E-2</v>
      </c>
      <c r="AU30" s="8">
        <f t="shared" si="155"/>
        <v>8.772852118729052E-3</v>
      </c>
      <c r="AV30" s="8">
        <f t="shared" si="156"/>
        <v>-3.2019721824525664E-2</v>
      </c>
      <c r="AW30" s="8">
        <f t="shared" si="157"/>
        <v>6.8744398730730211E-2</v>
      </c>
      <c r="AX30" s="8">
        <f t="shared" si="158"/>
        <v>-5.5184554286260804E-2</v>
      </c>
      <c r="AY30" s="8">
        <f t="shared" si="159"/>
        <v>-5.2016534974913112E-2</v>
      </c>
      <c r="AZ30" s="8">
        <f t="shared" si="160"/>
        <v>6.6733580817784577E-2</v>
      </c>
      <c r="BA30" s="8">
        <f t="shared" si="161"/>
        <v>-3.6023383153249773E-2</v>
      </c>
      <c r="BB30" s="8">
        <f t="shared" si="162"/>
        <v>1.3205776989139906E-2</v>
      </c>
      <c r="BC30" s="8">
        <f t="shared" si="163"/>
        <v>7.4677054017165997E-2</v>
      </c>
      <c r="BD30" s="8">
        <f t="shared" si="164"/>
        <v>-7.504067845092717E-2</v>
      </c>
      <c r="BE30" s="8">
        <f t="shared" si="165"/>
        <v>-1.0952238136298019E-2</v>
      </c>
      <c r="BF30" s="8">
        <f t="shared" si="166"/>
        <v>3.3998582350091323E-2</v>
      </c>
      <c r="BG30" s="8">
        <f t="shared" si="167"/>
        <v>-6.7787545616829079E-2</v>
      </c>
      <c r="BH30" s="8">
        <f t="shared" si="168"/>
        <v>5.3653860908656842E-2</v>
      </c>
      <c r="BI30" s="8">
        <f t="shared" si="169"/>
        <v>5.3594012279023578E-2</v>
      </c>
      <c r="BJ30" s="8">
        <f t="shared" si="170"/>
        <v>-6.7749558254788469E-2</v>
      </c>
      <c r="BK30" s="8">
        <f t="shared" si="171"/>
        <v>3.4074217509000096E-2</v>
      </c>
      <c r="BL30" s="8">
        <f t="shared" si="172"/>
        <v>-1.1035982726430733E-2</v>
      </c>
      <c r="BM30" s="8">
        <f t="shared" si="173"/>
        <v>-7.502840813872802E-2</v>
      </c>
      <c r="BN30" s="8">
        <f t="shared" si="174"/>
        <v>7.4691746212492735E-2</v>
      </c>
      <c r="BO30" s="8">
        <f t="shared" si="175"/>
        <v>1.3122423186980427E-2</v>
      </c>
      <c r="BP30" s="8">
        <f t="shared" si="176"/>
        <v>-3.5948880692612727E-2</v>
      </c>
      <c r="BQ30" s="8">
        <f t="shared" si="177"/>
        <v>6.6773744237671157E-2</v>
      </c>
      <c r="BR30" s="8">
        <f t="shared" si="178"/>
        <v>-5.2078092963515808E-2</v>
      </c>
      <c r="BS30" s="8">
        <f t="shared" si="179"/>
        <v>-5.5126465294384974E-2</v>
      </c>
      <c r="BT30" s="8">
        <f t="shared" si="180"/>
        <v>6.8708619339689345E-2</v>
      </c>
      <c r="BU30" s="8">
        <f t="shared" si="181"/>
        <v>-3.2096426140666982E-2</v>
      </c>
      <c r="BV30" s="8">
        <f t="shared" si="182"/>
        <v>8.8569171430683061E-3</v>
      </c>
      <c r="BW30" s="8">
        <f t="shared" si="183"/>
        <v>7.5316730951963437E-2</v>
      </c>
      <c r="BX30" s="8">
        <f t="shared" si="184"/>
        <v>-7.4280065495158448E-2</v>
      </c>
      <c r="BY30" s="8">
        <f t="shared" si="185"/>
        <v>-1.5281584099974582E-2</v>
      </c>
      <c r="BZ30" s="8">
        <f t="shared" si="186"/>
        <v>3.7868978407943565E-2</v>
      </c>
      <c r="CA30" s="8">
        <f t="shared" si="187"/>
        <v>-6.5703846287019821E-2</v>
      </c>
      <c r="CB30" s="8">
        <f t="shared" si="188"/>
        <v>5.0458574252283499E-2</v>
      </c>
      <c r="CC30" s="8">
        <f t="shared" si="189"/>
        <v>5.6612606608390834E-2</v>
      </c>
      <c r="CD30" s="8">
        <f t="shared" si="190"/>
        <v>-6.960995836600313E-2</v>
      </c>
      <c r="CE30" s="8">
        <f t="shared" si="191"/>
        <v>3.0091670589266664E-2</v>
      </c>
      <c r="CF30" s="8">
        <f t="shared" si="192"/>
        <v>-6.6704108703846271E-3</v>
      </c>
      <c r="CG30" s="8">
        <f t="shared" si="193"/>
        <v>-7.5541780237097136E-2</v>
      </c>
      <c r="CH30" s="8">
        <f t="shared" si="194"/>
        <v>7.3805982151580449E-2</v>
      </c>
      <c r="CI30" s="8">
        <f t="shared" si="195"/>
        <v>1.742790696584685E-2</v>
      </c>
      <c r="CJ30" s="8">
        <f t="shared" si="196"/>
        <v>-3.9757262423459956E-2</v>
      </c>
      <c r="CK30" s="8">
        <f t="shared" si="197"/>
        <v>6.4578750585326153E-2</v>
      </c>
      <c r="CL30" s="8">
        <f t="shared" si="198"/>
        <v>-4.879666533139209E-2</v>
      </c>
      <c r="CM30" s="8">
        <f t="shared" si="199"/>
        <v>-5.8051187714858538E-2</v>
      </c>
      <c r="CN30" s="8">
        <f t="shared" si="200"/>
        <v>7.0452818119502297E-2</v>
      </c>
      <c r="CO30" s="8">
        <f t="shared" si="201"/>
        <v>-2.8061635048406464E-2</v>
      </c>
      <c r="CP30" s="8">
        <f t="shared" si="202"/>
        <v>4.4783007906275115E-3</v>
      </c>
      <c r="CQ30" s="8">
        <f t="shared" si="203"/>
        <v>7.5703366930396768E-2</v>
      </c>
      <c r="CR30" s="8">
        <f t="shared" si="204"/>
        <v>-7.3269894458813198E-2</v>
      </c>
      <c r="CS30" s="8">
        <f t="shared" si="205"/>
        <v>-1.955958866039877E-2</v>
      </c>
      <c r="CT30" s="8">
        <f t="shared" si="206"/>
        <v>4.1612146393204312E-2</v>
      </c>
      <c r="CU30" s="8">
        <f t="shared" si="112"/>
        <v>-6.3399402324628887E-2</v>
      </c>
      <c r="DA30" s="20">
        <v>4.9066833180474645E-3</v>
      </c>
    </row>
    <row r="31" spans="1:105">
      <c r="A31" s="15">
        <v>29</v>
      </c>
      <c r="B31" s="16">
        <v>49</v>
      </c>
      <c r="C31" s="8">
        <f t="shared" si="113"/>
        <v>3.8918202981106265</v>
      </c>
      <c r="D31" s="8">
        <f t="shared" si="114"/>
        <v>1.9582795698924731</v>
      </c>
      <c r="E31" s="7">
        <f t="shared" si="115"/>
        <v>3.2068965517241379</v>
      </c>
      <c r="F31" s="8">
        <f>CX59</f>
        <v>1.3592459142900434E-2</v>
      </c>
      <c r="G31" s="8">
        <f>CY59</f>
        <v>5.4915753662768213E-2</v>
      </c>
      <c r="H31" s="8">
        <f t="shared" si="119"/>
        <v>-3.1624968756715971E-2</v>
      </c>
      <c r="I31" s="8">
        <f t="shared" si="116"/>
        <v>7.7490157108737828E-2</v>
      </c>
      <c r="J31" s="8">
        <f t="shared" si="117"/>
        <v>-5.979547406315211E-2</v>
      </c>
      <c r="K31" s="8">
        <f t="shared" si="118"/>
        <v>-5.8560775090183328E-2</v>
      </c>
      <c r="L31" s="8">
        <f t="shared" si="120"/>
        <v>7.6813537714053803E-2</v>
      </c>
      <c r="M31" s="8">
        <f t="shared" si="121"/>
        <v>-3.3234673481949049E-2</v>
      </c>
      <c r="N31" s="8">
        <f t="shared" si="122"/>
        <v>1.7460330271525514E-3</v>
      </c>
      <c r="O31" s="8">
        <f t="shared" si="123"/>
        <v>8.3676845460785784E-2</v>
      </c>
      <c r="P31" s="8">
        <f t="shared" si="124"/>
        <v>-7.8133047845639042E-2</v>
      </c>
      <c r="Q31" s="8">
        <f t="shared" si="125"/>
        <v>-3.0001498828412087E-2</v>
      </c>
      <c r="R31" s="8">
        <f t="shared" si="126"/>
        <v>5.7300586733579156E-2</v>
      </c>
      <c r="S31" s="8">
        <f t="shared" si="127"/>
        <v>-6.1004146232757871E-2</v>
      </c>
      <c r="T31" s="8">
        <f t="shared" si="128"/>
        <v>3.4829912357967022E-2</v>
      </c>
      <c r="U31" s="8">
        <f t="shared" si="129"/>
        <v>7.6103484169494293E-2</v>
      </c>
      <c r="V31" s="8">
        <f t="shared" si="130"/>
        <v>-8.3622209248081766E-2</v>
      </c>
      <c r="W31" s="8">
        <f t="shared" si="131"/>
        <v>3.4913060693902744E-3</v>
      </c>
      <c r="X31" s="8">
        <f t="shared" si="132"/>
        <v>2.8364970334676092E-2</v>
      </c>
      <c r="Y31" s="8">
        <f t="shared" si="133"/>
        <v>-7.8741930097712728E-2</v>
      </c>
      <c r="Z31" s="8">
        <f t="shared" si="134"/>
        <v>6.2186265507797614E-2</v>
      </c>
      <c r="AA31" s="8">
        <f t="shared" si="135"/>
        <v>5.6015457507672235E-2</v>
      </c>
      <c r="AB31" s="8">
        <f t="shared" si="136"/>
        <v>-7.5360305535640798E-2</v>
      </c>
      <c r="AC31" s="8">
        <f t="shared" si="137"/>
        <v>3.640999103508543E-2</v>
      </c>
      <c r="AD31" s="8">
        <f t="shared" si="138"/>
        <v>-5.2350594725921644E-3</v>
      </c>
      <c r="AE31" s="8">
        <f t="shared" si="139"/>
        <v>-8.353117531747388E-2</v>
      </c>
      <c r="AF31" s="8">
        <f t="shared" si="140"/>
        <v>7.9316538840575504E-2</v>
      </c>
      <c r="AG31" s="8">
        <f t="shared" si="141"/>
        <v>2.6716095597066756E-2</v>
      </c>
      <c r="AH31" s="8">
        <f t="shared" si="142"/>
        <v>-5.4705946782652164E-2</v>
      </c>
      <c r="AI31" s="8">
        <f t="shared" si="143"/>
        <v>6.334131735458115E-2</v>
      </c>
      <c r="AJ31" s="8">
        <f t="shared" si="144"/>
        <v>-3.7974221762304916E-2</v>
      </c>
      <c r="AK31" s="8">
        <f t="shared" si="145"/>
        <v>-7.4584325291226036E-2</v>
      </c>
      <c r="AL31" s="8">
        <f t="shared" si="146"/>
        <v>8.3403783292733749E-2</v>
      </c>
      <c r="AM31" s="8">
        <f t="shared" si="147"/>
        <v>-6.9765342440813258E-3</v>
      </c>
      <c r="AN31" s="8">
        <f t="shared" si="148"/>
        <v>-2.5055592311015808E-2</v>
      </c>
      <c r="AO31" s="8">
        <f t="shared" si="149"/>
        <v>7.9856623967860668E-2</v>
      </c>
      <c r="AP31" s="8">
        <f t="shared" si="150"/>
        <v>-6.4468799020888951E-2</v>
      </c>
      <c r="AQ31" s="8">
        <f t="shared" si="151"/>
        <v>-5.3372624541091866E-2</v>
      </c>
      <c r="AR31" s="8">
        <f t="shared" si="152"/>
        <v>7.3775881192334886E-2</v>
      </c>
      <c r="AS31" s="8">
        <f t="shared" si="153"/>
        <v>-3.9521923686665593E-2</v>
      </c>
      <c r="AT31" s="8">
        <f t="shared" si="154"/>
        <v>8.7149723829863177E-3</v>
      </c>
      <c r="AU31" s="8">
        <f t="shared" si="155"/>
        <v>8.3240088622994146E-2</v>
      </c>
      <c r="AV31" s="8">
        <f t="shared" si="156"/>
        <v>-8.0361950400080456E-2</v>
      </c>
      <c r="AW31" s="8">
        <f t="shared" si="157"/>
        <v>-2.338418323344096E-2</v>
      </c>
      <c r="AX31" s="8">
        <f t="shared" si="158"/>
        <v>5.2016071129853771E-2</v>
      </c>
      <c r="AY31" s="8">
        <f t="shared" si="159"/>
        <v>-6.5568219754802912E-2</v>
      </c>
      <c r="AZ31" s="8">
        <f t="shared" si="160"/>
        <v>4.1052423149594737E-2</v>
      </c>
      <c r="BA31" s="8">
        <f t="shared" si="161"/>
        <v>7.2935325125392789E-2</v>
      </c>
      <c r="BB31" s="8">
        <f t="shared" si="162"/>
        <v>-8.3040162558613864E-2</v>
      </c>
      <c r="BC31" s="8">
        <f t="shared" si="163"/>
        <v>1.0449617210171696E-2</v>
      </c>
      <c r="BD31" s="8">
        <f t="shared" si="164"/>
        <v>2.1702595868154699E-2</v>
      </c>
      <c r="BE31" s="8">
        <f t="shared" si="165"/>
        <v>-8.0832298186948079E-2</v>
      </c>
      <c r="BF31" s="8">
        <f t="shared" si="166"/>
        <v>6.6639101018310803E-2</v>
      </c>
      <c r="BG31" s="8">
        <f t="shared" si="167"/>
        <v>5.0636877007488347E-2</v>
      </c>
      <c r="BH31" s="8">
        <f t="shared" si="168"/>
        <v>-7.2063022954000522E-2</v>
      </c>
      <c r="BI31" s="8">
        <f t="shared" si="169"/>
        <v>4.2565053980129365E-2</v>
      </c>
      <c r="BJ31" s="8">
        <f t="shared" si="170"/>
        <v>-1.2179713697594347E-2</v>
      </c>
      <c r="BK31" s="8">
        <f t="shared" si="171"/>
        <v>-8.2804092120164971E-2</v>
      </c>
      <c r="BL31" s="8">
        <f t="shared" si="172"/>
        <v>8.1267462603113086E-2</v>
      </c>
      <c r="BM31" s="8">
        <f t="shared" si="173"/>
        <v>2.0011562149211362E-2</v>
      </c>
      <c r="BN31" s="8">
        <f t="shared" si="174"/>
        <v>-4.923564248722595E-2</v>
      </c>
      <c r="BO31" s="8">
        <f t="shared" si="175"/>
        <v>6.7680976695598916E-2</v>
      </c>
      <c r="BP31" s="8">
        <f t="shared" si="176"/>
        <v>-4.4059157784874806E-2</v>
      </c>
      <c r="BQ31" s="8">
        <f t="shared" si="177"/>
        <v>-7.115935435968794E-2</v>
      </c>
      <c r="BR31" s="8">
        <f t="shared" si="178"/>
        <v>8.2531980060556204E-2</v>
      </c>
      <c r="BS31" s="8">
        <f t="shared" si="179"/>
        <v>-1.3904508796936599E-2</v>
      </c>
      <c r="BT31" s="8">
        <f t="shared" si="180"/>
        <v>-1.8311818122319069E-2</v>
      </c>
      <c r="BU31" s="8">
        <f t="shared" si="181"/>
        <v>8.1667254237272113E-2</v>
      </c>
      <c r="BV31" s="8">
        <f t="shared" si="182"/>
        <v>-6.869339329593431E-2</v>
      </c>
      <c r="BW31" s="8">
        <f t="shared" si="183"/>
        <v>-4.7812977475683527E-2</v>
      </c>
      <c r="BX31" s="8">
        <f t="shared" si="184"/>
        <v>7.0224712676652923E-2</v>
      </c>
      <c r="BY31" s="8">
        <f t="shared" si="185"/>
        <v>-4.5534084234578352E-2</v>
      </c>
      <c r="BZ31" s="8">
        <f t="shared" si="186"/>
        <v>1.5623251767384702E-2</v>
      </c>
      <c r="CA31" s="8">
        <f t="shared" si="187"/>
        <v>8.222394482030794E-2</v>
      </c>
      <c r="CB31" s="8">
        <f t="shared" si="188"/>
        <v>-8.2031499074612074E-2</v>
      </c>
      <c r="CC31" s="8">
        <f t="shared" si="189"/>
        <v>-1.6604103624467386E-2</v>
      </c>
      <c r="CD31" s="8">
        <f t="shared" si="190"/>
        <v>4.63695012073954E-2</v>
      </c>
      <c r="CE31" s="8">
        <f t="shared" si="191"/>
        <v>-6.9675910151052137E-2</v>
      </c>
      <c r="CF31" s="8">
        <f t="shared" si="192"/>
        <v>4.6989191347194682E-2</v>
      </c>
      <c r="CG31" s="8">
        <f t="shared" si="193"/>
        <v>6.9259504720557002E-2</v>
      </c>
      <c r="CH31" s="8">
        <f t="shared" si="194"/>
        <v>-8.1880120475999463E-2</v>
      </c>
      <c r="CI31" s="8">
        <f t="shared" si="195"/>
        <v>1.7335194502397327E-2</v>
      </c>
      <c r="CJ31" s="8">
        <f t="shared" si="196"/>
        <v>1.4889161961904257E-2</v>
      </c>
      <c r="CK31" s="8">
        <f t="shared" si="197"/>
        <v>-8.2360038572552391E-2</v>
      </c>
      <c r="CL31" s="8">
        <f t="shared" si="198"/>
        <v>7.0628099606963063E-2</v>
      </c>
      <c r="CM31" s="8">
        <f t="shared" si="199"/>
        <v>4.4905841975282426E-2</v>
      </c>
      <c r="CN31" s="8">
        <f t="shared" si="200"/>
        <v>-6.8264150611450969E-2</v>
      </c>
      <c r="CO31" s="8">
        <f t="shared" si="201"/>
        <v>4.8423845767320797E-2</v>
      </c>
      <c r="CP31" s="8">
        <f t="shared" si="202"/>
        <v>-1.903959185532807E-2</v>
      </c>
      <c r="CQ31" s="8">
        <f t="shared" si="203"/>
        <v>-8.1500656681910588E-2</v>
      </c>
      <c r="CR31" s="8">
        <f t="shared" si="204"/>
        <v>8.2652729729752961E-2</v>
      </c>
      <c r="CS31" s="8">
        <f t="shared" si="205"/>
        <v>1.3167739586601179E-2</v>
      </c>
      <c r="CT31" s="8">
        <f t="shared" si="206"/>
        <v>-4.3422636857175373E-2</v>
      </c>
      <c r="CU31" s="8">
        <f t="shared" si="112"/>
        <v>7.1549547210097764E-2</v>
      </c>
      <c r="CX31">
        <v>6.5708822538301653E-2</v>
      </c>
      <c r="CY31">
        <v>0.26672238430680245</v>
      </c>
      <c r="DA31" s="21"/>
    </row>
    <row r="32" spans="1:105">
      <c r="A32" s="15">
        <v>30</v>
      </c>
      <c r="B32" s="16">
        <v>48</v>
      </c>
      <c r="C32" s="8">
        <f t="shared" si="113"/>
        <v>3.8712010109078911</v>
      </c>
      <c r="D32" s="8">
        <f t="shared" si="114"/>
        <v>2.0258064516129033</v>
      </c>
      <c r="E32" s="7">
        <f t="shared" si="115"/>
        <v>3.1</v>
      </c>
      <c r="F32" s="8">
        <f>CX61</f>
        <v>5.4625956478107727E-3</v>
      </c>
      <c r="G32" s="8">
        <f>CY61</f>
        <v>2.2053680873294412E-2</v>
      </c>
      <c r="H32" s="8">
        <f t="shared" si="119"/>
        <v>-3.658671313762827E-2</v>
      </c>
      <c r="I32" s="8">
        <f t="shared" si="116"/>
        <v>7.4781328502150218E-2</v>
      </c>
      <c r="J32" s="8">
        <f t="shared" si="117"/>
        <v>-5.1094005932288807E-2</v>
      </c>
      <c r="K32" s="8">
        <f t="shared" si="118"/>
        <v>-6.5728511534590847E-2</v>
      </c>
      <c r="L32" s="8">
        <f t="shared" si="120"/>
        <v>8.1495422644872917E-2</v>
      </c>
      <c r="M32" s="8">
        <f t="shared" si="121"/>
        <v>-1.7009725415042413E-2</v>
      </c>
      <c r="N32" s="8">
        <f t="shared" si="122"/>
        <v>-2.0535810421881275E-2</v>
      </c>
      <c r="O32" s="8">
        <f t="shared" si="123"/>
        <v>8.0679087507718864E-2</v>
      </c>
      <c r="P32" s="8">
        <f t="shared" si="124"/>
        <v>-6.3445619582762541E-2</v>
      </c>
      <c r="Q32" s="8">
        <f t="shared" si="125"/>
        <v>-5.3902579034040513E-2</v>
      </c>
      <c r="R32" s="8">
        <f t="shared" si="126"/>
        <v>7.6300882025884184E-2</v>
      </c>
      <c r="S32" s="8">
        <f t="shared" si="127"/>
        <v>-3.3301802846598387E-2</v>
      </c>
      <c r="T32" s="8">
        <f t="shared" si="128"/>
        <v>-3.6184926066001317E-3</v>
      </c>
      <c r="U32" s="8">
        <f t="shared" si="129"/>
        <v>8.3172959440058314E-2</v>
      </c>
      <c r="V32" s="8">
        <f t="shared" si="130"/>
        <v>-7.3120433940853047E-2</v>
      </c>
      <c r="W32" s="8">
        <f t="shared" si="131"/>
        <v>-3.9802472423995851E-2</v>
      </c>
      <c r="X32" s="8">
        <f t="shared" si="132"/>
        <v>6.7887172796702103E-2</v>
      </c>
      <c r="Y32" s="8">
        <f t="shared" si="133"/>
        <v>-4.8188862203130657E-2</v>
      </c>
      <c r="Z32" s="8">
        <f t="shared" si="134"/>
        <v>1.3451491043021475E-2</v>
      </c>
      <c r="AA32" s="8">
        <f t="shared" si="135"/>
        <v>8.215772671807027E-2</v>
      </c>
      <c r="AB32" s="8">
        <f t="shared" si="136"/>
        <v>-7.971026422724882E-2</v>
      </c>
      <c r="AC32" s="8">
        <f t="shared" si="137"/>
        <v>-2.4023081558862944E-2</v>
      </c>
      <c r="AD32" s="8">
        <f t="shared" si="138"/>
        <v>5.6609273142725458E-2</v>
      </c>
      <c r="AE32" s="8">
        <f t="shared" si="139"/>
        <v>-6.1042811739089368E-2</v>
      </c>
      <c r="AF32" s="8">
        <f t="shared" si="140"/>
        <v>2.9953950221414647E-2</v>
      </c>
      <c r="AG32" s="8">
        <f t="shared" si="141"/>
        <v>7.7676222467976758E-2</v>
      </c>
      <c r="AH32" s="8">
        <f t="shared" si="142"/>
        <v>-8.293708253137777E-2</v>
      </c>
      <c r="AI32" s="8">
        <f t="shared" si="143"/>
        <v>-7.2301460528152346E-3</v>
      </c>
      <c r="AJ32" s="8">
        <f t="shared" si="144"/>
        <v>4.2943002734592645E-2</v>
      </c>
      <c r="AK32" s="8">
        <f t="shared" si="145"/>
        <v>-7.1321337528809522E-2</v>
      </c>
      <c r="AL32" s="8">
        <f t="shared" si="146"/>
        <v>4.5192638736300146E-2</v>
      </c>
      <c r="AM32" s="8">
        <f t="shared" si="147"/>
        <v>6.9917523374415008E-2</v>
      </c>
      <c r="AN32" s="8">
        <f t="shared" si="148"/>
        <v>-8.266474793429307E-2</v>
      </c>
      <c r="AO32" s="8">
        <f t="shared" si="149"/>
        <v>9.8678325746535678E-3</v>
      </c>
      <c r="AP32" s="8">
        <f t="shared" si="150"/>
        <v>2.7464947681772312E-2</v>
      </c>
      <c r="AQ32" s="8">
        <f t="shared" si="151"/>
        <v>-7.8590783935516995E-2</v>
      </c>
      <c r="AR32" s="8">
        <f t="shared" si="152"/>
        <v>5.8524629449417727E-2</v>
      </c>
      <c r="AS32" s="8">
        <f t="shared" si="153"/>
        <v>5.9208972449874116E-2</v>
      </c>
      <c r="AT32" s="8">
        <f t="shared" si="154"/>
        <v>-7.8904750355418107E-2</v>
      </c>
      <c r="AU32" s="8">
        <f t="shared" si="155"/>
        <v>2.6549482897238363E-2</v>
      </c>
      <c r="AV32" s="8">
        <f t="shared" si="156"/>
        <v>1.0828134104669254E-2</v>
      </c>
      <c r="AW32" s="8">
        <f t="shared" si="157"/>
        <v>-8.2544449738143524E-2</v>
      </c>
      <c r="AX32" s="8">
        <f t="shared" si="158"/>
        <v>6.9387439662330214E-2</v>
      </c>
      <c r="AY32" s="8">
        <f t="shared" si="159"/>
        <v>4.6002368285427322E-2</v>
      </c>
      <c r="AZ32" s="8">
        <f t="shared" si="160"/>
        <v>-7.1815725787665902E-2</v>
      </c>
      <c r="BA32" s="8">
        <f t="shared" si="161"/>
        <v>4.2110998567504707E-2</v>
      </c>
      <c r="BB32" s="8">
        <f t="shared" si="162"/>
        <v>-6.2655233317864415E-3</v>
      </c>
      <c r="BC32" s="8">
        <f t="shared" si="163"/>
        <v>-8.3015527994107496E-2</v>
      </c>
      <c r="BD32" s="8">
        <f t="shared" si="164"/>
        <v>7.732276251504569E-2</v>
      </c>
      <c r="BE32" s="8">
        <f t="shared" si="165"/>
        <v>3.085490346449736E-2</v>
      </c>
      <c r="BF32" s="8">
        <f t="shared" si="166"/>
        <v>-6.169676337338291E-2</v>
      </c>
      <c r="BG32" s="8">
        <f t="shared" si="167"/>
        <v>5.5895832223971778E-2</v>
      </c>
      <c r="BH32" s="8">
        <f t="shared" si="168"/>
        <v>-2.3094835514287732E-2</v>
      </c>
      <c r="BI32" s="8">
        <f t="shared" si="169"/>
        <v>-7.998414369942082E-2</v>
      </c>
      <c r="BJ32" s="8">
        <f t="shared" si="170"/>
        <v>8.1995803159051833E-2</v>
      </c>
      <c r="BK32" s="8">
        <f t="shared" si="171"/>
        <v>1.4405656356571544E-2</v>
      </c>
      <c r="BL32" s="8">
        <f t="shared" si="172"/>
        <v>-4.8974786698599698E-2</v>
      </c>
      <c r="BM32" s="8">
        <f t="shared" si="173"/>
        <v>6.7322395520274442E-2</v>
      </c>
      <c r="BN32" s="8">
        <f t="shared" si="174"/>
        <v>-3.8949766174960765E-2</v>
      </c>
      <c r="BO32" s="8">
        <f t="shared" si="175"/>
        <v>-7.3578192324067648E-2</v>
      </c>
      <c r="BP32" s="8">
        <f t="shared" si="176"/>
        <v>8.3209403902904946E-2</v>
      </c>
      <c r="BQ32" s="8">
        <f t="shared" si="177"/>
        <v>-2.6513718873125091E-3</v>
      </c>
      <c r="BR32" s="8">
        <f t="shared" si="178"/>
        <v>-3.4186541694473133E-2</v>
      </c>
      <c r="BS32" s="8">
        <f t="shared" si="179"/>
        <v>7.5908596599684644E-2</v>
      </c>
      <c r="BT32" s="8">
        <f t="shared" si="180"/>
        <v>-5.3161388641603968E-2</v>
      </c>
      <c r="BU32" s="8">
        <f t="shared" si="181"/>
        <v>-6.4067943844468317E-2</v>
      </c>
      <c r="BV32" s="8">
        <f t="shared" si="182"/>
        <v>8.0912362384113284E-2</v>
      </c>
      <c r="BW32" s="8">
        <f t="shared" si="183"/>
        <v>-1.959653755599532E-2</v>
      </c>
      <c r="BX32" s="8">
        <f t="shared" si="184"/>
        <v>-1.7955951084478214E-2</v>
      </c>
      <c r="BY32" s="8">
        <f t="shared" si="185"/>
        <v>8.1292179767880682E-2</v>
      </c>
      <c r="BZ32" s="8">
        <f t="shared" si="186"/>
        <v>-6.5130108155549385E-2</v>
      </c>
      <c r="CA32" s="8">
        <f t="shared" si="187"/>
        <v>-5.1854639931331568E-2</v>
      </c>
      <c r="CB32" s="8">
        <f t="shared" si="188"/>
        <v>7.5201591819893748E-2</v>
      </c>
      <c r="CC32" s="8">
        <f t="shared" si="189"/>
        <v>-3.571491647079264E-2</v>
      </c>
      <c r="CD32" s="8">
        <f t="shared" si="190"/>
        <v>-9.6779080343137921E-4</v>
      </c>
      <c r="CE32" s="8">
        <f t="shared" si="191"/>
        <v>8.3246009224000633E-2</v>
      </c>
      <c r="CF32" s="8">
        <f t="shared" si="192"/>
        <v>-7.4350959044834367E-2</v>
      </c>
      <c r="CG32" s="8">
        <f t="shared" si="193"/>
        <v>-3.7453565382683768E-2</v>
      </c>
      <c r="CH32" s="8">
        <f t="shared" si="194"/>
        <v>6.6318032194847221E-2</v>
      </c>
      <c r="CI32" s="8">
        <f t="shared" si="195"/>
        <v>-5.0326466958895616E-2</v>
      </c>
      <c r="CJ32" s="8">
        <f t="shared" si="196"/>
        <v>1.6061201007906062E-2</v>
      </c>
      <c r="CK32" s="8">
        <f t="shared" si="197"/>
        <v>8.1687652022476714E-2</v>
      </c>
      <c r="CL32" s="8">
        <f t="shared" si="198"/>
        <v>-8.0434909453549475E-2</v>
      </c>
      <c r="CM32" s="8">
        <f t="shared" si="199"/>
        <v>-2.1472308025941318E-2</v>
      </c>
      <c r="CN32" s="8">
        <f t="shared" si="200"/>
        <v>5.4636484894389284E-2</v>
      </c>
      <c r="CO32" s="8">
        <f t="shared" si="201"/>
        <v>-6.2814721118116715E-2</v>
      </c>
      <c r="CP32" s="8">
        <f t="shared" si="202"/>
        <v>3.241256350810242E-2</v>
      </c>
      <c r="CQ32" s="8">
        <f t="shared" si="203"/>
        <v>7.6682855956170748E-2</v>
      </c>
      <c r="CR32" s="8">
        <f t="shared" si="204"/>
        <v>-8.3125274771219726E-2</v>
      </c>
      <c r="CS32" s="8">
        <f t="shared" si="205"/>
        <v>-4.5851243135629841E-3</v>
      </c>
      <c r="CT32" s="8">
        <f t="shared" si="206"/>
        <v>4.0649799665333664E-2</v>
      </c>
      <c r="CU32" s="8">
        <f t="shared" si="112"/>
        <v>-7.2652793875596033E-2</v>
      </c>
      <c r="DA32" s="20">
        <v>7.21641547757613E-4</v>
      </c>
    </row>
    <row r="33" spans="1:105">
      <c r="A33" s="15">
        <v>31</v>
      </c>
      <c r="B33" s="16">
        <v>34</v>
      </c>
      <c r="C33" s="8">
        <f t="shared" si="113"/>
        <v>3.5263605246161616</v>
      </c>
      <c r="D33" s="8">
        <f t="shared" si="114"/>
        <v>2.0933333333333333</v>
      </c>
      <c r="E33" s="7">
        <f t="shared" si="115"/>
        <v>3</v>
      </c>
      <c r="F33" s="8">
        <f>CX63</f>
        <v>1.7312508924073166E-2</v>
      </c>
      <c r="G33" s="8">
        <f>CY63</f>
        <v>6.9968730957363875E-2</v>
      </c>
      <c r="H33" s="8">
        <f t="shared" si="119"/>
        <v>-3.784810136828435E-2</v>
      </c>
      <c r="I33" s="8">
        <f t="shared" si="116"/>
        <v>6.5715874531087973E-2</v>
      </c>
      <c r="J33" s="8">
        <f t="shared" si="117"/>
        <v>-3.8057234254569063E-2</v>
      </c>
      <c r="K33" s="8">
        <f t="shared" si="118"/>
        <v>-6.5594983523608569E-2</v>
      </c>
      <c r="L33" s="8">
        <f t="shared" si="120"/>
        <v>7.5835325485672053E-2</v>
      </c>
      <c r="M33" s="8">
        <f t="shared" si="121"/>
        <v>-2.4155962370567781E-4</v>
      </c>
      <c r="N33" s="8">
        <f t="shared" si="122"/>
        <v>-3.763858446860599E-2</v>
      </c>
      <c r="O33" s="8">
        <f t="shared" si="123"/>
        <v>6.5836098773919133E-2</v>
      </c>
      <c r="P33" s="8">
        <f t="shared" si="124"/>
        <v>-3.826598100556159E-2</v>
      </c>
      <c r="Q33" s="8">
        <f t="shared" si="125"/>
        <v>-6.5473426978062063E-2</v>
      </c>
      <c r="R33" s="8">
        <f t="shared" si="126"/>
        <v>7.5834171326194091E-2</v>
      </c>
      <c r="S33" s="8">
        <f t="shared" si="127"/>
        <v>-4.8311679650556329E-4</v>
      </c>
      <c r="T33" s="8">
        <f t="shared" si="128"/>
        <v>-3.7428685681328712E-2</v>
      </c>
      <c r="U33" s="8">
        <f t="shared" si="129"/>
        <v>6.5955655032286079E-2</v>
      </c>
      <c r="V33" s="8">
        <f t="shared" si="130"/>
        <v>-3.8474339503281337E-2</v>
      </c>
      <c r="W33" s="8">
        <f t="shared" si="131"/>
        <v>-6.5351206127782141E-2</v>
      </c>
      <c r="X33" s="8">
        <f t="shared" si="132"/>
        <v>7.5832247740075645E-2</v>
      </c>
      <c r="Y33" s="8">
        <f t="shared" si="133"/>
        <v>-7.2466906751859699E-4</v>
      </c>
      <c r="Z33" s="8">
        <f t="shared" si="134"/>
        <v>-3.7218407136122122E-2</v>
      </c>
      <c r="AA33" s="8">
        <f t="shared" si="135"/>
        <v>6.607454209315021E-2</v>
      </c>
      <c r="AB33" s="8">
        <f t="shared" si="136"/>
        <v>-3.8682307633686699E-2</v>
      </c>
      <c r="AC33" s="8">
        <f t="shared" si="137"/>
        <v>-6.522832221284286E-2</v>
      </c>
      <c r="AD33" s="8">
        <f t="shared" si="138"/>
        <v>7.5829554746833713E-2</v>
      </c>
      <c r="AE33" s="8">
        <f t="shared" si="139"/>
        <v>-9.6621398591399264E-4</v>
      </c>
      <c r="AF33" s="8">
        <f t="shared" si="140"/>
        <v>-3.7007750966508428E-2</v>
      </c>
      <c r="AG33" s="8">
        <f t="shared" si="141"/>
        <v>6.6192758750263009E-2</v>
      </c>
      <c r="AH33" s="8">
        <f t="shared" si="142"/>
        <v>-3.8889883286697353E-2</v>
      </c>
      <c r="AI33" s="8">
        <f t="shared" si="143"/>
        <v>-6.5104776480045493E-2</v>
      </c>
      <c r="AJ33" s="8">
        <f t="shared" si="144"/>
        <v>7.582609237379187E-2</v>
      </c>
      <c r="AK33" s="8">
        <f t="shared" si="145"/>
        <v>-1.2077491009346215E-3</v>
      </c>
      <c r="AL33" s="8">
        <f t="shared" si="146"/>
        <v>-3.6796719309842081E-2</v>
      </c>
      <c r="AM33" s="8">
        <f t="shared" si="147"/>
        <v>6.6310303804177517E-2</v>
      </c>
      <c r="AN33" s="8">
        <f t="shared" si="148"/>
        <v>-3.9097064356214288E-2</v>
      </c>
      <c r="AO33" s="8">
        <f t="shared" si="149"/>
        <v>-6.4980570182906705E-2</v>
      </c>
      <c r="AP33" s="8">
        <f t="shared" si="150"/>
        <v>7.5821860656079973E-2</v>
      </c>
      <c r="AQ33" s="8">
        <f t="shared" si="151"/>
        <v>-1.44927196192363E-3</v>
      </c>
      <c r="AR33" s="8">
        <f t="shared" si="152"/>
        <v>-3.65853143072866E-2</v>
      </c>
      <c r="AS33" s="8">
        <f t="shared" si="153"/>
        <v>6.6427176062261409E-2</v>
      </c>
      <c r="AT33" s="8">
        <f t="shared" si="154"/>
        <v>-3.9303848740142727E-2</v>
      </c>
      <c r="AU33" s="8">
        <f t="shared" si="155"/>
        <v>-6.4855704581644982E-2</v>
      </c>
      <c r="AV33" s="8">
        <f t="shared" si="156"/>
        <v>7.5816859636633746E-2</v>
      </c>
      <c r="AW33" s="8">
        <f t="shared" si="157"/>
        <v>-1.6907801183482275E-3</v>
      </c>
      <c r="AX33" s="8">
        <f t="shared" si="158"/>
        <v>-3.6373538103793769E-2</v>
      </c>
      <c r="AY33" s="8">
        <f t="shared" si="159"/>
        <v>6.6543374338708494E-2</v>
      </c>
      <c r="AZ33" s="8">
        <f t="shared" si="160"/>
        <v>-3.951023434041246E-2</v>
      </c>
      <c r="BA33" s="8">
        <f t="shared" si="161"/>
        <v>-6.4730180943168361E-2</v>
      </c>
      <c r="BB33" s="8">
        <f t="shared" si="162"/>
        <v>7.5811089366194406E-2</v>
      </c>
      <c r="BC33" s="8">
        <f t="shared" si="163"/>
        <v>-1.9322711198253555E-3</v>
      </c>
      <c r="BD33" s="8">
        <f t="shared" si="164"/>
        <v>-3.6161392848081161E-2</v>
      </c>
      <c r="BE33" s="8">
        <f t="shared" si="165"/>
        <v>6.6658897454551183E-2</v>
      </c>
      <c r="BF33" s="8">
        <f t="shared" si="166"/>
        <v>-3.9716219062999908E-2</v>
      </c>
      <c r="BG33" s="8">
        <f t="shared" si="167"/>
        <v>-6.4604000541061135E-2</v>
      </c>
      <c r="BH33" s="8">
        <f t="shared" si="168"/>
        <v>7.5804549903308122E-2</v>
      </c>
      <c r="BI33" s="8">
        <f t="shared" si="169"/>
        <v>-2.1737425161443983E-3</v>
      </c>
      <c r="BJ33" s="8">
        <f t="shared" si="170"/>
        <v>-3.5948880692612255E-2</v>
      </c>
      <c r="BK33" s="8">
        <f t="shared" si="171"/>
        <v>6.6773744237671406E-2</v>
      </c>
      <c r="BL33" s="8">
        <f t="shared" si="172"/>
        <v>-3.9921800817947474E-2</v>
      </c>
      <c r="BM33" s="8">
        <f t="shared" si="173"/>
        <v>-6.4477164655572086E-2</v>
      </c>
      <c r="BN33" s="8">
        <f t="shared" si="174"/>
        <v>7.5797241314325414E-2</v>
      </c>
      <c r="BO33" s="8">
        <f t="shared" si="175"/>
        <v>-2.4151918572952722E-3</v>
      </c>
      <c r="BP33" s="8">
        <f t="shared" si="176"/>
        <v>-3.5736003793571704E-2</v>
      </c>
      <c r="BQ33" s="8">
        <f t="shared" si="177"/>
        <v>6.6887913522814077E-2</v>
      </c>
      <c r="BR33" s="8">
        <f t="shared" si="178"/>
        <v>-4.0126977519387493E-2</v>
      </c>
      <c r="BS33" s="8">
        <f t="shared" si="179"/>
        <v>-6.4349674573599802E-2</v>
      </c>
      <c r="BT33" s="8">
        <f t="shared" si="180"/>
        <v>7.5789163673400495E-2</v>
      </c>
      <c r="BU33" s="8">
        <f t="shared" si="181"/>
        <v>-2.6566166934911309E-3</v>
      </c>
      <c r="BV33" s="8">
        <f t="shared" si="182"/>
        <v>-3.5522764310845417E-2</v>
      </c>
      <c r="BW33" s="8">
        <f t="shared" si="183"/>
        <v>6.7001404151597846E-2</v>
      </c>
      <c r="BX33" s="8">
        <f t="shared" si="184"/>
        <v>-4.0331747085561614E-2</v>
      </c>
      <c r="BY33" s="8">
        <f t="shared" si="185"/>
        <v>-6.4221531588680741E-2</v>
      </c>
      <c r="BZ33" s="8">
        <f t="shared" si="186"/>
        <v>7.5780317062490499E-2</v>
      </c>
      <c r="CA33" s="8">
        <f t="shared" si="187"/>
        <v>-2.8980145751937602E-3</v>
      </c>
      <c r="CB33" s="8">
        <f t="shared" si="188"/>
        <v>-3.5309164407998125E-2</v>
      </c>
      <c r="CC33" s="8">
        <f t="shared" si="189"/>
        <v>6.711421497252712E-2</v>
      </c>
      <c r="CD33" s="8">
        <f t="shared" si="190"/>
        <v>-4.053610743884236E-2</v>
      </c>
      <c r="CE33" s="8">
        <f t="shared" si="191"/>
        <v>-6.4092737000975813E-2</v>
      </c>
      <c r="CF33" s="8">
        <f t="shared" si="192"/>
        <v>7.5770701571354696E-2</v>
      </c>
      <c r="CG33" s="8">
        <f t="shared" si="193"/>
        <v>-3.1393830531384298E-3</v>
      </c>
      <c r="CH33" s="8">
        <f t="shared" si="194"/>
        <v>-3.5095206252251453E-2</v>
      </c>
      <c r="CI33" s="8">
        <f t="shared" si="195"/>
        <v>6.7226344841003788E-2</v>
      </c>
      <c r="CJ33" s="8">
        <f t="shared" si="196"/>
        <v>-4.0740056505754164E-2</v>
      </c>
      <c r="CK33" s="8">
        <f t="shared" si="197"/>
        <v>-6.3963292117257251E-2</v>
      </c>
      <c r="CL33" s="8">
        <f t="shared" si="198"/>
        <v>7.5760317297553489E-2</v>
      </c>
      <c r="CM33" s="8">
        <f t="shared" si="199"/>
        <v>-3.380719678358745E-3</v>
      </c>
      <c r="CN33" s="8">
        <f t="shared" si="200"/>
        <v>-3.4880892014461914E-2</v>
      </c>
      <c r="CO33" s="8">
        <f t="shared" si="201"/>
        <v>6.7337792619338754E-2</v>
      </c>
      <c r="CP33" s="8">
        <f t="shared" si="202"/>
        <v>-4.0943592216994465E-2</v>
      </c>
      <c r="CQ33" s="8">
        <f t="shared" si="203"/>
        <v>-6.3833198250895243E-2</v>
      </c>
      <c r="CR33" s="8">
        <f t="shared" si="204"/>
        <v>7.5749164346447559E-2</v>
      </c>
      <c r="CS33" s="8">
        <f t="shared" si="205"/>
        <v>-3.6220220022114957E-3</v>
      </c>
      <c r="CT33" s="8">
        <f t="shared" si="206"/>
        <v>-3.46662238690989E-2</v>
      </c>
      <c r="CU33" s="8">
        <f t="shared" si="112"/>
        <v>6.7448557176763554E-2</v>
      </c>
      <c r="CX33">
        <v>6.4103648996513107E-2</v>
      </c>
      <c r="CY33">
        <v>0.26016906347156327</v>
      </c>
      <c r="DA33" s="21"/>
    </row>
    <row r="34" spans="1:105">
      <c r="A34" s="15">
        <v>32</v>
      </c>
      <c r="B34" s="16">
        <v>33</v>
      </c>
      <c r="C34" s="8">
        <f t="shared" si="113"/>
        <v>3.4965075614664802</v>
      </c>
      <c r="D34" s="8">
        <f t="shared" si="114"/>
        <v>2.1608602150537637</v>
      </c>
      <c r="E34" s="7">
        <f t="shared" si="115"/>
        <v>2.90625</v>
      </c>
      <c r="F34" s="8">
        <f>CX65</f>
        <v>5.5228683964771005E-3</v>
      </c>
      <c r="G34" s="8">
        <f>CY65</f>
        <v>2.2297135574290302E-2</v>
      </c>
      <c r="H34" s="8">
        <f t="shared" si="119"/>
        <v>-4.1838841717880576E-2</v>
      </c>
      <c r="I34" s="8">
        <f t="shared" si="116"/>
        <v>6.2478840398564148E-2</v>
      </c>
      <c r="J34" s="8">
        <f t="shared" si="117"/>
        <v>-2.8634267316265689E-2</v>
      </c>
      <c r="K34" s="8">
        <f t="shared" si="118"/>
        <v>-6.9528216639748161E-2</v>
      </c>
      <c r="L34" s="8">
        <f t="shared" si="120"/>
        <v>7.3703862396649999E-2</v>
      </c>
      <c r="M34" s="8">
        <f t="shared" si="121"/>
        <v>1.4894121043512329E-2</v>
      </c>
      <c r="N34" s="8">
        <f t="shared" si="122"/>
        <v>-5.3385470553552999E-2</v>
      </c>
      <c r="O34" s="8">
        <f t="shared" si="123"/>
        <v>5.2953618456332521E-2</v>
      </c>
      <c r="P34" s="8">
        <f t="shared" si="124"/>
        <v>-1.4295004319514049E-2</v>
      </c>
      <c r="Q34" s="8">
        <f t="shared" si="125"/>
        <v>-7.382240192074617E-2</v>
      </c>
      <c r="R34" s="8">
        <f t="shared" si="126"/>
        <v>6.92933547404712E-2</v>
      </c>
      <c r="S34" s="8">
        <f t="shared" si="127"/>
        <v>2.9198033540879645E-2</v>
      </c>
      <c r="T34" s="8">
        <f t="shared" si="128"/>
        <v>-6.2816596173652733E-2</v>
      </c>
      <c r="U34" s="8">
        <f t="shared" si="129"/>
        <v>4.1330006278723824E-2</v>
      </c>
      <c r="V34" s="8">
        <f t="shared" si="130"/>
        <v>6.10726056676137E-4</v>
      </c>
      <c r="W34" s="8">
        <f t="shared" si="131"/>
        <v>-7.5191230788748301E-2</v>
      </c>
      <c r="X34" s="8">
        <f t="shared" si="132"/>
        <v>6.213696298415626E-2</v>
      </c>
      <c r="Y34" s="8">
        <f t="shared" si="133"/>
        <v>4.2344917108771259E-2</v>
      </c>
      <c r="Z34" s="8">
        <f t="shared" si="134"/>
        <v>-6.9758491862485006E-2</v>
      </c>
      <c r="AA34" s="8">
        <f t="shared" si="135"/>
        <v>2.8068612130184276E-2</v>
      </c>
      <c r="AB34" s="8">
        <f t="shared" si="136"/>
        <v>1.5492255223748265E-2</v>
      </c>
      <c r="AC34" s="8">
        <f t="shared" si="137"/>
        <v>-7.3580460734663511E-2</v>
      </c>
      <c r="AD34" s="8">
        <f t="shared" si="138"/>
        <v>5.2518273084996521E-2</v>
      </c>
      <c r="AE34" s="8">
        <f t="shared" si="139"/>
        <v>5.3813800887995679E-2</v>
      </c>
      <c r="AF34" s="8">
        <f t="shared" si="140"/>
        <v>-7.3936071487070029E-2</v>
      </c>
      <c r="AG34" s="8">
        <f t="shared" si="141"/>
        <v>1.3694944574622584E-2</v>
      </c>
      <c r="AH34" s="8">
        <f t="shared" si="142"/>
        <v>2.9759873613178445E-2</v>
      </c>
      <c r="AI34" s="8">
        <f t="shared" si="143"/>
        <v>-6.9053921658156089E-2</v>
      </c>
      <c r="AJ34" s="8">
        <f t="shared" si="144"/>
        <v>4.0818444358444124E-2</v>
      </c>
      <c r="AK34" s="8">
        <f t="shared" si="145"/>
        <v>6.3150208028158669E-2</v>
      </c>
      <c r="AL34" s="8">
        <f t="shared" si="146"/>
        <v>-7.5183790320771701E-2</v>
      </c>
      <c r="AM34" s="8">
        <f t="shared" si="147"/>
        <v>-1.221411824631925E-3</v>
      </c>
      <c r="AN34" s="8">
        <f t="shared" si="148"/>
        <v>4.2848199066329959E-2</v>
      </c>
      <c r="AO34" s="8">
        <f t="shared" si="149"/>
        <v>-6.1790986483590583E-2</v>
      </c>
      <c r="AP34" s="8">
        <f t="shared" si="150"/>
        <v>2.7501105298094946E-2</v>
      </c>
      <c r="AQ34" s="8">
        <f t="shared" si="151"/>
        <v>6.9984165217756286E-2</v>
      </c>
      <c r="AR34" s="8">
        <f t="shared" si="152"/>
        <v>-7.3452205075417068E-2</v>
      </c>
      <c r="AS34" s="8">
        <f t="shared" si="153"/>
        <v>-1.6089367402169309E-2</v>
      </c>
      <c r="AT34" s="8">
        <f t="shared" si="154"/>
        <v>5.4238581203323727E-2</v>
      </c>
      <c r="AU34" s="8">
        <f t="shared" si="155"/>
        <v>-5.2079463158653749E-2</v>
      </c>
      <c r="AV34" s="8">
        <f t="shared" si="156"/>
        <v>1.3093981393917089E-2</v>
      </c>
      <c r="AW34" s="8">
        <f t="shared" si="157"/>
        <v>7.4044863597003588E-2</v>
      </c>
      <c r="AX34" s="8">
        <f t="shared" si="158"/>
        <v>-6.8809933187859357E-2</v>
      </c>
      <c r="AY34" s="8">
        <f t="shared" si="159"/>
        <v>-3.0319750469379625E-2</v>
      </c>
      <c r="AZ34" s="8">
        <f t="shared" si="160"/>
        <v>6.3479653954187601E-2</v>
      </c>
      <c r="BA34" s="8">
        <f t="shared" si="161"/>
        <v>-4.0304189704045749E-2</v>
      </c>
      <c r="BB34" s="8">
        <f t="shared" si="162"/>
        <v>-1.8320170178048039E-3</v>
      </c>
      <c r="BC34" s="8">
        <f t="shared" si="163"/>
        <v>7.5171390086186299E-2</v>
      </c>
      <c r="BD34" s="8">
        <f t="shared" si="164"/>
        <v>-6.144093372044003E-2</v>
      </c>
      <c r="BE34" s="8">
        <f t="shared" si="165"/>
        <v>-4.3348654389768648E-2</v>
      </c>
      <c r="BF34" s="8">
        <f t="shared" si="166"/>
        <v>7.020522181821498E-2</v>
      </c>
      <c r="BG34" s="8">
        <f t="shared" si="167"/>
        <v>-2.6931784257608036E-2</v>
      </c>
      <c r="BH34" s="8">
        <f t="shared" si="168"/>
        <v>-1.6685418188143158E-2</v>
      </c>
      <c r="BI34" s="8">
        <f t="shared" si="169"/>
        <v>7.3319103879752212E-2</v>
      </c>
      <c r="BJ34" s="8">
        <f t="shared" si="170"/>
        <v>-5.1637217624963705E-2</v>
      </c>
      <c r="BK34" s="8">
        <f t="shared" si="171"/>
        <v>-5.4659783477390859E-2</v>
      </c>
      <c r="BL34" s="8">
        <f t="shared" si="172"/>
        <v>7.4148771073687697E-2</v>
      </c>
      <c r="BM34" s="8">
        <f t="shared" si="173"/>
        <v>-1.2492154422075014E-2</v>
      </c>
      <c r="BN34" s="8">
        <f t="shared" si="174"/>
        <v>-3.0877627175211159E-2</v>
      </c>
      <c r="BO34" s="8">
        <f t="shared" si="175"/>
        <v>6.8561405425149907E-2</v>
      </c>
      <c r="BP34" s="8">
        <f t="shared" si="176"/>
        <v>-3.9787276240169034E-2</v>
      </c>
      <c r="BQ34" s="8">
        <f t="shared" si="177"/>
        <v>-6.3804912218665383E-2</v>
      </c>
      <c r="BR34" s="8">
        <f t="shared" si="178"/>
        <v>7.5154030903017768E-2</v>
      </c>
      <c r="BS34" s="8">
        <f t="shared" si="179"/>
        <v>2.4425013554476159E-3</v>
      </c>
      <c r="BT34" s="8">
        <f t="shared" si="180"/>
        <v>-4.384625006476859E-2</v>
      </c>
      <c r="BU34" s="8">
        <f t="shared" si="181"/>
        <v>6.1086827787182538E-2</v>
      </c>
      <c r="BV34" s="8">
        <f t="shared" si="182"/>
        <v>-2.636068656601397E-2</v>
      </c>
      <c r="BW34" s="8">
        <f t="shared" si="183"/>
        <v>-7.0421647081075039E-2</v>
      </c>
      <c r="BX34" s="8">
        <f t="shared" si="184"/>
        <v>7.3181165928163538E-2</v>
      </c>
      <c r="BY34" s="8">
        <f t="shared" si="185"/>
        <v>1.7280368261055987E-2</v>
      </c>
      <c r="BZ34" s="8">
        <f t="shared" si="186"/>
        <v>-5.5077379924087067E-2</v>
      </c>
      <c r="CA34" s="8">
        <f t="shared" si="187"/>
        <v>5.1191565658230125E-2</v>
      </c>
      <c r="CB34" s="8">
        <f t="shared" si="188"/>
        <v>-1.1889503360756342E-2</v>
      </c>
      <c r="CC34" s="8">
        <f t="shared" si="189"/>
        <v>-7.4247787062495518E-2</v>
      </c>
      <c r="CD34" s="8">
        <f t="shared" si="190"/>
        <v>6.8308354765046472E-2</v>
      </c>
      <c r="CE34" s="8">
        <f t="shared" si="191"/>
        <v>3.1433466928349897E-2</v>
      </c>
      <c r="CF34" s="8">
        <f t="shared" si="192"/>
        <v>-6.4125961364770806E-2</v>
      </c>
      <c r="CG34" s="8">
        <f t="shared" si="193"/>
        <v>3.9267738066853748E-2</v>
      </c>
      <c r="CH34" s="8">
        <f t="shared" si="194"/>
        <v>3.0528245647853357E-3</v>
      </c>
      <c r="CI34" s="8">
        <f t="shared" si="195"/>
        <v>-7.5131713916426521E-2</v>
      </c>
      <c r="CJ34" s="8">
        <f t="shared" si="196"/>
        <v>6.0728692043676695E-2</v>
      </c>
      <c r="CK34" s="8">
        <f t="shared" si="197"/>
        <v>4.4340953265659427E-2</v>
      </c>
      <c r="CL34" s="8">
        <f t="shared" si="198"/>
        <v>-7.0633426729072288E-2</v>
      </c>
      <c r="CM34" s="8">
        <f t="shared" si="199"/>
        <v>2.5787849897808302E-2</v>
      </c>
      <c r="CN34" s="8">
        <f t="shared" si="200"/>
        <v>1.7874178372905909E-2</v>
      </c>
      <c r="CO34" s="8">
        <f t="shared" si="201"/>
        <v>-7.3038400320219618E-2</v>
      </c>
      <c r="CP34" s="8">
        <f t="shared" si="202"/>
        <v>5.0742536657471263E-2</v>
      </c>
      <c r="CQ34" s="8">
        <f t="shared" si="203"/>
        <v>5.5491342995176281E-2</v>
      </c>
      <c r="CR34" s="8">
        <f t="shared" si="204"/>
        <v>-7.4341905031484315E-2</v>
      </c>
      <c r="CS34" s="8">
        <f t="shared" si="205"/>
        <v>1.1286067965987162E-2</v>
      </c>
      <c r="CT34" s="8">
        <f t="shared" si="206"/>
        <v>3.1987233060844111E-2</v>
      </c>
      <c r="CU34" s="8">
        <f t="shared" si="112"/>
        <v>-6.8050797900938348E-2</v>
      </c>
      <c r="DA34" s="20">
        <v>6.5435041641472768E-3</v>
      </c>
    </row>
    <row r="35" spans="1:105">
      <c r="A35" s="15">
        <v>33</v>
      </c>
      <c r="B35" s="16">
        <v>38</v>
      </c>
      <c r="C35" s="8">
        <f t="shared" si="113"/>
        <v>3.6375861597263857</v>
      </c>
      <c r="D35" s="8">
        <f t="shared" si="114"/>
        <v>2.2283870967741937</v>
      </c>
      <c r="E35" s="7">
        <f t="shared" si="115"/>
        <v>2.8181818181818183</v>
      </c>
      <c r="F35" s="8">
        <f>CX67</f>
        <v>6.1593980690241766E-2</v>
      </c>
      <c r="G35" s="8">
        <f>CY67</f>
        <v>0.24992683178708794</v>
      </c>
      <c r="H35" s="8">
        <f t="shared" si="119"/>
        <v>-4.7813668592391487E-2</v>
      </c>
      <c r="I35" s="8">
        <f t="shared" si="116"/>
        <v>6.1914616876413198E-2</v>
      </c>
      <c r="J35" s="8">
        <f t="shared" si="117"/>
        <v>-1.9779102322210328E-2</v>
      </c>
      <c r="K35" s="8">
        <f t="shared" si="118"/>
        <v>-7.5685889031863851E-2</v>
      </c>
      <c r="L35" s="8">
        <f t="shared" si="120"/>
        <v>7.1992110114477106E-2</v>
      </c>
      <c r="M35" s="8">
        <f t="shared" si="121"/>
        <v>3.0605600279704989E-2</v>
      </c>
      <c r="N35" s="8">
        <f t="shared" si="122"/>
        <v>-6.8225752301541542E-2</v>
      </c>
      <c r="O35" s="8">
        <f t="shared" si="123"/>
        <v>3.82728808702033E-2</v>
      </c>
      <c r="P35" s="8">
        <f t="shared" si="124"/>
        <v>1.1408659821919938E-2</v>
      </c>
      <c r="Q35" s="8">
        <f t="shared" si="125"/>
        <v>-7.7391273204953689E-2</v>
      </c>
      <c r="R35" s="8">
        <f t="shared" si="126"/>
        <v>5.4279537258207194E-2</v>
      </c>
      <c r="S35" s="8">
        <f t="shared" si="127"/>
        <v>5.6332038151046614E-2</v>
      </c>
      <c r="T35" s="8">
        <f t="shared" si="128"/>
        <v>-7.7761247318760843E-2</v>
      </c>
      <c r="U35" s="8">
        <f t="shared" si="129"/>
        <v>8.5296601718112749E-3</v>
      </c>
      <c r="V35" s="8">
        <f t="shared" si="130"/>
        <v>4.0777646852208395E-2</v>
      </c>
      <c r="W35" s="8">
        <f t="shared" si="131"/>
        <v>-6.6758896069457688E-2</v>
      </c>
      <c r="X35" s="8">
        <f t="shared" si="132"/>
        <v>2.7913689337464291E-2</v>
      </c>
      <c r="Y35" s="8">
        <f t="shared" si="133"/>
        <v>7.3077990084481695E-2</v>
      </c>
      <c r="Z35" s="8">
        <f t="shared" si="134"/>
        <v>-7.4899999541272216E-2</v>
      </c>
      <c r="AA35" s="8">
        <f t="shared" si="135"/>
        <v>-2.2573363859502569E-2</v>
      </c>
      <c r="AB35" s="8">
        <f t="shared" si="136"/>
        <v>6.3645837956113963E-2</v>
      </c>
      <c r="AC35" s="8">
        <f t="shared" si="137"/>
        <v>-4.5483777306641514E-2</v>
      </c>
      <c r="AD35" s="8">
        <f t="shared" si="138"/>
        <v>-2.9021750001893901E-3</v>
      </c>
      <c r="AE35" s="8">
        <f t="shared" si="139"/>
        <v>7.8173806786444464E-2</v>
      </c>
      <c r="AF35" s="8">
        <f t="shared" si="140"/>
        <v>-6.0098150736247448E-2</v>
      </c>
      <c r="AG35" s="8">
        <f t="shared" si="141"/>
        <v>-5.0077729234654346E-2</v>
      </c>
      <c r="AH35" s="8">
        <f t="shared" si="142"/>
        <v>7.6367572948515511E-2</v>
      </c>
      <c r="AI35" s="8">
        <f t="shared" si="143"/>
        <v>-1.6957608592287888E-2</v>
      </c>
      <c r="AJ35" s="8">
        <f t="shared" si="144"/>
        <v>-3.3255372929277119E-2</v>
      </c>
      <c r="AK35" s="8">
        <f t="shared" si="145"/>
        <v>7.0807110225956663E-2</v>
      </c>
      <c r="AL35" s="8">
        <f t="shared" si="146"/>
        <v>-3.5715420157800881E-2</v>
      </c>
      <c r="AM35" s="8">
        <f t="shared" si="147"/>
        <v>-6.959867419834824E-2</v>
      </c>
      <c r="AN35" s="8">
        <f t="shared" si="148"/>
        <v>7.6914745516293639E-2</v>
      </c>
      <c r="AO35" s="8">
        <f t="shared" si="149"/>
        <v>1.4271951841982281E-2</v>
      </c>
      <c r="AP35" s="8">
        <f t="shared" si="150"/>
        <v>-5.8306980169413651E-2</v>
      </c>
      <c r="AQ35" s="8">
        <f t="shared" si="151"/>
        <v>5.2152303407804308E-2</v>
      </c>
      <c r="AR35" s="8">
        <f t="shared" si="152"/>
        <v>-5.638916745615727E-3</v>
      </c>
      <c r="AS35" s="8">
        <f t="shared" si="153"/>
        <v>-7.8024158471284313E-2</v>
      </c>
      <c r="AT35" s="8">
        <f t="shared" si="154"/>
        <v>6.5200125093826486E-2</v>
      </c>
      <c r="AU35" s="8">
        <f t="shared" si="155"/>
        <v>4.3226269500911733E-2</v>
      </c>
      <c r="AV35" s="8">
        <f t="shared" si="156"/>
        <v>-7.4063255078609863E-2</v>
      </c>
      <c r="AW35" s="8">
        <f t="shared" si="157"/>
        <v>2.5183346369711181E-2</v>
      </c>
      <c r="AX35" s="8">
        <f t="shared" si="158"/>
        <v>2.5336546019029623E-2</v>
      </c>
      <c r="AY35" s="8">
        <f t="shared" si="159"/>
        <v>-7.4010986502286727E-2</v>
      </c>
      <c r="AZ35" s="8">
        <f t="shared" si="160"/>
        <v>4.3091263209957875E-2</v>
      </c>
      <c r="BA35" s="8">
        <f t="shared" si="161"/>
        <v>6.5289430401759566E-2</v>
      </c>
      <c r="BB35" s="8">
        <f t="shared" si="162"/>
        <v>-7.8012323244005949E-2</v>
      </c>
      <c r="BC35" s="8">
        <f t="shared" si="163"/>
        <v>-5.8003542382170691E-3</v>
      </c>
      <c r="BD35" s="8">
        <f t="shared" si="164"/>
        <v>5.2272842037587447E-2</v>
      </c>
      <c r="BE35" s="8">
        <f t="shared" si="165"/>
        <v>-5.8198940476004414E-2</v>
      </c>
      <c r="BF35" s="8">
        <f t="shared" si="166"/>
        <v>1.4112767348600442E-2</v>
      </c>
      <c r="BG35" s="8">
        <f t="shared" si="167"/>
        <v>7.6944112737625039E-2</v>
      </c>
      <c r="BH35" s="8">
        <f t="shared" si="168"/>
        <v>-6.952462194621159E-2</v>
      </c>
      <c r="BI35" s="8">
        <f t="shared" si="169"/>
        <v>-3.5859359035716576E-2</v>
      </c>
      <c r="BJ35" s="8">
        <f t="shared" si="170"/>
        <v>7.0875771498482135E-2</v>
      </c>
      <c r="BK35" s="8">
        <f t="shared" si="171"/>
        <v>-3.3108785868875057E-2</v>
      </c>
      <c r="BL35" s="8">
        <f t="shared" si="172"/>
        <v>-1.7115594004561929E-2</v>
      </c>
      <c r="BM35" s="8">
        <f t="shared" si="173"/>
        <v>7.6332320343921664E-2</v>
      </c>
      <c r="BN35" s="8">
        <f t="shared" si="174"/>
        <v>-4.9953265410307889E-2</v>
      </c>
      <c r="BO35" s="8">
        <f t="shared" si="175"/>
        <v>-6.0201644180731574E-2</v>
      </c>
      <c r="BP35" s="8">
        <f t="shared" si="176"/>
        <v>7.8179644682135202E-2</v>
      </c>
      <c r="BQ35" s="8">
        <f t="shared" si="177"/>
        <v>-2.7404095663171838E-3</v>
      </c>
      <c r="BR35" s="8">
        <f t="shared" si="178"/>
        <v>-4.5615377512471418E-2</v>
      </c>
      <c r="BS35" s="8">
        <f t="shared" si="179"/>
        <v>6.3551585516104889E-2</v>
      </c>
      <c r="BT35" s="8">
        <f t="shared" si="180"/>
        <v>-2.2418330557445142E-2</v>
      </c>
      <c r="BU35" s="8">
        <f t="shared" si="181"/>
        <v>-7.4946548567850643E-2</v>
      </c>
      <c r="BV35" s="8">
        <f t="shared" si="182"/>
        <v>7.302007392264756E-2</v>
      </c>
      <c r="BW35" s="8">
        <f t="shared" si="183"/>
        <v>2.8064844406252471E-2</v>
      </c>
      <c r="BX35" s="8">
        <f t="shared" si="184"/>
        <v>-6.6843131288301383E-2</v>
      </c>
      <c r="BY35" s="8">
        <f t="shared" si="185"/>
        <v>4.0639420355007262E-2</v>
      </c>
      <c r="BZ35" s="8">
        <f t="shared" si="186"/>
        <v>8.6905474533516842E-3</v>
      </c>
      <c r="CA35" s="8">
        <f t="shared" si="187"/>
        <v>-7.7743431054830073E-2</v>
      </c>
      <c r="CB35" s="8">
        <f t="shared" si="188"/>
        <v>5.6219600959534405E-2</v>
      </c>
      <c r="CC35" s="8">
        <f t="shared" si="189"/>
        <v>5.4395984733864235E-2</v>
      </c>
      <c r="CD35" s="8">
        <f t="shared" si="190"/>
        <v>-7.7414714609750593E-2</v>
      </c>
      <c r="CE35" s="8">
        <f t="shared" si="191"/>
        <v>1.1248495415251875E-2</v>
      </c>
      <c r="CF35" s="8">
        <f t="shared" si="192"/>
        <v>3.8413973388223145E-2</v>
      </c>
      <c r="CG35" s="8">
        <f t="shared" si="193"/>
        <v>-6.814641102614985E-2</v>
      </c>
      <c r="CH35" s="8">
        <f t="shared" si="194"/>
        <v>3.0456566860286756E-2</v>
      </c>
      <c r="CI35" s="8">
        <f t="shared" si="195"/>
        <v>7.205528587342469E-2</v>
      </c>
      <c r="CJ35" s="8">
        <f t="shared" si="196"/>
        <v>-7.564479958037193E-2</v>
      </c>
      <c r="CK35" s="8">
        <f t="shared" si="197"/>
        <v>-1.9935671136468856E-2</v>
      </c>
      <c r="CL35" s="8">
        <f t="shared" si="198"/>
        <v>6.2013421580499023E-2</v>
      </c>
      <c r="CM35" s="8">
        <f t="shared" si="199"/>
        <v>-4.7685450937318102E-2</v>
      </c>
      <c r="CN35" s="8">
        <f t="shared" si="200"/>
        <v>-1.6187065384043499E-4</v>
      </c>
      <c r="CO35" s="8">
        <f t="shared" si="201"/>
        <v>7.8227491875347124E-2</v>
      </c>
      <c r="CP35" s="8">
        <f t="shared" si="202"/>
        <v>-6.1815547072633828E-2</v>
      </c>
      <c r="CQ35" s="8">
        <f t="shared" si="203"/>
        <v>-4.7941681523774975E-2</v>
      </c>
      <c r="CR35" s="8">
        <f t="shared" si="204"/>
        <v>7.5726654419233749E-2</v>
      </c>
      <c r="CS35" s="8">
        <f t="shared" si="205"/>
        <v>-1.9622448819808905E-2</v>
      </c>
      <c r="CT35" s="8">
        <f t="shared" si="206"/>
        <v>-3.0754502655185083E-2</v>
      </c>
      <c r="CU35" s="8">
        <f t="shared" si="112"/>
        <v>7.1928626107053417E-2</v>
      </c>
      <c r="CX35">
        <v>0.38170284997077031</v>
      </c>
      <c r="CY35">
        <v>1.5948507904227416</v>
      </c>
      <c r="DA35" s="21"/>
    </row>
    <row r="36" spans="1:105">
      <c r="A36" s="15">
        <v>34</v>
      </c>
      <c r="B36" s="16">
        <v>41</v>
      </c>
      <c r="C36" s="8">
        <f t="shared" si="113"/>
        <v>3.713572066704308</v>
      </c>
      <c r="D36" s="8">
        <f t="shared" si="114"/>
        <v>2.2959139784946236</v>
      </c>
      <c r="E36" s="7">
        <f t="shared" si="115"/>
        <v>2.7352941176470589</v>
      </c>
      <c r="F36" s="8">
        <f>CX69</f>
        <v>5.0226730671463361E-2</v>
      </c>
      <c r="G36" s="8">
        <f>CY69</f>
        <v>0.20359382617040092</v>
      </c>
      <c r="H36" s="8">
        <f t="shared" si="119"/>
        <v>-5.2966199241000503E-2</v>
      </c>
      <c r="I36" s="8">
        <f t="shared" si="116"/>
        <v>5.9770253696719046E-2</v>
      </c>
      <c r="J36" s="8">
        <f t="shared" si="117"/>
        <v>-9.6049087586523637E-3</v>
      </c>
      <c r="K36" s="8">
        <f t="shared" si="118"/>
        <v>-7.9282073741454837E-2</v>
      </c>
      <c r="L36" s="8">
        <f t="shared" si="120"/>
        <v>6.5706601655006372E-2</v>
      </c>
      <c r="M36" s="8">
        <f t="shared" si="121"/>
        <v>4.5393215219433777E-2</v>
      </c>
      <c r="N36" s="8">
        <f t="shared" si="122"/>
        <v>-7.7551415926624456E-2</v>
      </c>
      <c r="O36" s="8">
        <f t="shared" si="123"/>
        <v>1.9070379565787811E-2</v>
      </c>
      <c r="P36" s="8">
        <f t="shared" si="124"/>
        <v>3.7161241393589957E-2</v>
      </c>
      <c r="Q36" s="8">
        <f t="shared" si="125"/>
        <v>-7.0689062994885254E-2</v>
      </c>
      <c r="R36" s="8">
        <f t="shared" si="126"/>
        <v>2.8258998741312696E-2</v>
      </c>
      <c r="S36" s="8">
        <f t="shared" si="127"/>
        <v>7.4694916019405269E-2</v>
      </c>
      <c r="T36" s="8">
        <f t="shared" si="128"/>
        <v>-7.4645305514124446E-2</v>
      </c>
      <c r="U36" s="8">
        <f t="shared" si="129"/>
        <v>-2.8389784319549555E-2</v>
      </c>
      <c r="V36" s="8">
        <f t="shared" si="130"/>
        <v>7.0754042867193889E-2</v>
      </c>
      <c r="W36" s="8">
        <f t="shared" si="131"/>
        <v>-3.7037371760895894E-2</v>
      </c>
      <c r="X36" s="8">
        <f t="shared" si="132"/>
        <v>-1.9206182427792221E-2</v>
      </c>
      <c r="Y36" s="8">
        <f t="shared" si="133"/>
        <v>7.7517895002108275E-2</v>
      </c>
      <c r="Z36" s="8">
        <f t="shared" si="134"/>
        <v>-4.5278059792762927E-2</v>
      </c>
      <c r="AA36" s="8">
        <f t="shared" si="135"/>
        <v>-6.5786007557918455E-2</v>
      </c>
      <c r="AB36" s="8">
        <f t="shared" si="136"/>
        <v>7.9265129033148335E-2</v>
      </c>
      <c r="AC36" s="8">
        <f t="shared" si="137"/>
        <v>9.7437574049164723E-3</v>
      </c>
      <c r="AD36" s="8">
        <f t="shared" si="138"/>
        <v>-5.9862932865880465E-2</v>
      </c>
      <c r="AE36" s="8">
        <f t="shared" si="139"/>
        <v>5.2861429773537222E-2</v>
      </c>
      <c r="AF36" s="8">
        <f t="shared" si="140"/>
        <v>1.3987871425936952E-4</v>
      </c>
      <c r="AG36" s="8">
        <f t="shared" si="141"/>
        <v>-7.9861642375753925E-2</v>
      </c>
      <c r="AH36" s="8">
        <f t="shared" si="142"/>
        <v>5.9677391164902727E-2</v>
      </c>
      <c r="AI36" s="8">
        <f t="shared" si="143"/>
        <v>5.3070806219226677E-2</v>
      </c>
      <c r="AJ36" s="8">
        <f t="shared" si="144"/>
        <v>-7.9298775228917581E-2</v>
      </c>
      <c r="AK36" s="8">
        <f t="shared" si="145"/>
        <v>9.4660306465342171E-3</v>
      </c>
      <c r="AL36" s="8">
        <f t="shared" si="146"/>
        <v>4.5508231389200827E-2</v>
      </c>
      <c r="AM36" s="8">
        <f t="shared" si="147"/>
        <v>-6.5626994177963652E-2</v>
      </c>
      <c r="AN36" s="8">
        <f t="shared" si="148"/>
        <v>1.8934518199841842E-2</v>
      </c>
      <c r="AO36" s="8">
        <f t="shared" si="149"/>
        <v>7.7584698939593605E-2</v>
      </c>
      <c r="AP36" s="8">
        <f t="shared" si="150"/>
        <v>-7.0623866263295143E-2</v>
      </c>
      <c r="AQ36" s="8">
        <f t="shared" si="151"/>
        <v>-3.7284997023356747E-2</v>
      </c>
      <c r="AR36" s="8">
        <f t="shared" si="152"/>
        <v>7.4744297376284283E-2</v>
      </c>
      <c r="AS36" s="8">
        <f t="shared" si="153"/>
        <v>-2.8128126470369476E-2</v>
      </c>
      <c r="AT36" s="8">
        <f t="shared" si="154"/>
        <v>-2.8520482803857879E-2</v>
      </c>
      <c r="AU36" s="8">
        <f t="shared" si="155"/>
        <v>7.4595466012636225E-2</v>
      </c>
      <c r="AV36" s="8">
        <f t="shared" si="156"/>
        <v>-3.6913388505280982E-2</v>
      </c>
      <c r="AW36" s="8">
        <f t="shared" si="157"/>
        <v>-7.0818805680876243E-2</v>
      </c>
      <c r="AX36" s="8">
        <f t="shared" si="158"/>
        <v>7.7484136268880344E-2</v>
      </c>
      <c r="AY36" s="8">
        <f t="shared" si="159"/>
        <v>1.9341926369239985E-2</v>
      </c>
      <c r="AZ36" s="8">
        <f t="shared" si="160"/>
        <v>-6.5865211643098914E-2</v>
      </c>
      <c r="BA36" s="8">
        <f t="shared" si="161"/>
        <v>4.51627654624615E-2</v>
      </c>
      <c r="BB36" s="8">
        <f t="shared" si="162"/>
        <v>9.8825761593680419E-3</v>
      </c>
      <c r="BC36" s="8">
        <f t="shared" si="163"/>
        <v>-7.9247941155980883E-2</v>
      </c>
      <c r="BD36" s="8">
        <f t="shared" si="164"/>
        <v>5.2756498138247752E-2</v>
      </c>
      <c r="BE36" s="8">
        <f t="shared" si="165"/>
        <v>5.9955428388066584E-2</v>
      </c>
      <c r="BF36" s="8">
        <f t="shared" si="166"/>
        <v>-7.9861274877307126E-2</v>
      </c>
      <c r="BG36" s="8">
        <f t="shared" si="167"/>
        <v>-2.7975699940005814E-4</v>
      </c>
      <c r="BH36" s="8">
        <f t="shared" si="168"/>
        <v>5.3175250387303863E-2</v>
      </c>
      <c r="BI36" s="8">
        <f t="shared" si="169"/>
        <v>-5.9584345555313924E-2</v>
      </c>
      <c r="BJ36" s="8">
        <f t="shared" si="170"/>
        <v>9.3271234946112232E-3</v>
      </c>
      <c r="BK36" s="8">
        <f t="shared" si="171"/>
        <v>7.9315233444299915E-2</v>
      </c>
      <c r="BL36" s="8">
        <f t="shared" si="172"/>
        <v>-6.5547185371009481E-2</v>
      </c>
      <c r="BM36" s="8">
        <f t="shared" si="173"/>
        <v>-4.5623107949218443E-2</v>
      </c>
      <c r="BN36" s="8">
        <f t="shared" si="174"/>
        <v>7.7617743938910314E-2</v>
      </c>
      <c r="BO36" s="8">
        <f t="shared" si="175"/>
        <v>-1.8798598746748892E-2</v>
      </c>
      <c r="BP36" s="8">
        <f t="shared" si="176"/>
        <v>-3.7408638270539599E-2</v>
      </c>
      <c r="BQ36" s="8">
        <f t="shared" si="177"/>
        <v>7.0558452872433647E-2</v>
      </c>
      <c r="BR36" s="8">
        <f t="shared" si="178"/>
        <v>-2.7997167908209358E-2</v>
      </c>
      <c r="BS36" s="8">
        <f t="shared" si="179"/>
        <v>-7.4793449433269557E-2</v>
      </c>
      <c r="BT36" s="8">
        <f t="shared" si="180"/>
        <v>7.4545397667838145E-2</v>
      </c>
      <c r="BU36" s="8">
        <f t="shared" si="181"/>
        <v>2.8651093793281089E-2</v>
      </c>
      <c r="BV36" s="8">
        <f t="shared" si="182"/>
        <v>-7.0883351237253922E-2</v>
      </c>
      <c r="BW36" s="8">
        <f t="shared" si="183"/>
        <v>3.6789292007099191E-2</v>
      </c>
      <c r="BX36" s="8">
        <f t="shared" si="184"/>
        <v>1.9477610973697861E-2</v>
      </c>
      <c r="BY36" s="8">
        <f t="shared" si="185"/>
        <v>-7.7450139830505166E-2</v>
      </c>
      <c r="BZ36" s="8">
        <f t="shared" si="186"/>
        <v>4.5047332582227664E-2</v>
      </c>
      <c r="CA36" s="8">
        <f t="shared" si="187"/>
        <v>6.5944213667566684E-2</v>
      </c>
      <c r="CB36" s="8">
        <f t="shared" si="188"/>
        <v>-7.9230510162681303E-2</v>
      </c>
      <c r="CC36" s="8">
        <f t="shared" si="189"/>
        <v>-1.0021364596140264E-2</v>
      </c>
      <c r="CD36" s="8">
        <f t="shared" si="190"/>
        <v>6.0047739979520613E-2</v>
      </c>
      <c r="CE36" s="8">
        <f t="shared" si="191"/>
        <v>-5.2651404657040241E-2</v>
      </c>
      <c r="CF36" s="8">
        <f t="shared" si="192"/>
        <v>-4.1963442630498513E-4</v>
      </c>
      <c r="CG36" s="8">
        <f t="shared" si="193"/>
        <v>7.9860662381148445E-2</v>
      </c>
      <c r="CH36" s="8">
        <f t="shared" si="194"/>
        <v>-5.9491117153397478E-2</v>
      </c>
      <c r="CI36" s="8">
        <f t="shared" si="195"/>
        <v>-5.327953142481881E-2</v>
      </c>
      <c r="CJ36" s="8">
        <f t="shared" si="196"/>
        <v>7.9331448337111435E-2</v>
      </c>
      <c r="CK36" s="8">
        <f t="shared" si="197"/>
        <v>-9.1881877290213663E-3</v>
      </c>
      <c r="CL36" s="8">
        <f t="shared" si="198"/>
        <v>-4.5737844547069501E-2</v>
      </c>
      <c r="CM36" s="8">
        <f t="shared" si="199"/>
        <v>6.5467175478980469E-2</v>
      </c>
      <c r="CN36" s="8">
        <f t="shared" si="200"/>
        <v>-1.8662621623481177E-2</v>
      </c>
      <c r="CO36" s="8">
        <f t="shared" si="201"/>
        <v>-7.7650550823199521E-2</v>
      </c>
      <c r="CP36" s="8">
        <f t="shared" si="202"/>
        <v>7.0492823022975257E-2</v>
      </c>
      <c r="CQ36" s="8">
        <f t="shared" si="203"/>
        <v>3.7532164755833222E-2</v>
      </c>
      <c r="CR36" s="8">
        <f t="shared" si="204"/>
        <v>-7.4842372039572988E-2</v>
      </c>
      <c r="CS36" s="8">
        <f t="shared" si="205"/>
        <v>2.7866123456585463E-2</v>
      </c>
      <c r="CT36" s="8">
        <f t="shared" si="206"/>
        <v>2.8781616887132475E-2</v>
      </c>
      <c r="CU36" s="8">
        <f t="shared" si="112"/>
        <v>-7.4495100633329231E-2</v>
      </c>
      <c r="DA36" s="20">
        <v>9.2755457042178573E-3</v>
      </c>
    </row>
    <row r="37" spans="1:105">
      <c r="A37" s="15">
        <v>35</v>
      </c>
      <c r="B37" s="16">
        <v>28</v>
      </c>
      <c r="C37" s="8">
        <f t="shared" si="113"/>
        <v>3.3322045101752038</v>
      </c>
      <c r="D37" s="8">
        <f t="shared" si="114"/>
        <v>2.3634408602150541</v>
      </c>
      <c r="E37" s="7">
        <f t="shared" si="115"/>
        <v>2.657142857142857</v>
      </c>
      <c r="F37" s="8">
        <f>CX71</f>
        <v>3.436498409764923E-2</v>
      </c>
      <c r="G37" s="8">
        <f>CY71</f>
        <v>0.13909956402868195</v>
      </c>
      <c r="H37" s="8">
        <f t="shared" si="119"/>
        <v>-5.1037343390535089E-2</v>
      </c>
      <c r="I37" s="8">
        <f t="shared" si="116"/>
        <v>5.0302981047630611E-2</v>
      </c>
      <c r="J37" s="8">
        <f t="shared" si="117"/>
        <v>1.0385179182101586E-3</v>
      </c>
      <c r="K37" s="8">
        <f t="shared" si="118"/>
        <v>-7.1652786429944493E-2</v>
      </c>
      <c r="L37" s="8">
        <f t="shared" si="120"/>
        <v>4.9558053275964645E-2</v>
      </c>
      <c r="M37" s="8">
        <f t="shared" si="121"/>
        <v>5.1760986062268276E-2</v>
      </c>
      <c r="N37" s="8">
        <f t="shared" si="122"/>
        <v>-7.1630211160091412E-2</v>
      </c>
      <c r="O37" s="8">
        <f t="shared" si="123"/>
        <v>-2.0768177104394342E-3</v>
      </c>
      <c r="P37" s="8">
        <f t="shared" si="124"/>
        <v>5.2473757071935349E-2</v>
      </c>
      <c r="Q37" s="8">
        <f t="shared" si="125"/>
        <v>-4.8802716537065798E-2</v>
      </c>
      <c r="R37" s="8">
        <f t="shared" si="126"/>
        <v>-3.11468129652128E-3</v>
      </c>
      <c r="S37" s="8">
        <f t="shared" si="127"/>
        <v>7.1592590978835094E-2</v>
      </c>
      <c r="T37" s="8">
        <f t="shared" si="128"/>
        <v>-4.803712947871859E-2</v>
      </c>
      <c r="U37" s="8">
        <f t="shared" si="129"/>
        <v>-5.3175506712080378E-2</v>
      </c>
      <c r="V37" s="8">
        <f t="shared" si="130"/>
        <v>7.1539933787761814E-2</v>
      </c>
      <c r="W37" s="8">
        <f t="shared" si="131"/>
        <v>4.1518906879078193E-3</v>
      </c>
      <c r="X37" s="8">
        <f t="shared" si="132"/>
        <v>-5.3866087590129709E-2</v>
      </c>
      <c r="Y37" s="8">
        <f t="shared" si="133"/>
        <v>4.7261452901642305E-2</v>
      </c>
      <c r="Z37" s="8">
        <f t="shared" si="134"/>
        <v>5.1882280334558236E-3</v>
      </c>
      <c r="AA37" s="8">
        <f t="shared" si="135"/>
        <v>-7.1472250646768792E-2</v>
      </c>
      <c r="AB37" s="8">
        <f t="shared" si="136"/>
        <v>4.6475849725716473E-2</v>
      </c>
      <c r="AC37" s="8">
        <f t="shared" si="137"/>
        <v>5.4545354659350218E-2</v>
      </c>
      <c r="AD37" s="8">
        <f t="shared" si="138"/>
        <v>-7.1389555771741248E-2</v>
      </c>
      <c r="AE37" s="8">
        <f t="shared" si="139"/>
        <v>-6.2234756651830692E-3</v>
      </c>
      <c r="AF37" s="8">
        <f t="shared" si="140"/>
        <v>5.5213165249314203E-2</v>
      </c>
      <c r="AG37" s="8">
        <f t="shared" si="141"/>
        <v>-4.5680484955762053E-2</v>
      </c>
      <c r="AH37" s="8">
        <f t="shared" si="142"/>
        <v>-7.2574161439855249E-3</v>
      </c>
      <c r="AI37" s="8">
        <f t="shared" si="143"/>
        <v>7.129186653156655E-2</v>
      </c>
      <c r="AJ37" s="8">
        <f t="shared" si="144"/>
        <v>-4.4875525646885309E-2</v>
      </c>
      <c r="AK37" s="8">
        <f t="shared" si="145"/>
        <v>-5.586937909586448E-2</v>
      </c>
      <c r="AL37" s="8">
        <f t="shared" si="146"/>
        <v>7.1179203444486069E-2</v>
      </c>
      <c r="AM37" s="8">
        <f t="shared" si="147"/>
        <v>8.2898323053088828E-3</v>
      </c>
      <c r="AN37" s="8">
        <f t="shared" si="148"/>
        <v>-5.6513858370576917E-2</v>
      </c>
      <c r="AO37" s="8">
        <f t="shared" si="149"/>
        <v>4.4061140869387991E-2</v>
      </c>
      <c r="AP37" s="8">
        <f t="shared" si="150"/>
        <v>9.3205073047598792E-3</v>
      </c>
      <c r="AQ37" s="8">
        <f t="shared" si="151"/>
        <v>-7.1051590173785678E-2</v>
      </c>
      <c r="AR37" s="8">
        <f t="shared" si="152"/>
        <v>4.3237501673260036E-2</v>
      </c>
      <c r="AS37" s="8">
        <f t="shared" si="153"/>
        <v>5.714646770970639E-2</v>
      </c>
      <c r="AT37" s="8">
        <f t="shared" si="154"/>
        <v>-7.0909053522825588E-2</v>
      </c>
      <c r="AU37" s="8">
        <f t="shared" si="155"/>
        <v>-1.0349224663651643E-2</v>
      </c>
      <c r="AV37" s="8">
        <f t="shared" si="156"/>
        <v>5.7767074242620772E-2</v>
      </c>
      <c r="AW37" s="8">
        <f t="shared" si="157"/>
        <v>-4.2404781052249506E-2</v>
      </c>
      <c r="AX37" s="8">
        <f t="shared" si="158"/>
        <v>-1.1375768314471978E-2</v>
      </c>
      <c r="AY37" s="8">
        <f t="shared" si="159"/>
        <v>7.0751623429410687E-2</v>
      </c>
      <c r="AZ37" s="8">
        <f t="shared" si="160"/>
        <v>-4.1563153907529606E-2</v>
      </c>
      <c r="BA37" s="8">
        <f t="shared" si="161"/>
        <v>-5.8375547619707056E-2</v>
      </c>
      <c r="BB37" s="8">
        <f t="shared" si="162"/>
        <v>7.0579332959502417E-2</v>
      </c>
      <c r="BC37" s="8">
        <f t="shared" si="163"/>
        <v>1.2399922646265778E-2</v>
      </c>
      <c r="BD37" s="8">
        <f t="shared" si="164"/>
        <v>-5.8971760039749778E-2</v>
      </c>
      <c r="BE37" s="8">
        <f t="shared" si="165"/>
        <v>4.0712797010962656E-2</v>
      </c>
      <c r="BF37" s="8">
        <f t="shared" si="166"/>
        <v>1.3421472549919071E-2</v>
      </c>
      <c r="BG37" s="8">
        <f t="shared" si="167"/>
        <v>-7.0392218300274131E-2</v>
      </c>
      <c r="BH37" s="8">
        <f t="shared" si="168"/>
        <v>3.9853888967971769E-2</v>
      </c>
      <c r="BI37" s="8">
        <f t="shared" si="169"/>
        <v>5.9555586276773875E-2</v>
      </c>
      <c r="BJ37" s="8">
        <f t="shared" si="170"/>
        <v>-7.0190318752509931E-2</v>
      </c>
      <c r="BK37" s="8">
        <f t="shared" si="171"/>
        <v>-1.4440203463342616E-2</v>
      </c>
      <c r="BL37" s="8">
        <f t="shared" si="172"/>
        <v>6.0126903706346609E-2</v>
      </c>
      <c r="BM37" s="8">
        <f t="shared" si="173"/>
        <v>-3.8986610180027213E-2</v>
      </c>
      <c r="BN37" s="8">
        <f t="shared" si="174"/>
        <v>-1.5455901416535167E-2</v>
      </c>
      <c r="BO37" s="8">
        <f t="shared" si="175"/>
        <v>6.9973676722350567E-2</v>
      </c>
      <c r="BP37" s="8">
        <f t="shared" si="176"/>
        <v>-3.8111142806755281E-2</v>
      </c>
      <c r="BQ37" s="8">
        <f t="shared" si="177"/>
        <v>-6.0685592331333346E-2</v>
      </c>
      <c r="BR37" s="8">
        <f t="shared" si="178"/>
        <v>6.9742337712385985E-2</v>
      </c>
      <c r="BS37" s="8">
        <f t="shared" si="179"/>
        <v>1.6468353076527796E-2</v>
      </c>
      <c r="BT37" s="8">
        <f t="shared" si="180"/>
        <v>-6.1231534807099933E-2</v>
      </c>
      <c r="BU37" s="8">
        <f t="shared" si="181"/>
        <v>3.7227670727680358E-2</v>
      </c>
      <c r="BV37" s="8">
        <f t="shared" si="182"/>
        <v>1.7477345792187002E-2</v>
      </c>
      <c r="BW37" s="8">
        <f t="shared" si="183"/>
        <v>-6.949635031209915E-2</v>
      </c>
      <c r="BX37" s="8">
        <f t="shared" si="184"/>
        <v>3.6336379503598908E-2</v>
      </c>
      <c r="BY37" s="8">
        <f t="shared" si="185"/>
        <v>6.1764616466162214E-2</v>
      </c>
      <c r="BZ37" s="8">
        <f t="shared" si="186"/>
        <v>-6.9235766187659975E-2</v>
      </c>
      <c r="CA37" s="8">
        <f t="shared" si="187"/>
        <v>-1.8482667638881567E-2</v>
      </c>
      <c r="CB37" s="8">
        <f t="shared" si="188"/>
        <v>6.2284725342266353E-2</v>
      </c>
      <c r="CC37" s="8">
        <f t="shared" si="189"/>
        <v>-3.5437456337611521E-2</v>
      </c>
      <c r="CD37" s="8">
        <f t="shared" si="190"/>
        <v>-1.9484107462997273E-2</v>
      </c>
      <c r="CE37" s="8">
        <f t="shared" si="191"/>
        <v>6.8960640071072818E-2</v>
      </c>
      <c r="CF37" s="8">
        <f t="shared" si="192"/>
        <v>-3.4531090035796602E-2</v>
      </c>
      <c r="CG37" s="8">
        <f t="shared" si="193"/>
        <v>-6.2791752193909894E-2</v>
      </c>
      <c r="CH37" s="8">
        <f t="shared" si="194"/>
        <v>6.8671029748682583E-2</v>
      </c>
      <c r="CI37" s="8">
        <f t="shared" si="195"/>
        <v>2.0481454926279816E-2</v>
      </c>
      <c r="CJ37" s="8">
        <f t="shared" si="196"/>
        <v>-6.3285590527282817E-2</v>
      </c>
      <c r="CK37" s="8">
        <f t="shared" si="197"/>
        <v>3.3617470967560459E-2</v>
      </c>
      <c r="CL37" s="8">
        <f t="shared" si="198"/>
        <v>2.1474500550021269E-2</v>
      </c>
      <c r="CM37" s="8">
        <f t="shared" si="199"/>
        <v>-6.8366996049035345E-2</v>
      </c>
      <c r="CN37" s="8">
        <f t="shared" si="200"/>
        <v>3.2696791025650311E-2</v>
      </c>
      <c r="CO37" s="8">
        <f t="shared" si="201"/>
        <v>6.3766136618636643E-2</v>
      </c>
      <c r="CP37" s="8">
        <f t="shared" si="202"/>
        <v>-6.8048602830104526E-2</v>
      </c>
      <c r="CQ37" s="8">
        <f t="shared" si="203"/>
        <v>-2.2463035759050249E-2</v>
      </c>
      <c r="CR37" s="8">
        <f t="shared" si="204"/>
        <v>6.4233289536071464E-2</v>
      </c>
      <c r="CS37" s="8">
        <f t="shared" si="205"/>
        <v>-3.1769243585847172E-2</v>
      </c>
      <c r="CT37" s="8">
        <f t="shared" si="206"/>
        <v>-2.3446852925548007E-2</v>
      </c>
      <c r="CU37" s="8">
        <f t="shared" si="112"/>
        <v>6.7715916965875908E-2</v>
      </c>
      <c r="CX37">
        <v>0.4345609564954756</v>
      </c>
      <c r="CY37">
        <v>1.8246605035928007</v>
      </c>
      <c r="DA37" s="21"/>
    </row>
    <row r="38" spans="1:105">
      <c r="A38" s="15">
        <v>36</v>
      </c>
      <c r="B38" s="16">
        <v>32</v>
      </c>
      <c r="C38" s="8">
        <f t="shared" si="113"/>
        <v>3.4657359027997265</v>
      </c>
      <c r="D38" s="8">
        <f t="shared" si="114"/>
        <v>2.430967741935484</v>
      </c>
      <c r="E38" s="7">
        <f t="shared" si="115"/>
        <v>2.583333333333333</v>
      </c>
      <c r="F38" s="8">
        <f>CX73</f>
        <v>5.0097177416354513E-2</v>
      </c>
      <c r="G38" s="8">
        <f>CY73</f>
        <v>0.20306631288062074</v>
      </c>
      <c r="H38" s="8">
        <f t="shared" si="119"/>
        <v>-5.6491822367775342E-2</v>
      </c>
      <c r="I38" s="8">
        <f t="shared" si="116"/>
        <v>4.8617757112213569E-2</v>
      </c>
      <c r="J38" s="8">
        <f t="shared" si="117"/>
        <v>1.1104494561192505E-2</v>
      </c>
      <c r="K38" s="8">
        <f t="shared" si="118"/>
        <v>-7.3700084814027997E-2</v>
      </c>
      <c r="L38" s="8">
        <f t="shared" si="120"/>
        <v>3.9658421577856894E-2</v>
      </c>
      <c r="M38" s="8">
        <f t="shared" si="121"/>
        <v>6.3104848458794729E-2</v>
      </c>
      <c r="N38" s="8">
        <f t="shared" si="122"/>
        <v>-7.1223043986095275E-2</v>
      </c>
      <c r="O38" s="8">
        <f t="shared" si="123"/>
        <v>-2.1961108952172986E-2</v>
      </c>
      <c r="P38" s="8">
        <f t="shared" si="124"/>
        <v>6.8309216056537406E-2</v>
      </c>
      <c r="Q38" s="8">
        <f t="shared" si="125"/>
        <v>-2.9813810605083112E-2</v>
      </c>
      <c r="R38" s="8">
        <f t="shared" si="126"/>
        <v>-3.2327496309846215E-2</v>
      </c>
      <c r="S38" s="8">
        <f t="shared" si="127"/>
        <v>6.7156126179160697E-2</v>
      </c>
      <c r="T38" s="8">
        <f t="shared" si="128"/>
        <v>-1.9303680602448747E-2</v>
      </c>
      <c r="U38" s="8">
        <f t="shared" si="129"/>
        <v>-7.1988750622948849E-2</v>
      </c>
      <c r="V38" s="8">
        <f t="shared" si="130"/>
        <v>6.1590115199066611E-2</v>
      </c>
      <c r="W38" s="8">
        <f t="shared" si="131"/>
        <v>4.1972252868057711E-2</v>
      </c>
      <c r="X38" s="8">
        <f t="shared" si="132"/>
        <v>-7.4061315717725784E-2</v>
      </c>
      <c r="Y38" s="8">
        <f t="shared" si="133"/>
        <v>8.3626440324706501E-3</v>
      </c>
      <c r="Z38" s="8">
        <f t="shared" si="134"/>
        <v>5.0680083470046412E-2</v>
      </c>
      <c r="AA38" s="8">
        <f t="shared" si="135"/>
        <v>-5.4649258371213087E-2</v>
      </c>
      <c r="AB38" s="8">
        <f t="shared" si="136"/>
        <v>-2.7650677269787979E-3</v>
      </c>
      <c r="AC38" s="8">
        <f t="shared" si="137"/>
        <v>7.4480646489673369E-2</v>
      </c>
      <c r="AD38" s="8">
        <f t="shared" si="138"/>
        <v>-4.6488493028625677E-2</v>
      </c>
      <c r="AE38" s="8">
        <f t="shared" si="139"/>
        <v>-5.8256607496333802E-2</v>
      </c>
      <c r="AF38" s="8">
        <f t="shared" si="140"/>
        <v>7.3237382424222161E-2</v>
      </c>
      <c r="AG38" s="8">
        <f t="shared" si="141"/>
        <v>1.3831056239590286E-2</v>
      </c>
      <c r="AH38" s="8">
        <f t="shared" si="142"/>
        <v>-6.4532697927684859E-2</v>
      </c>
      <c r="AI38" s="8">
        <f t="shared" si="143"/>
        <v>3.728998792207705E-2</v>
      </c>
      <c r="AJ38" s="8">
        <f t="shared" si="144"/>
        <v>2.458830088673461E-2</v>
      </c>
      <c r="AK38" s="8">
        <f t="shared" si="145"/>
        <v>-7.0359276293591039E-2</v>
      </c>
      <c r="AL38" s="8">
        <f t="shared" si="146"/>
        <v>2.7259076756667597E-2</v>
      </c>
      <c r="AM38" s="8">
        <f t="shared" si="147"/>
        <v>6.9368256684369536E-2</v>
      </c>
      <c r="AN38" s="8">
        <f t="shared" si="148"/>
        <v>-6.5910574645303505E-2</v>
      </c>
      <c r="AO38" s="8">
        <f t="shared" si="149"/>
        <v>-3.4796672987231818E-2</v>
      </c>
      <c r="AP38" s="8">
        <f t="shared" si="150"/>
        <v>7.2655341966689671E-2</v>
      </c>
      <c r="AQ38" s="8">
        <f t="shared" si="151"/>
        <v>-1.6619674628519602E-2</v>
      </c>
      <c r="AR38" s="8">
        <f t="shared" si="152"/>
        <v>-4.4228296071792211E-2</v>
      </c>
      <c r="AS38" s="8">
        <f t="shared" si="153"/>
        <v>5.9990583658107242E-2</v>
      </c>
      <c r="AT38" s="8">
        <f t="shared" si="154"/>
        <v>-5.6092796782229136E-3</v>
      </c>
      <c r="AU38" s="8">
        <f t="shared" si="155"/>
        <v>-7.4320577786679984E-2</v>
      </c>
      <c r="AV38" s="8">
        <f t="shared" si="156"/>
        <v>5.2731452378992121E-2</v>
      </c>
      <c r="AW38" s="8">
        <f t="shared" si="157"/>
        <v>5.267263265735405E-2</v>
      </c>
      <c r="AX38" s="8">
        <f t="shared" si="158"/>
        <v>-7.4326791904196693E-2</v>
      </c>
      <c r="AY38" s="8">
        <f t="shared" si="159"/>
        <v>-5.5263284633394185E-3</v>
      </c>
      <c r="AZ38" s="8">
        <f t="shared" si="160"/>
        <v>5.9941183971765517E-2</v>
      </c>
      <c r="BA38" s="8">
        <f t="shared" si="161"/>
        <v>-4.4295222825011665E-2</v>
      </c>
      <c r="BB38" s="8">
        <f t="shared" si="162"/>
        <v>-1.6538575092804892E-2</v>
      </c>
      <c r="BC38" s="8">
        <f t="shared" si="163"/>
        <v>7.2673845604551091E-2</v>
      </c>
      <c r="BD38" s="8">
        <f t="shared" si="164"/>
        <v>-3.487021279903927E-2</v>
      </c>
      <c r="BE38" s="8">
        <f t="shared" si="165"/>
        <v>-6.5871697719158517E-2</v>
      </c>
      <c r="BF38" s="8">
        <f t="shared" si="166"/>
        <v>6.9398636794968674E-2</v>
      </c>
      <c r="BG38" s="8">
        <f t="shared" si="167"/>
        <v>2.7181639245168695E-2</v>
      </c>
      <c r="BH38" s="8">
        <f t="shared" si="168"/>
        <v>-7.0331789958143015E-2</v>
      </c>
      <c r="BI38" s="8">
        <f t="shared" si="169"/>
        <v>2.4666812164082504E-2</v>
      </c>
      <c r="BJ38" s="8">
        <f t="shared" si="170"/>
        <v>3.7217941034274518E-2</v>
      </c>
      <c r="BK38" s="8">
        <f t="shared" si="171"/>
        <v>-6.457427635075548E-2</v>
      </c>
      <c r="BL38" s="8">
        <f t="shared" si="172"/>
        <v>1.3912786413851352E-2</v>
      </c>
      <c r="BM38" s="8">
        <f t="shared" si="173"/>
        <v>7.3221900243417792E-2</v>
      </c>
      <c r="BN38" s="8">
        <f t="shared" si="174"/>
        <v>-5.8308456097189078E-2</v>
      </c>
      <c r="BO38" s="8">
        <f t="shared" si="175"/>
        <v>-4.6423445031757909E-2</v>
      </c>
      <c r="BP38" s="8">
        <f t="shared" si="176"/>
        <v>7.4477514064619749E-2</v>
      </c>
      <c r="BQ38" s="8">
        <f t="shared" si="177"/>
        <v>-2.8481923756729778E-3</v>
      </c>
      <c r="BR38" s="8">
        <f t="shared" si="178"/>
        <v>-5.4592661299719979E-2</v>
      </c>
      <c r="BS38" s="8">
        <f t="shared" si="179"/>
        <v>5.074104485787153E-2</v>
      </c>
      <c r="BT38" s="8">
        <f t="shared" si="180"/>
        <v>8.279980459991362E-3</v>
      </c>
      <c r="BU38" s="8">
        <f t="shared" si="181"/>
        <v>-7.4070602972006627E-2</v>
      </c>
      <c r="BV38" s="8">
        <f t="shared" si="182"/>
        <v>4.2040966231777055E-2</v>
      </c>
      <c r="BW38" s="8">
        <f t="shared" si="183"/>
        <v>6.1543232441537032E-2</v>
      </c>
      <c r="BX38" s="8">
        <f t="shared" si="184"/>
        <v>-7.2010250241754836E-2</v>
      </c>
      <c r="BY38" s="8">
        <f t="shared" si="185"/>
        <v>-1.9223323364452951E-2</v>
      </c>
      <c r="BZ38" s="8">
        <f t="shared" si="186"/>
        <v>6.7120004276331205E-2</v>
      </c>
      <c r="CA38" s="8">
        <f t="shared" si="187"/>
        <v>-3.2402427794838998E-2</v>
      </c>
      <c r="CB38" s="8">
        <f t="shared" si="188"/>
        <v>-2.973755347666969E-2</v>
      </c>
      <c r="CC38" s="8">
        <f t="shared" si="189"/>
        <v>6.8342448114452892E-2</v>
      </c>
      <c r="CD38" s="8">
        <f t="shared" si="190"/>
        <v>-2.204058589975456E-2</v>
      </c>
      <c r="CE38" s="8">
        <f t="shared" si="191"/>
        <v>-7.1198489269436158E-2</v>
      </c>
      <c r="CF38" s="8">
        <f t="shared" si="192"/>
        <v>6.3149071132936524E-2</v>
      </c>
      <c r="CG38" s="8">
        <f t="shared" si="193"/>
        <v>3.9587966809395476E-2</v>
      </c>
      <c r="CH38" s="8">
        <f t="shared" si="194"/>
        <v>-7.3687645406401284E-2</v>
      </c>
      <c r="CI38" s="8">
        <f t="shared" si="195"/>
        <v>1.118674284655471E-2</v>
      </c>
      <c r="CJ38" s="8">
        <f t="shared" si="196"/>
        <v>4.8554677430846599E-2</v>
      </c>
      <c r="CK38" s="8">
        <f t="shared" si="197"/>
        <v>-5.6546048497140011E-2</v>
      </c>
      <c r="CL38" s="8">
        <f t="shared" si="198"/>
        <v>8.3183635123501595E-5</v>
      </c>
      <c r="CM38" s="8">
        <f t="shared" si="199"/>
        <v>7.4531908479102571E-2</v>
      </c>
      <c r="CN38" s="8">
        <f t="shared" si="200"/>
        <v>-4.8680776233586333E-2</v>
      </c>
      <c r="CO38" s="8">
        <f t="shared" si="201"/>
        <v>-5.643752587020421E-2</v>
      </c>
      <c r="CP38" s="8">
        <f t="shared" si="202"/>
        <v>7.3712432418228932E-2</v>
      </c>
      <c r="CQ38" s="8">
        <f t="shared" si="203"/>
        <v>1.1022232443679706E-2</v>
      </c>
      <c r="CR38" s="8">
        <f t="shared" si="204"/>
        <v>-6.3060547179027621E-2</v>
      </c>
      <c r="CS38" s="8">
        <f t="shared" si="205"/>
        <v>3.9728826946388775E-2</v>
      </c>
      <c r="CT38" s="8">
        <f t="shared" si="206"/>
        <v>2.1881604649058542E-2</v>
      </c>
      <c r="CU38" s="8">
        <f t="shared" si="112"/>
        <v>-7.1247509984818228E-2</v>
      </c>
      <c r="DA38" s="20">
        <v>1.4130929578129389E-3</v>
      </c>
    </row>
    <row r="39" spans="1:105">
      <c r="A39" s="15">
        <v>37</v>
      </c>
      <c r="B39" s="16">
        <v>40</v>
      </c>
      <c r="C39" s="8">
        <f t="shared" si="113"/>
        <v>3.6888794541139363</v>
      </c>
      <c r="D39" s="8">
        <f t="shared" si="114"/>
        <v>2.498494623655914</v>
      </c>
      <c r="E39" s="7">
        <f t="shared" si="115"/>
        <v>2.5135135135135136</v>
      </c>
      <c r="F39" s="8">
        <f>CX75</f>
        <v>4.9746102492497647E-2</v>
      </c>
      <c r="G39" s="8">
        <f>CY75</f>
        <v>0.20163687237483632</v>
      </c>
      <c r="H39" s="8">
        <f t="shared" si="119"/>
        <v>-6.3483773529548745E-2</v>
      </c>
      <c r="I39" s="8">
        <f t="shared" si="116"/>
        <v>4.7572859467522217E-2</v>
      </c>
      <c r="J39" s="8">
        <f t="shared" si="117"/>
        <v>2.2273995206692532E-2</v>
      </c>
      <c r="K39" s="8">
        <f t="shared" si="118"/>
        <v>-7.613957970070423E-2</v>
      </c>
      <c r="L39" s="8">
        <f t="shared" si="120"/>
        <v>2.7834610282364145E-2</v>
      </c>
      <c r="M39" s="8">
        <f t="shared" si="121"/>
        <v>7.4287286462062674E-2</v>
      </c>
      <c r="N39" s="8">
        <f t="shared" si="122"/>
        <v>-6.6822831491779741E-2</v>
      </c>
      <c r="O39" s="8">
        <f t="shared" si="123"/>
        <v>-4.2756001343540802E-2</v>
      </c>
      <c r="P39" s="8">
        <f t="shared" si="124"/>
        <v>7.9114233262946643E-2</v>
      </c>
      <c r="Q39" s="8">
        <f t="shared" si="125"/>
        <v>-5.8570090219940661E-3</v>
      </c>
      <c r="R39" s="8">
        <f t="shared" si="126"/>
        <v>-5.9798198574672425E-2</v>
      </c>
      <c r="S39" s="8">
        <f t="shared" si="127"/>
        <v>5.2130048021191193E-2</v>
      </c>
      <c r="T39" s="8">
        <f t="shared" si="128"/>
        <v>1.6591800750903614E-2</v>
      </c>
      <c r="U39" s="8">
        <f t="shared" si="129"/>
        <v>-7.7576276059823646E-2</v>
      </c>
      <c r="V39" s="8">
        <f t="shared" si="130"/>
        <v>3.3243294165067092E-2</v>
      </c>
      <c r="W39" s="8">
        <f t="shared" si="131"/>
        <v>7.202950681854256E-2</v>
      </c>
      <c r="X39" s="8">
        <f t="shared" si="132"/>
        <v>-6.97971466965909E-2</v>
      </c>
      <c r="Y39" s="8">
        <f t="shared" si="133"/>
        <v>-3.7705765772388496E-2</v>
      </c>
      <c r="Z39" s="8">
        <f t="shared" si="134"/>
        <v>7.8465891981603308E-2</v>
      </c>
      <c r="AA39" s="8">
        <f t="shared" si="135"/>
        <v>-1.1682048407664392E-2</v>
      </c>
      <c r="AB39" s="8">
        <f t="shared" si="136"/>
        <v>-5.5786223804793478E-2</v>
      </c>
      <c r="AC39" s="8">
        <f t="shared" si="137"/>
        <v>5.6402692250185606E-2</v>
      </c>
      <c r="AD39" s="8">
        <f t="shared" si="138"/>
        <v>1.0819042351305083E-2</v>
      </c>
      <c r="AE39" s="8">
        <f t="shared" si="139"/>
        <v>-7.8589533540213363E-2</v>
      </c>
      <c r="AF39" s="8">
        <f t="shared" si="140"/>
        <v>3.84705243363841E-2</v>
      </c>
      <c r="AG39" s="8">
        <f t="shared" si="141"/>
        <v>6.9378564533660772E-2</v>
      </c>
      <c r="AH39" s="8">
        <f t="shared" si="142"/>
        <v>-7.2390484274776526E-2</v>
      </c>
      <c r="AI39" s="8">
        <f t="shared" si="143"/>
        <v>-3.2449718734235383E-2</v>
      </c>
      <c r="AJ39" s="8">
        <f t="shared" si="144"/>
        <v>7.7389255981735613E-2</v>
      </c>
      <c r="AK39" s="8">
        <f t="shared" si="145"/>
        <v>-1.7443323022321579E-2</v>
      </c>
      <c r="AL39" s="8">
        <f t="shared" si="146"/>
        <v>-5.1469748003719812E-2</v>
      </c>
      <c r="AM39" s="8">
        <f t="shared" si="147"/>
        <v>6.0367470544170014E-2</v>
      </c>
      <c r="AN39" s="8">
        <f t="shared" si="148"/>
        <v>4.9872297743875213E-3</v>
      </c>
      <c r="AO39" s="8">
        <f t="shared" si="149"/>
        <v>-7.9173821422520191E-2</v>
      </c>
      <c r="AP39" s="8">
        <f t="shared" si="150"/>
        <v>4.3487768716728645E-2</v>
      </c>
      <c r="AQ39" s="8">
        <f t="shared" si="151"/>
        <v>6.6348929392326839E-2</v>
      </c>
      <c r="AR39" s="8">
        <f t="shared" si="152"/>
        <v>-7.4588688868383463E-2</v>
      </c>
      <c r="AS39" s="8">
        <f t="shared" si="153"/>
        <v>-2.701654960136737E-2</v>
      </c>
      <c r="AT39" s="8">
        <f t="shared" si="154"/>
        <v>7.5890201925175441E-2</v>
      </c>
      <c r="AU39" s="8">
        <f t="shared" si="155"/>
        <v>-2.3109385782052971E-2</v>
      </c>
      <c r="AV39" s="8">
        <f t="shared" si="156"/>
        <v>-4.6872332030081197E-2</v>
      </c>
      <c r="AW39" s="8">
        <f t="shared" si="157"/>
        <v>6.4002741734471638E-2</v>
      </c>
      <c r="AX39" s="8">
        <f t="shared" si="158"/>
        <v>-8.718048746749476E-4</v>
      </c>
      <c r="AY39" s="8">
        <f t="shared" si="159"/>
        <v>-7.9325950455876329E-2</v>
      </c>
      <c r="AZ39" s="8">
        <f t="shared" si="160"/>
        <v>4.8267641403571607E-2</v>
      </c>
      <c r="BA39" s="8">
        <f t="shared" si="161"/>
        <v>6.2957138219616307E-2</v>
      </c>
      <c r="BB39" s="8">
        <f t="shared" si="162"/>
        <v>-7.6379761895685266E-2</v>
      </c>
      <c r="BC39" s="8">
        <f t="shared" si="163"/>
        <v>-2.1435914541397066E-2</v>
      </c>
      <c r="BD39" s="8">
        <f t="shared" si="164"/>
        <v>7.3976912181599547E-2</v>
      </c>
      <c r="BE39" s="8">
        <f t="shared" si="165"/>
        <v>-2.8649309303080291E-2</v>
      </c>
      <c r="BF39" s="8">
        <f t="shared" si="166"/>
        <v>-4.2019070213791955E-2</v>
      </c>
      <c r="BG39" s="8">
        <f t="shared" si="167"/>
        <v>6.7288663219268047E-2</v>
      </c>
      <c r="BH39" s="8">
        <f t="shared" si="168"/>
        <v>-6.7260809029668703E-3</v>
      </c>
      <c r="BI39" s="8">
        <f t="shared" si="169"/>
        <v>-7.9045090265964013E-2</v>
      </c>
      <c r="BJ39" s="8">
        <f t="shared" si="170"/>
        <v>5.2784052153429371E-2</v>
      </c>
      <c r="BK39" s="8">
        <f t="shared" si="171"/>
        <v>5.9221704616902932E-2</v>
      </c>
      <c r="BL39" s="8">
        <f t="shared" si="172"/>
        <v>-7.7753927043704735E-2</v>
      </c>
      <c r="BM39" s="8">
        <f t="shared" si="173"/>
        <v>-1.5738274643362121E-2</v>
      </c>
      <c r="BN39" s="8">
        <f t="shared" si="174"/>
        <v>7.1659830166248425E-2</v>
      </c>
      <c r="BO39" s="8">
        <f t="shared" si="175"/>
        <v>-3.4032854714409227E-2</v>
      </c>
      <c r="BP39" s="8">
        <f t="shared" si="176"/>
        <v>-3.6936453382279445E-2</v>
      </c>
      <c r="BQ39" s="8">
        <f t="shared" si="177"/>
        <v>7.020729927155972E-2</v>
      </c>
      <c r="BR39" s="8">
        <f t="shared" si="178"/>
        <v>-1.2543643591813525E-2</v>
      </c>
      <c r="BS39" s="8">
        <f t="shared" si="179"/>
        <v>-7.833277388749367E-2</v>
      </c>
      <c r="BT39" s="8">
        <f t="shared" si="180"/>
        <v>5.7012348791680587E-2</v>
      </c>
      <c r="BU39" s="8">
        <f t="shared" si="181"/>
        <v>5.5163017908046064E-2</v>
      </c>
      <c r="BV39" s="8">
        <f t="shared" si="182"/>
        <v>-7.8703683630802296E-2</v>
      </c>
      <c r="BW39" s="8">
        <f t="shared" si="183"/>
        <v>-9.9547296502836818E-3</v>
      </c>
      <c r="BX39" s="8">
        <f t="shared" si="184"/>
        <v>6.8951603336055559E-2</v>
      </c>
      <c r="BY39" s="8">
        <f t="shared" si="185"/>
        <v>-3.9230636712331166E-2</v>
      </c>
      <c r="BZ39" s="8">
        <f t="shared" si="186"/>
        <v>-3.1652224264140758E-2</v>
      </c>
      <c r="CA39" s="8">
        <f t="shared" si="187"/>
        <v>7.2742718938737738E-2</v>
      </c>
      <c r="CB39" s="8">
        <f t="shared" si="188"/>
        <v>-1.829273861699449E-2</v>
      </c>
      <c r="CC39" s="8">
        <f t="shared" si="189"/>
        <v>-7.7192889396355491E-2</v>
      </c>
      <c r="CD39" s="8">
        <f t="shared" si="190"/>
        <v>6.0929451772899129E-2</v>
      </c>
      <c r="CE39" s="8">
        <f t="shared" si="191"/>
        <v>5.0803231847212374E-2</v>
      </c>
      <c r="CF39" s="8">
        <f t="shared" si="192"/>
        <v>-7.92238475480634E-2</v>
      </c>
      <c r="CG39" s="8">
        <f t="shared" si="193"/>
        <v>-4.1168482057106076E-3</v>
      </c>
      <c r="CH39" s="8">
        <f t="shared" si="194"/>
        <v>6.5867014155332249E-2</v>
      </c>
      <c r="CI39" s="8">
        <f t="shared" si="195"/>
        <v>-4.4214283955854299E-2</v>
      </c>
      <c r="CJ39" s="8">
        <f t="shared" si="196"/>
        <v>-2.6195226059465202E-2</v>
      </c>
      <c r="CK39" s="8">
        <f t="shared" si="197"/>
        <v>7.488108299938756E-2</v>
      </c>
      <c r="CL39" s="8">
        <f t="shared" si="198"/>
        <v>-2.3941985375125145E-2</v>
      </c>
      <c r="CM39" s="8">
        <f t="shared" si="199"/>
        <v>-7.563165868711956E-2</v>
      </c>
      <c r="CN39" s="8">
        <f t="shared" si="200"/>
        <v>6.4513980157207537E-2</v>
      </c>
      <c r="CO39" s="8">
        <f t="shared" si="201"/>
        <v>4.6166143695819825E-2</v>
      </c>
      <c r="CP39" s="8">
        <f t="shared" si="202"/>
        <v>-7.931157955600554E-2</v>
      </c>
      <c r="CQ39" s="8">
        <f t="shared" si="203"/>
        <v>1.7435044591450055E-3</v>
      </c>
      <c r="CR39" s="8">
        <f t="shared" si="204"/>
        <v>6.2422899407828102E-2</v>
      </c>
      <c r="CS39" s="8">
        <f t="shared" si="205"/>
        <v>-4.8956593927558203E-2</v>
      </c>
      <c r="CT39" s="8">
        <f t="shared" si="206"/>
        <v>-2.0595245003407949E-2</v>
      </c>
      <c r="CU39" s="8">
        <f t="shared" si="112"/>
        <v>7.6610719502673091E-2</v>
      </c>
      <c r="CX39">
        <v>0.19902076376777059</v>
      </c>
      <c r="CY39">
        <v>0.81768927447686512</v>
      </c>
      <c r="DA39" s="21"/>
    </row>
    <row r="40" spans="1:105">
      <c r="A40" s="15">
        <v>38</v>
      </c>
      <c r="B40" s="16">
        <v>53</v>
      </c>
      <c r="C40" s="8">
        <f t="shared" si="113"/>
        <v>3.970291913552122</v>
      </c>
      <c r="D40" s="8">
        <f t="shared" si="114"/>
        <v>2.5660215053763444</v>
      </c>
      <c r="E40" s="7">
        <f t="shared" si="115"/>
        <v>2.4473684210526314</v>
      </c>
      <c r="F40" s="8">
        <f>CX77</f>
        <v>4.0405864938369382E-2</v>
      </c>
      <c r="G40" s="8">
        <f>CY77</f>
        <v>0.16364022841107709</v>
      </c>
      <c r="H40" s="8">
        <f t="shared" si="119"/>
        <v>-7.1625906567812564E-2</v>
      </c>
      <c r="I40" s="8">
        <f t="shared" si="116"/>
        <v>4.6474956839547013E-2</v>
      </c>
      <c r="J40" s="8">
        <f t="shared" si="117"/>
        <v>3.4788682004771754E-2</v>
      </c>
      <c r="K40" s="8">
        <f t="shared" si="118"/>
        <v>-7.7973968151362177E-2</v>
      </c>
      <c r="L40" s="8">
        <f t="shared" si="120"/>
        <v>1.3258739234379089E-2</v>
      </c>
      <c r="M40" s="8">
        <f t="shared" si="121"/>
        <v>8.4346890510637734E-2</v>
      </c>
      <c r="N40" s="8">
        <f t="shared" si="122"/>
        <v>-5.7033705585061927E-2</v>
      </c>
      <c r="O40" s="8">
        <f t="shared" si="123"/>
        <v>-6.3540133239829225E-2</v>
      </c>
      <c r="P40" s="8">
        <f t="shared" si="124"/>
        <v>8.2430308056130067E-2</v>
      </c>
      <c r="Q40" s="8">
        <f t="shared" si="125"/>
        <v>2.2258401080721676E-2</v>
      </c>
      <c r="R40" s="8">
        <f t="shared" si="126"/>
        <v>-8.1264824465564517E-2</v>
      </c>
      <c r="S40" s="8">
        <f t="shared" si="127"/>
        <v>2.6195809006017742E-2</v>
      </c>
      <c r="T40" s="8">
        <f t="shared" si="128"/>
        <v>5.391281662025485E-2</v>
      </c>
      <c r="U40" s="8">
        <f t="shared" si="129"/>
        <v>-6.6208763082914832E-2</v>
      </c>
      <c r="V40" s="8">
        <f t="shared" si="130"/>
        <v>-9.1881104475635255E-3</v>
      </c>
      <c r="W40" s="8">
        <f t="shared" si="131"/>
        <v>8.4886811291873532E-2</v>
      </c>
      <c r="X40" s="8">
        <f t="shared" si="132"/>
        <v>-3.8497343855363957E-2</v>
      </c>
      <c r="Y40" s="8">
        <f t="shared" si="133"/>
        <v>-7.6211197477671508E-2</v>
      </c>
      <c r="Z40" s="8">
        <f t="shared" si="134"/>
        <v>7.3777533823549721E-2</v>
      </c>
      <c r="AA40" s="8">
        <f t="shared" si="135"/>
        <v>4.2977524449574214E-2</v>
      </c>
      <c r="AB40" s="8">
        <f t="shared" si="136"/>
        <v>-8.5283880783629903E-2</v>
      </c>
      <c r="AC40" s="8">
        <f t="shared" si="137"/>
        <v>4.1050923719663165E-3</v>
      </c>
      <c r="AD40" s="8">
        <f t="shared" si="138"/>
        <v>6.930861528264369E-2</v>
      </c>
      <c r="AE40" s="8">
        <f t="shared" si="139"/>
        <v>-4.9864896996797893E-2</v>
      </c>
      <c r="AF40" s="8">
        <f t="shared" si="140"/>
        <v>-3.0999557183227926E-2</v>
      </c>
      <c r="AG40" s="8">
        <f t="shared" si="141"/>
        <v>7.9556392322317857E-2</v>
      </c>
      <c r="AH40" s="8">
        <f t="shared" si="142"/>
        <v>-1.7298701796193056E-2</v>
      </c>
      <c r="AI40" s="8">
        <f t="shared" si="143"/>
        <v>-8.3611883252712113E-2</v>
      </c>
      <c r="AJ40" s="8">
        <f t="shared" si="144"/>
        <v>6.0022680917868908E-2</v>
      </c>
      <c r="AK40" s="8">
        <f t="shared" si="145"/>
        <v>6.0724541005514956E-2</v>
      </c>
      <c r="AL40" s="8">
        <f t="shared" si="146"/>
        <v>-8.3405138046144689E-2</v>
      </c>
      <c r="AM40" s="8">
        <f t="shared" si="147"/>
        <v>-1.8269511553468523E-2</v>
      </c>
      <c r="AN40" s="8">
        <f t="shared" si="148"/>
        <v>7.9911382929094443E-2</v>
      </c>
      <c r="AO40" s="8">
        <f t="shared" si="149"/>
        <v>-3.0072628472722608E-2</v>
      </c>
      <c r="AP40" s="8">
        <f t="shared" si="150"/>
        <v>-5.0667232348019162E-2</v>
      </c>
      <c r="AQ40" s="8">
        <f t="shared" si="151"/>
        <v>6.8724258243291453E-2</v>
      </c>
      <c r="AR40" s="8">
        <f t="shared" si="152"/>
        <v>5.0962304197860863E-3</v>
      </c>
      <c r="AS40" s="8">
        <f t="shared" si="153"/>
        <v>-8.5230396810100681E-2</v>
      </c>
      <c r="AT40" s="8">
        <f t="shared" si="154"/>
        <v>4.2116964946668022E-2</v>
      </c>
      <c r="AU40" s="8">
        <f t="shared" si="155"/>
        <v>7.4272157425107233E-2</v>
      </c>
      <c r="AV40" s="8">
        <f t="shared" si="156"/>
        <v>-7.5758520537052856E-2</v>
      </c>
      <c r="AW40" s="8">
        <f t="shared" si="157"/>
        <v>-3.9380689061210117E-2</v>
      </c>
      <c r="AX40" s="8">
        <f t="shared" si="158"/>
        <v>8.4987886122797618E-2</v>
      </c>
      <c r="AY40" s="8">
        <f t="shared" si="159"/>
        <v>-8.200690048840914E-3</v>
      </c>
      <c r="AZ40" s="8">
        <f t="shared" si="160"/>
        <v>-6.6831019646266726E-2</v>
      </c>
      <c r="BA40" s="8">
        <f t="shared" si="161"/>
        <v>5.3139504306486382E-2</v>
      </c>
      <c r="BB40" s="8">
        <f t="shared" si="162"/>
        <v>2.7138733282403744E-2</v>
      </c>
      <c r="BC40" s="8">
        <f t="shared" si="163"/>
        <v>-8.0954809991286653E-2</v>
      </c>
      <c r="BD40" s="8">
        <f t="shared" si="164"/>
        <v>2.1298654077079399E-2</v>
      </c>
      <c r="BE40" s="8">
        <f t="shared" si="165"/>
        <v>8.2683489521207826E-2</v>
      </c>
      <c r="BF40" s="8">
        <f t="shared" si="166"/>
        <v>-6.2872829398010865E-2</v>
      </c>
      <c r="BG40" s="8">
        <f t="shared" si="167"/>
        <v>-5.7768498581730464E-2</v>
      </c>
      <c r="BH40" s="8">
        <f t="shared" si="168"/>
        <v>8.4187059744925963E-2</v>
      </c>
      <c r="BI40" s="8">
        <f t="shared" si="169"/>
        <v>1.4238366353028038E-2</v>
      </c>
      <c r="BJ40" s="8">
        <f t="shared" si="170"/>
        <v>-7.8373113830533456E-2</v>
      </c>
      <c r="BK40" s="8">
        <f t="shared" si="171"/>
        <v>3.3879892759644613E-2</v>
      </c>
      <c r="BL40" s="8">
        <f t="shared" si="172"/>
        <v>4.7304459501520936E-2</v>
      </c>
      <c r="BM40" s="8">
        <f t="shared" si="173"/>
        <v>-7.1080800615691858E-2</v>
      </c>
      <c r="BN40" s="8">
        <f t="shared" si="174"/>
        <v>-9.9256328722059119E-4</v>
      </c>
      <c r="BO40" s="8">
        <f t="shared" si="175"/>
        <v>8.5376852384118934E-2</v>
      </c>
      <c r="BP40" s="8">
        <f t="shared" si="176"/>
        <v>-4.5639173433303523E-2</v>
      </c>
      <c r="BQ40" s="8">
        <f t="shared" si="177"/>
        <v>-7.2161332812134327E-2</v>
      </c>
      <c r="BR40" s="8">
        <f t="shared" si="178"/>
        <v>7.7564284871149289E-2</v>
      </c>
      <c r="BS40" s="8">
        <f t="shared" si="179"/>
        <v>3.5692769818633799E-2</v>
      </c>
      <c r="BT40" s="8">
        <f t="shared" si="180"/>
        <v>-8.4495322422316776E-2</v>
      </c>
      <c r="BU40" s="8">
        <f t="shared" si="181"/>
        <v>1.2277320295874968E-2</v>
      </c>
      <c r="BV40" s="8">
        <f t="shared" si="182"/>
        <v>6.4198850105890312E-2</v>
      </c>
      <c r="BW40" s="8">
        <f t="shared" si="183"/>
        <v>-5.6291204907873489E-2</v>
      </c>
      <c r="BX40" s="8">
        <f t="shared" si="184"/>
        <v>-2.3215140027240181E-2</v>
      </c>
      <c r="BY40" s="8">
        <f t="shared" si="185"/>
        <v>8.2165986748863454E-2</v>
      </c>
      <c r="BZ40" s="8">
        <f t="shared" si="186"/>
        <v>-2.5249344561152277E-2</v>
      </c>
      <c r="CA40" s="8">
        <f t="shared" si="187"/>
        <v>-8.1563856604080359E-2</v>
      </c>
      <c r="CB40" s="8">
        <f t="shared" si="188"/>
        <v>6.5577558898358868E-2</v>
      </c>
      <c r="CC40" s="8">
        <f t="shared" si="189"/>
        <v>5.4678843018401979E-2</v>
      </c>
      <c r="CD40" s="8">
        <f t="shared" si="190"/>
        <v>-8.4774264640644512E-2</v>
      </c>
      <c r="CE40" s="8">
        <f t="shared" si="191"/>
        <v>-1.0174289141593261E-2</v>
      </c>
      <c r="CF40" s="8">
        <f t="shared" si="192"/>
        <v>7.6653575042576166E-2</v>
      </c>
      <c r="CG40" s="8">
        <f t="shared" si="193"/>
        <v>-3.7608796020225356E-2</v>
      </c>
      <c r="CH40" s="8">
        <f t="shared" si="194"/>
        <v>-4.3832275860149809E-2</v>
      </c>
      <c r="CI40" s="8">
        <f t="shared" si="195"/>
        <v>7.3272939737794751E-2</v>
      </c>
      <c r="CJ40" s="8">
        <f t="shared" si="196"/>
        <v>-3.1133995514880169E-3</v>
      </c>
      <c r="CK40" s="8">
        <f t="shared" si="197"/>
        <v>-8.5325839275869814E-2</v>
      </c>
      <c r="CL40" s="8">
        <f t="shared" si="198"/>
        <v>4.9055822776144266E-2</v>
      </c>
      <c r="CM40" s="8">
        <f t="shared" si="199"/>
        <v>6.9883605778854163E-2</v>
      </c>
      <c r="CN40" s="8">
        <f t="shared" si="200"/>
        <v>-7.9190650261658474E-2</v>
      </c>
      <c r="CO40" s="8">
        <f t="shared" si="201"/>
        <v>-3.1922296534467313E-2</v>
      </c>
      <c r="CP40" s="8">
        <f t="shared" si="202"/>
        <v>8.3807328936003442E-2</v>
      </c>
      <c r="CQ40" s="8">
        <f t="shared" si="203"/>
        <v>-1.6325554248211433E-2</v>
      </c>
      <c r="CR40" s="8">
        <f t="shared" si="204"/>
        <v>-6.1418194623722708E-2</v>
      </c>
      <c r="CS40" s="8">
        <f t="shared" si="205"/>
        <v>5.9312709211949616E-2</v>
      </c>
      <c r="CT40" s="8">
        <f t="shared" si="206"/>
        <v>1.923785232233037E-2</v>
      </c>
      <c r="CU40" s="8">
        <f t="shared" si="112"/>
        <v>-8.3187121256375868E-2</v>
      </c>
      <c r="DA40" s="20">
        <v>1.3785730966992065E-3</v>
      </c>
    </row>
    <row r="41" spans="1:105">
      <c r="A41" s="15">
        <v>39</v>
      </c>
      <c r="B41" s="16">
        <v>46</v>
      </c>
      <c r="C41" s="8">
        <f t="shared" si="113"/>
        <v>3.8286413964890951</v>
      </c>
      <c r="D41" s="8">
        <f t="shared" si="114"/>
        <v>2.6335483870967744</v>
      </c>
      <c r="E41" s="7">
        <f t="shared" si="115"/>
        <v>2.3846153846153846</v>
      </c>
      <c r="F41" s="8">
        <f>CX79</f>
        <v>7.5807059044529623E-3</v>
      </c>
      <c r="G41" s="8">
        <f>CY79</f>
        <v>3.0610767301052357E-2</v>
      </c>
      <c r="H41" s="8">
        <f t="shared" si="119"/>
        <v>-7.1937091023634603E-2</v>
      </c>
      <c r="I41" s="8">
        <f t="shared" si="116"/>
        <v>4.005413134701577E-2</v>
      </c>
      <c r="J41" s="8">
        <f t="shared" si="117"/>
        <v>4.336615092935156E-2</v>
      </c>
      <c r="K41" s="8">
        <f t="shared" si="118"/>
        <v>-6.9990395458801216E-2</v>
      </c>
      <c r="L41" s="8">
        <f t="shared" si="120"/>
        <v>-3.8407114401183347E-3</v>
      </c>
      <c r="M41" s="8">
        <f t="shared" si="121"/>
        <v>8.2246747282433141E-2</v>
      </c>
      <c r="N41" s="8">
        <f t="shared" si="122"/>
        <v>-3.665491032827304E-2</v>
      </c>
      <c r="O41" s="8">
        <f t="shared" si="123"/>
        <v>-7.3727173089254833E-2</v>
      </c>
      <c r="P41" s="8">
        <f t="shared" si="124"/>
        <v>6.789132452559897E-2</v>
      </c>
      <c r="Q41" s="8">
        <f t="shared" si="125"/>
        <v>4.6583758511593763E-2</v>
      </c>
      <c r="R41" s="8">
        <f t="shared" si="126"/>
        <v>-8.1978061901257199E-2</v>
      </c>
      <c r="S41" s="8">
        <f t="shared" si="127"/>
        <v>-7.6730613069572158E-3</v>
      </c>
      <c r="T41" s="8">
        <f t="shared" si="128"/>
        <v>7.5356744486452243E-2</v>
      </c>
      <c r="U41" s="8">
        <f t="shared" si="129"/>
        <v>-3.317588828215802E-2</v>
      </c>
      <c r="V41" s="8">
        <f t="shared" si="130"/>
        <v>-4.969994907344806E-2</v>
      </c>
      <c r="W41" s="8">
        <f t="shared" si="131"/>
        <v>6.5644448089715493E-2</v>
      </c>
      <c r="X41" s="8">
        <f t="shared" si="132"/>
        <v>1.1488706231132099E-2</v>
      </c>
      <c r="Y41" s="8">
        <f t="shared" si="133"/>
        <v>-8.1530902926690477E-2</v>
      </c>
      <c r="Z41" s="8">
        <f t="shared" si="134"/>
        <v>2.9624639351699761E-2</v>
      </c>
      <c r="AA41" s="8">
        <f t="shared" si="135"/>
        <v>7.6822257492138321E-2</v>
      </c>
      <c r="AB41" s="8">
        <f t="shared" si="136"/>
        <v>-6.3254657802674627E-2</v>
      </c>
      <c r="AC41" s="8">
        <f t="shared" si="137"/>
        <v>-5.270793838856927E-2</v>
      </c>
      <c r="AD41" s="8">
        <f t="shared" si="138"/>
        <v>8.0906243863926405E-2</v>
      </c>
      <c r="AE41" s="8">
        <f t="shared" si="139"/>
        <v>1.5279339211417177E-2</v>
      </c>
      <c r="AF41" s="8">
        <f t="shared" si="140"/>
        <v>-7.8120521553057792E-2</v>
      </c>
      <c r="AG41" s="8">
        <f t="shared" si="141"/>
        <v>2.6008894924331404E-2</v>
      </c>
      <c r="AH41" s="8">
        <f t="shared" si="142"/>
        <v>5.5601177794431127E-2</v>
      </c>
      <c r="AI41" s="8">
        <f t="shared" si="143"/>
        <v>-6.0727156452272155E-2</v>
      </c>
      <c r="AJ41" s="8">
        <f t="shared" si="144"/>
        <v>-1.9036707699831453E-2</v>
      </c>
      <c r="AK41" s="8">
        <f t="shared" si="145"/>
        <v>8.0105444651770441E-2</v>
      </c>
      <c r="AL41" s="8">
        <f t="shared" si="146"/>
        <v>-2.2336526799969402E-2</v>
      </c>
      <c r="AM41" s="8">
        <f t="shared" si="147"/>
        <v>-7.9248710231908062E-2</v>
      </c>
      <c r="AN41" s="8">
        <f t="shared" si="148"/>
        <v>5.8067446635640285E-2</v>
      </c>
      <c r="AO41" s="8">
        <f t="shared" si="149"/>
        <v>5.8373368449351537E-2</v>
      </c>
      <c r="AP41" s="8">
        <f t="shared" si="150"/>
        <v>-7.9130248701931416E-2</v>
      </c>
      <c r="AQ41" s="8">
        <f t="shared" si="151"/>
        <v>-2.2752631568176109E-2</v>
      </c>
      <c r="AR41" s="8">
        <f t="shared" si="152"/>
        <v>8.0204367360747944E-2</v>
      </c>
      <c r="AS41" s="8">
        <f t="shared" si="153"/>
        <v>-1.8615530053395508E-2</v>
      </c>
      <c r="AT41" s="8">
        <f t="shared" si="154"/>
        <v>-6.1018475045636511E-2</v>
      </c>
      <c r="AU41" s="8">
        <f t="shared" si="155"/>
        <v>5.5281318779599631E-2</v>
      </c>
      <c r="AV41" s="8">
        <f t="shared" si="156"/>
        <v>2.6419020916908505E-2</v>
      </c>
      <c r="AW41" s="8">
        <f t="shared" si="157"/>
        <v>-7.7982779103457397E-2</v>
      </c>
      <c r="AX41" s="8">
        <f t="shared" si="158"/>
        <v>1.4854005628263519E-2</v>
      </c>
      <c r="AY41" s="8">
        <f t="shared" si="159"/>
        <v>8.0985412388294944E-2</v>
      </c>
      <c r="AZ41" s="8">
        <f t="shared" si="160"/>
        <v>-5.2374838534380824E-2</v>
      </c>
      <c r="BA41" s="8">
        <f t="shared" si="161"/>
        <v>-6.3530738948986101E-2</v>
      </c>
      <c r="BB41" s="8">
        <f t="shared" si="162"/>
        <v>7.6665534000581473E-2</v>
      </c>
      <c r="BC41" s="8">
        <f t="shared" si="163"/>
        <v>3.002789368757601E-2</v>
      </c>
      <c r="BD41" s="8">
        <f t="shared" si="164"/>
        <v>-8.1590144909471765E-2</v>
      </c>
      <c r="BE41" s="8">
        <f t="shared" si="165"/>
        <v>1.1060142700620099E-2</v>
      </c>
      <c r="BF41" s="8">
        <f t="shared" si="166"/>
        <v>6.5904690735556729E-2</v>
      </c>
      <c r="BG41" s="8">
        <f t="shared" si="167"/>
        <v>-4.9354333568161005E-2</v>
      </c>
      <c r="BH41" s="8">
        <f t="shared" si="168"/>
        <v>-3.35713930404768E-2</v>
      </c>
      <c r="BI41" s="8">
        <f t="shared" si="169"/>
        <v>7.5181381154036456E-2</v>
      </c>
      <c r="BJ41" s="8">
        <f t="shared" si="170"/>
        <v>-7.2422008503300363E-3</v>
      </c>
      <c r="BK41" s="8">
        <f t="shared" si="171"/>
        <v>-8.2017248367341367E-2</v>
      </c>
      <c r="BL41" s="8">
        <f t="shared" si="172"/>
        <v>4.6226379791162418E-2</v>
      </c>
      <c r="BM41" s="8">
        <f t="shared" si="173"/>
        <v>6.8135162099388094E-2</v>
      </c>
      <c r="BN41" s="8">
        <f t="shared" si="174"/>
        <v>-7.3533551697683025E-2</v>
      </c>
      <c r="BO41" s="8">
        <f t="shared" si="175"/>
        <v>-3.7041804459702822E-2</v>
      </c>
      <c r="BP41" s="8">
        <f t="shared" si="176"/>
        <v>8.2265792919368808E-2</v>
      </c>
      <c r="BQ41" s="8">
        <f t="shared" si="177"/>
        <v>-3.4084920792352693E-3</v>
      </c>
      <c r="BR41" s="8">
        <f t="shared" si="178"/>
        <v>-7.0217297104270979E-2</v>
      </c>
      <c r="BS41" s="8">
        <f t="shared" si="179"/>
        <v>4.2997787039302598E-2</v>
      </c>
      <c r="BT41" s="8">
        <f t="shared" si="180"/>
        <v>4.0431572548331879E-2</v>
      </c>
      <c r="BU41" s="8">
        <f t="shared" si="181"/>
        <v>-7.1725633104042077E-2</v>
      </c>
      <c r="BV41" s="8">
        <f t="shared" si="182"/>
        <v>-4.3263728482562011E-4</v>
      </c>
      <c r="BW41" s="8">
        <f t="shared" si="183"/>
        <v>8.2335237461772459E-2</v>
      </c>
      <c r="BX41" s="8">
        <f t="shared" si="184"/>
        <v>-3.967558424857652E-2</v>
      </c>
      <c r="BY41" s="8">
        <f t="shared" si="185"/>
        <v>-7.2146562755551896E-2</v>
      </c>
      <c r="BZ41" s="8">
        <f t="shared" si="186"/>
        <v>6.9761561374045267E-2</v>
      </c>
      <c r="CA41" s="8">
        <f t="shared" si="187"/>
        <v>4.3733317477204908E-2</v>
      </c>
      <c r="CB41" s="8">
        <f t="shared" si="188"/>
        <v>-8.2225430807554914E-2</v>
      </c>
      <c r="CC41" s="8">
        <f t="shared" si="189"/>
        <v>-4.2728247587141043E-3</v>
      </c>
      <c r="CD41" s="8">
        <f t="shared" si="190"/>
        <v>7.3918758868871171E-2</v>
      </c>
      <c r="CE41" s="8">
        <f t="shared" si="191"/>
        <v>-3.626700415242981E-2</v>
      </c>
      <c r="CF41" s="8">
        <f t="shared" si="192"/>
        <v>-4.6939851051479499E-2</v>
      </c>
      <c r="CG41" s="8">
        <f t="shared" si="193"/>
        <v>6.7645612468005642E-2</v>
      </c>
      <c r="CH41" s="8">
        <f t="shared" si="194"/>
        <v>8.1037099098710402E-3</v>
      </c>
      <c r="CI41" s="8">
        <f t="shared" si="195"/>
        <v>-8.1936612015651097E-2</v>
      </c>
      <c r="CJ41" s="8">
        <f t="shared" si="196"/>
        <v>3.2779467535446041E-2</v>
      </c>
      <c r="CK41" s="8">
        <f t="shared" si="197"/>
        <v>7.5530027214342502E-2</v>
      </c>
      <c r="CL41" s="8">
        <f t="shared" si="198"/>
        <v>-6.538239299647218E-2</v>
      </c>
      <c r="CM41" s="8">
        <f t="shared" si="199"/>
        <v>-5.0044192359968667E-2</v>
      </c>
      <c r="CN41" s="8">
        <f t="shared" si="200"/>
        <v>8.1469409870475018E-2</v>
      </c>
      <c r="CO41" s="8">
        <f t="shared" si="201"/>
        <v>1.1916952557731694E-2</v>
      </c>
      <c r="CP41" s="8">
        <f t="shared" si="202"/>
        <v>-7.6976859916262214E-2</v>
      </c>
      <c r="CQ41" s="8">
        <f t="shared" si="203"/>
        <v>2.9220567077639426E-2</v>
      </c>
      <c r="CR41" s="8">
        <f t="shared" si="204"/>
        <v>5.3039582973213845E-2</v>
      </c>
      <c r="CS41" s="8">
        <f t="shared" si="205"/>
        <v>-6.2976830191223854E-2</v>
      </c>
      <c r="CT41" s="8">
        <f t="shared" si="206"/>
        <v>-1.5704250931039873E-2</v>
      </c>
      <c r="CU41" s="8">
        <f t="shared" si="112"/>
        <v>8.082484151300029E-2</v>
      </c>
      <c r="CX41">
        <v>0.31256463252047056</v>
      </c>
      <c r="CY41">
        <v>1.2976436714312867</v>
      </c>
      <c r="DA41" s="21"/>
    </row>
    <row r="42" spans="1:105">
      <c r="A42" s="15">
        <v>40</v>
      </c>
      <c r="B42" s="16">
        <v>63</v>
      </c>
      <c r="C42" s="8">
        <f t="shared" si="113"/>
        <v>4.1431347263915326</v>
      </c>
      <c r="D42" s="8">
        <f t="shared" si="114"/>
        <v>2.7010752688172044</v>
      </c>
      <c r="E42" s="7">
        <f t="shared" si="115"/>
        <v>2.3250000000000002</v>
      </c>
      <c r="F42" s="8">
        <f>CX81</f>
        <v>0.17173147901536814</v>
      </c>
      <c r="G42" s="8">
        <f>CY81</f>
        <v>0.7038159462890663</v>
      </c>
      <c r="H42" s="8">
        <f t="shared" si="119"/>
        <v>-8.0593429921381562E-2</v>
      </c>
      <c r="I42" s="8">
        <f t="shared" si="116"/>
        <v>3.7992769327939574E-2</v>
      </c>
      <c r="J42" s="8">
        <f t="shared" si="117"/>
        <v>5.669886699060437E-2</v>
      </c>
      <c r="K42" s="8">
        <f t="shared" si="118"/>
        <v>-6.8731287996664378E-2</v>
      </c>
      <c r="L42" s="8">
        <f t="shared" si="120"/>
        <v>-2.1978354793190005E-2</v>
      </c>
      <c r="M42" s="8">
        <f t="shared" si="121"/>
        <v>8.6346415028554183E-2</v>
      </c>
      <c r="N42" s="8">
        <f t="shared" si="122"/>
        <v>-1.6938653147157905E-2</v>
      </c>
      <c r="O42" s="8">
        <f t="shared" si="123"/>
        <v>-8.747475920092003E-2</v>
      </c>
      <c r="P42" s="8">
        <f t="shared" si="124"/>
        <v>5.2621434208745037E-2</v>
      </c>
      <c r="Q42" s="8">
        <f t="shared" si="125"/>
        <v>7.1900877112267447E-2</v>
      </c>
      <c r="R42" s="8">
        <f t="shared" si="126"/>
        <v>-7.8256801497920067E-2</v>
      </c>
      <c r="S42" s="8">
        <f t="shared" si="127"/>
        <v>-4.2598409442299631E-2</v>
      </c>
      <c r="T42" s="8">
        <f t="shared" si="128"/>
        <v>8.8949997845193043E-2</v>
      </c>
      <c r="U42" s="8">
        <f t="shared" si="129"/>
        <v>5.1623009442319633E-3</v>
      </c>
      <c r="V42" s="8">
        <f t="shared" si="130"/>
        <v>-8.265928930951448E-2</v>
      </c>
      <c r="W42" s="8">
        <f t="shared" si="131"/>
        <v>3.3259485241726949E-2</v>
      </c>
      <c r="X42" s="8">
        <f t="shared" si="132"/>
        <v>6.0585809089361668E-2</v>
      </c>
      <c r="Y42" s="8">
        <f t="shared" si="133"/>
        <v>-6.5330782979282354E-2</v>
      </c>
      <c r="Z42" s="8">
        <f t="shared" si="134"/>
        <v>-2.6944215954566388E-2</v>
      </c>
      <c r="AA42" s="8">
        <f t="shared" si="135"/>
        <v>8.4927973567561099E-2</v>
      </c>
      <c r="AB42" s="8">
        <f t="shared" si="136"/>
        <v>-1.184204285761873E-2</v>
      </c>
      <c r="AC42" s="8">
        <f t="shared" si="137"/>
        <v>-8.8309215196699528E-2</v>
      </c>
      <c r="AD42" s="8">
        <f t="shared" si="138"/>
        <v>4.8367209658720378E-2</v>
      </c>
      <c r="AE42" s="8">
        <f t="shared" si="139"/>
        <v>7.4828901485509275E-2</v>
      </c>
      <c r="AF42" s="8">
        <f t="shared" si="140"/>
        <v>-7.565725438902518E-2</v>
      </c>
      <c r="AG42" s="8">
        <f t="shared" si="141"/>
        <v>-4.7060932056356447E-2</v>
      </c>
      <c r="AH42" s="8">
        <f t="shared" si="142"/>
        <v>8.8501479632242752E-2</v>
      </c>
      <c r="AI42" s="8">
        <f t="shared" si="143"/>
        <v>1.0307258151535135E-2</v>
      </c>
      <c r="AJ42" s="8">
        <f t="shared" si="144"/>
        <v>-8.4447439012762165E-2</v>
      </c>
      <c r="AK42" s="8">
        <f t="shared" si="145"/>
        <v>2.8414459556438561E-2</v>
      </c>
      <c r="AL42" s="8">
        <f t="shared" si="146"/>
        <v>6.4269201579946839E-2</v>
      </c>
      <c r="AM42" s="8">
        <f t="shared" si="147"/>
        <v>-6.171078670682157E-2</v>
      </c>
      <c r="AN42" s="8">
        <f t="shared" si="148"/>
        <v>-3.1819552871363434E-2</v>
      </c>
      <c r="AO42" s="8">
        <f t="shared" si="149"/>
        <v>8.3224200343200494E-2</v>
      </c>
      <c r="AP42" s="8">
        <f t="shared" si="150"/>
        <v>-6.7056469611875792E-3</v>
      </c>
      <c r="AQ42" s="8">
        <f t="shared" si="151"/>
        <v>-8.884697950144721E-2</v>
      </c>
      <c r="AR42" s="8">
        <f t="shared" si="152"/>
        <v>4.3950486221210852E-2</v>
      </c>
      <c r="AS42" s="8">
        <f t="shared" si="153"/>
        <v>7.7505523858740683E-2</v>
      </c>
      <c r="AT42" s="8">
        <f t="shared" si="154"/>
        <v>-7.2803522270179777E-2</v>
      </c>
      <c r="AU42" s="8">
        <f t="shared" si="155"/>
        <v>-5.1365344472261688E-2</v>
      </c>
      <c r="AV42" s="8">
        <f t="shared" si="156"/>
        <v>8.7755623779132999E-2</v>
      </c>
      <c r="AW42" s="8">
        <f t="shared" si="157"/>
        <v>1.5417586154581263E-2</v>
      </c>
      <c r="AX42" s="8">
        <f t="shared" si="158"/>
        <v>-8.5951871400345797E-2</v>
      </c>
      <c r="AY42" s="8">
        <f t="shared" si="159"/>
        <v>2.3473970062115317E-2</v>
      </c>
      <c r="AZ42" s="8">
        <f t="shared" si="160"/>
        <v>6.7736669401112726E-2</v>
      </c>
      <c r="BA42" s="8">
        <f t="shared" si="161"/>
        <v>-5.788346124881464E-2</v>
      </c>
      <c r="BB42" s="8">
        <f t="shared" si="162"/>
        <v>-3.6587985917162634E-2</v>
      </c>
      <c r="BC42" s="8">
        <f t="shared" si="163"/>
        <v>8.124081950733987E-2</v>
      </c>
      <c r="BD42" s="8">
        <f t="shared" si="164"/>
        <v>-1.5467221618340032E-3</v>
      </c>
      <c r="BE42" s="8">
        <f t="shared" si="165"/>
        <v>-8.9086245393173683E-2</v>
      </c>
      <c r="BF42" s="8">
        <f t="shared" si="166"/>
        <v>3.9386102722974374E-2</v>
      </c>
      <c r="BG42" s="8">
        <f t="shared" si="167"/>
        <v>7.992175160739394E-2</v>
      </c>
      <c r="BH42" s="8">
        <f t="shared" si="168"/>
        <v>-6.9705192800000912E-2</v>
      </c>
      <c r="BI42" s="8">
        <f t="shared" si="169"/>
        <v>-5.5497185193605698E-2</v>
      </c>
      <c r="BJ42" s="8">
        <f t="shared" si="170"/>
        <v>8.6714936131192133E-2</v>
      </c>
      <c r="BK42" s="8">
        <f t="shared" si="171"/>
        <v>2.0476115829471564E-2</v>
      </c>
      <c r="BL42" s="8">
        <f t="shared" si="172"/>
        <v>-8.716753204404834E-2</v>
      </c>
      <c r="BM42" s="8">
        <f t="shared" si="173"/>
        <v>1.8454615277715063E-2</v>
      </c>
      <c r="BN42" s="8">
        <f t="shared" si="174"/>
        <v>7.0976562931818463E-2</v>
      </c>
      <c r="BO42" s="8">
        <f t="shared" si="175"/>
        <v>-5.3861665236829427E-2</v>
      </c>
      <c r="BP42" s="8">
        <f t="shared" si="176"/>
        <v>-4.1233494629538264E-2</v>
      </c>
      <c r="BQ42" s="8">
        <f t="shared" si="177"/>
        <v>7.8984494607071493E-2</v>
      </c>
      <c r="BR42" s="8">
        <f t="shared" si="178"/>
        <v>3.6173991463179897E-3</v>
      </c>
      <c r="BS42" s="8">
        <f t="shared" si="179"/>
        <v>-8.9026209012373902E-2</v>
      </c>
      <c r="BT42" s="8">
        <f t="shared" si="180"/>
        <v>3.4689394082973724E-2</v>
      </c>
      <c r="BU42" s="8">
        <f t="shared" si="181"/>
        <v>8.2069466952422773E-2</v>
      </c>
      <c r="BV42" s="8">
        <f t="shared" si="182"/>
        <v>-6.6372675408669785E-2</v>
      </c>
      <c r="BW42" s="8">
        <f t="shared" si="183"/>
        <v>-5.9442572511576475E-2</v>
      </c>
      <c r="BX42" s="8">
        <f t="shared" si="184"/>
        <v>8.5382913077526976E-2</v>
      </c>
      <c r="BY42" s="8">
        <f t="shared" si="185"/>
        <v>2.5465852078698233E-2</v>
      </c>
      <c r="BZ42" s="8">
        <f t="shared" si="186"/>
        <v>-8.8090336699532631E-2</v>
      </c>
      <c r="CA42" s="8">
        <f t="shared" si="187"/>
        <v>1.3373258685213553E-2</v>
      </c>
      <c r="CB42" s="8">
        <f t="shared" si="188"/>
        <v>7.397799713035863E-2</v>
      </c>
      <c r="CC42" s="8">
        <f t="shared" si="189"/>
        <v>-4.9658910663438006E-2</v>
      </c>
      <c r="CD42" s="8">
        <f t="shared" si="190"/>
        <v>-4.5740471533862577E-2</v>
      </c>
      <c r="CE42" s="8">
        <f t="shared" si="191"/>
        <v>7.6462806197252361E-2</v>
      </c>
      <c r="CF42" s="8">
        <f t="shared" si="192"/>
        <v>8.7693671104790115E-3</v>
      </c>
      <c r="CG42" s="8">
        <f t="shared" si="193"/>
        <v>-8.8667072062746696E-2</v>
      </c>
      <c r="CH42" s="8">
        <f t="shared" si="194"/>
        <v>2.987613979178114E-2</v>
      </c>
      <c r="CI42" s="8">
        <f t="shared" si="195"/>
        <v>8.3941454233534801E-2</v>
      </c>
      <c r="CJ42" s="8">
        <f t="shared" si="196"/>
        <v>-6.2817166325458668E-2</v>
      </c>
      <c r="CK42" s="8">
        <f t="shared" si="197"/>
        <v>-6.3188251143217508E-2</v>
      </c>
      <c r="CL42" s="8">
        <f t="shared" si="198"/>
        <v>8.3764029804237555E-2</v>
      </c>
      <c r="CM42" s="8">
        <f t="shared" si="199"/>
        <v>3.0370030929412456E-2</v>
      </c>
      <c r="CN42" s="8">
        <f t="shared" si="200"/>
        <v>-8.8717185028140313E-2</v>
      </c>
      <c r="CO42" s="8">
        <f t="shared" si="201"/>
        <v>8.2469720735178359E-3</v>
      </c>
      <c r="CP42" s="8">
        <f t="shared" si="202"/>
        <v>7.6730888104741851E-2</v>
      </c>
      <c r="CQ42" s="8">
        <f t="shared" si="203"/>
        <v>-4.5289317486094341E-2</v>
      </c>
      <c r="CR42" s="8">
        <f t="shared" si="204"/>
        <v>-5.0093774579600917E-2</v>
      </c>
      <c r="CS42" s="8">
        <f t="shared" si="205"/>
        <v>7.3684226372180875E-2</v>
      </c>
      <c r="CT42" s="8">
        <f t="shared" si="206"/>
        <v>1.3891872709342229E-2</v>
      </c>
      <c r="CU42" s="8">
        <f t="shared" si="112"/>
        <v>-8.8010041133532599E-2</v>
      </c>
      <c r="DA42" s="20">
        <v>8.20866344023162E-3</v>
      </c>
    </row>
    <row r="43" spans="1:105">
      <c r="A43" s="15">
        <v>41</v>
      </c>
      <c r="B43" s="16">
        <v>50</v>
      </c>
      <c r="C43" s="8">
        <f t="shared" si="113"/>
        <v>3.912023005428146</v>
      </c>
      <c r="D43" s="8">
        <f t="shared" si="114"/>
        <v>2.7686021505376348</v>
      </c>
      <c r="E43" s="7">
        <f t="shared" si="115"/>
        <v>2.2682926829268291</v>
      </c>
      <c r="F43" s="8">
        <f>CX83</f>
        <v>9.8301376566830079E-2</v>
      </c>
      <c r="G43" s="8">
        <f>CY83</f>
        <v>0.40019722144840331</v>
      </c>
      <c r="H43" s="8">
        <f t="shared" si="119"/>
        <v>-7.8344929312932354E-2</v>
      </c>
      <c r="I43" s="8">
        <f t="shared" si="116"/>
        <v>3.0656962731741077E-2</v>
      </c>
      <c r="J43" s="8">
        <f t="shared" si="117"/>
        <v>6.1786613696383684E-2</v>
      </c>
      <c r="K43" s="8">
        <f t="shared" si="118"/>
        <v>-5.7098088242230838E-2</v>
      </c>
      <c r="L43" s="8">
        <f t="shared" si="120"/>
        <v>-3.6731621221282512E-2</v>
      </c>
      <c r="M43" s="8">
        <f t="shared" si="121"/>
        <v>7.5687286352728728E-2</v>
      </c>
      <c r="N43" s="8">
        <f t="shared" si="122"/>
        <v>6.6254259477627414E-3</v>
      </c>
      <c r="O43" s="8">
        <f t="shared" si="123"/>
        <v>-8.3868236204146088E-2</v>
      </c>
      <c r="P43" s="8">
        <f t="shared" si="124"/>
        <v>2.4391874498230715E-2</v>
      </c>
      <c r="Q43" s="8">
        <f t="shared" si="125"/>
        <v>8.0515922471560183E-2</v>
      </c>
      <c r="R43" s="8">
        <f t="shared" si="126"/>
        <v>-5.2054890525850953E-2</v>
      </c>
      <c r="S43" s="8">
        <f t="shared" si="127"/>
        <v>-6.6091343497657842E-2</v>
      </c>
      <c r="T43" s="8">
        <f t="shared" si="128"/>
        <v>7.2559501888685762E-2</v>
      </c>
      <c r="U43" s="8">
        <f t="shared" si="129"/>
        <v>4.2578116429094606E-2</v>
      </c>
      <c r="V43" s="8">
        <f t="shared" si="130"/>
        <v>-8.3085986863251235E-2</v>
      </c>
      <c r="W43" s="8">
        <f t="shared" si="131"/>
        <v>-1.3209697193477629E-2</v>
      </c>
      <c r="X43" s="8">
        <f t="shared" si="132"/>
        <v>8.2186780419931174E-2</v>
      </c>
      <c r="Y43" s="8">
        <f t="shared" si="133"/>
        <v>-1.797527293783726E-2</v>
      </c>
      <c r="Z43" s="8">
        <f t="shared" si="134"/>
        <v>-6.9985538252425886E-2</v>
      </c>
      <c r="AA43" s="8">
        <f t="shared" si="135"/>
        <v>4.6688347031159282E-2</v>
      </c>
      <c r="AB43" s="8">
        <f t="shared" si="136"/>
        <v>4.8160132083559758E-2</v>
      </c>
      <c r="AC43" s="8">
        <f t="shared" si="137"/>
        <v>-6.8981004564139289E-2</v>
      </c>
      <c r="AD43" s="8">
        <f t="shared" si="138"/>
        <v>-1.9711914672924928E-2</v>
      </c>
      <c r="AE43" s="8">
        <f t="shared" si="139"/>
        <v>8.1787638020125356E-2</v>
      </c>
      <c r="AF43" s="8">
        <f t="shared" si="140"/>
        <v>-1.144701561254368E-2</v>
      </c>
      <c r="AG43" s="8">
        <f t="shared" si="141"/>
        <v>-8.3347124404804213E-2</v>
      </c>
      <c r="AH43" s="8">
        <f t="shared" si="142"/>
        <v>4.103179274677321E-2</v>
      </c>
      <c r="AI43" s="8">
        <f t="shared" si="143"/>
        <v>7.3445008659333538E-2</v>
      </c>
      <c r="AJ43" s="8">
        <f t="shared" si="144"/>
        <v>-6.4974022684459037E-2</v>
      </c>
      <c r="AK43" s="8">
        <f t="shared" si="145"/>
        <v>-5.3442994762486241E-2</v>
      </c>
      <c r="AL43" s="8">
        <f t="shared" si="146"/>
        <v>7.9981254538856225E-2</v>
      </c>
      <c r="AM43" s="8">
        <f t="shared" si="147"/>
        <v>2.6091689009614141E-2</v>
      </c>
      <c r="AN43" s="8">
        <f t="shared" si="148"/>
        <v>-8.3989746797364526E-2</v>
      </c>
      <c r="AO43" s="8">
        <f t="shared" si="149"/>
        <v>4.8476536487586687E-3</v>
      </c>
      <c r="AP43" s="8">
        <f t="shared" si="150"/>
        <v>7.6448265764318027E-2</v>
      </c>
      <c r="AQ43" s="8">
        <f t="shared" si="151"/>
        <v>-3.512036410135759E-2</v>
      </c>
      <c r="AR43" s="8">
        <f t="shared" si="152"/>
        <v>-5.8393889271616643E-2</v>
      </c>
      <c r="AS43" s="8">
        <f t="shared" si="153"/>
        <v>6.056344614301519E-2</v>
      </c>
      <c r="AT43" s="8">
        <f t="shared" si="154"/>
        <v>3.2309391398690886E-2</v>
      </c>
      <c r="AU43" s="8">
        <f t="shared" si="155"/>
        <v>-7.7678057007303722E-2</v>
      </c>
      <c r="AV43" s="8">
        <f t="shared" si="156"/>
        <v>-1.7818201513252867E-3</v>
      </c>
      <c r="AW43" s="8">
        <f t="shared" si="157"/>
        <v>8.4110655864355621E-2</v>
      </c>
      <c r="AX43" s="8">
        <f t="shared" si="158"/>
        <v>-2.899078070909256E-2</v>
      </c>
      <c r="AY43" s="8">
        <f t="shared" si="159"/>
        <v>-7.8976654442063032E-2</v>
      </c>
      <c r="AZ43" s="8">
        <f t="shared" si="160"/>
        <v>5.5776671814340574E-2</v>
      </c>
      <c r="BA43" s="8">
        <f t="shared" si="161"/>
        <v>6.298206248051165E-2</v>
      </c>
      <c r="BB43" s="8">
        <f t="shared" si="162"/>
        <v>-7.4892352038947146E-2</v>
      </c>
      <c r="BC43" s="8">
        <f t="shared" si="163"/>
        <v>-3.8326399766455202E-2</v>
      </c>
      <c r="BD43" s="8">
        <f t="shared" si="164"/>
        <v>8.3709100563253355E-2</v>
      </c>
      <c r="BE43" s="8">
        <f t="shared" si="165"/>
        <v>8.4002259418936628E-3</v>
      </c>
      <c r="BF43" s="8">
        <f t="shared" si="166"/>
        <v>-8.1014469274756265E-2</v>
      </c>
      <c r="BG43" s="8">
        <f t="shared" si="167"/>
        <v>2.2681117280974088E-2</v>
      </c>
      <c r="BH43" s="8">
        <f t="shared" si="168"/>
        <v>6.7179014349649596E-2</v>
      </c>
      <c r="BI43" s="8">
        <f t="shared" si="169"/>
        <v>-5.064343337485426E-2</v>
      </c>
      <c r="BJ43" s="8">
        <f t="shared" si="170"/>
        <v>-4.4105338676438545E-2</v>
      </c>
      <c r="BK43" s="8">
        <f t="shared" si="171"/>
        <v>7.1641443405478511E-2</v>
      </c>
      <c r="BL43" s="8">
        <f t="shared" si="172"/>
        <v>1.4966452627526742E-2</v>
      </c>
      <c r="BM43" s="8">
        <f t="shared" si="173"/>
        <v>-8.2787575207465325E-2</v>
      </c>
      <c r="BN43" s="8">
        <f t="shared" si="174"/>
        <v>1.6230567118754216E-2</v>
      </c>
      <c r="BO43" s="8">
        <f t="shared" si="175"/>
        <v>8.2549052108351562E-2</v>
      </c>
      <c r="BP43" s="8">
        <f t="shared" si="176"/>
        <v>-4.5195616608230141E-2</v>
      </c>
      <c r="BQ43" s="8">
        <f t="shared" si="177"/>
        <v>-7.0958674962160906E-2</v>
      </c>
      <c r="BR43" s="8">
        <f t="shared" si="178"/>
        <v>6.7945524552157313E-2</v>
      </c>
      <c r="BS43" s="8">
        <f t="shared" si="179"/>
        <v>4.9610311491825113E-2</v>
      </c>
      <c r="BT43" s="8">
        <f t="shared" si="180"/>
        <v>-8.1351803972575965E-2</v>
      </c>
      <c r="BU43" s="8">
        <f t="shared" si="181"/>
        <v>-2.1439713230155418E-2</v>
      </c>
      <c r="BV43" s="8">
        <f t="shared" si="182"/>
        <v>8.3570870680352446E-2</v>
      </c>
      <c r="BW43" s="8">
        <f t="shared" si="183"/>
        <v>-9.679198660609116E-3</v>
      </c>
      <c r="BX43" s="8">
        <f t="shared" si="184"/>
        <v>-7.4297566460534786E-2</v>
      </c>
      <c r="BY43" s="8">
        <f t="shared" si="185"/>
        <v>3.9467061342670869E-2</v>
      </c>
      <c r="BZ43" s="8">
        <f t="shared" si="186"/>
        <v>5.4807123352120651E-2</v>
      </c>
      <c r="CA43" s="8">
        <f t="shared" si="187"/>
        <v>-6.38275531635763E-2</v>
      </c>
      <c r="CB43" s="8">
        <f t="shared" si="188"/>
        <v>-2.7779798242726143E-2</v>
      </c>
      <c r="CC43" s="8">
        <f t="shared" si="189"/>
        <v>7.9410705339879442E-2</v>
      </c>
      <c r="CD43" s="8">
        <f t="shared" si="190"/>
        <v>-3.0677065907765769E-3</v>
      </c>
      <c r="CE43" s="8">
        <f t="shared" si="191"/>
        <v>-8.407357783071108E-2</v>
      </c>
      <c r="CF43" s="8">
        <f t="shared" si="192"/>
        <v>3.3493351250377681E-2</v>
      </c>
      <c r="CG43" s="8">
        <f t="shared" si="193"/>
        <v>7.7174948882409708E-2</v>
      </c>
      <c r="CH43" s="8">
        <f t="shared" si="194"/>
        <v>-5.9313108558993549E-2</v>
      </c>
      <c r="CI43" s="8">
        <f t="shared" si="195"/>
        <v>-5.9663493579011732E-2</v>
      </c>
      <c r="CJ43" s="8">
        <f t="shared" si="196"/>
        <v>7.6976336698063502E-2</v>
      </c>
      <c r="CK43" s="8">
        <f t="shared" si="197"/>
        <v>3.3947325395825956E-2</v>
      </c>
      <c r="CL43" s="8">
        <f t="shared" si="198"/>
        <v>-8.4054050928044258E-2</v>
      </c>
      <c r="CM43" s="8">
        <f t="shared" si="199"/>
        <v>-3.5628409408042425E-3</v>
      </c>
      <c r="CN43" s="8">
        <f t="shared" si="200"/>
        <v>7.957294898956882E-2</v>
      </c>
      <c r="CO43" s="8">
        <f t="shared" si="201"/>
        <v>-2.7311592814905673E-2</v>
      </c>
      <c r="CP43" s="8">
        <f t="shared" si="202"/>
        <v>-6.4149256192031934E-2</v>
      </c>
      <c r="CQ43" s="8">
        <f t="shared" si="203"/>
        <v>5.4430232803036785E-2</v>
      </c>
      <c r="CR43" s="8">
        <f t="shared" si="204"/>
        <v>3.9903984285813023E-2</v>
      </c>
      <c r="CS43" s="8">
        <f t="shared" si="205"/>
        <v>-7.4063819447158646E-2</v>
      </c>
      <c r="CT43" s="8">
        <f t="shared" si="206"/>
        <v>-1.017125741869602E-2</v>
      </c>
      <c r="CU43" s="8">
        <f t="shared" si="112"/>
        <v>8.3512411266268377E-2</v>
      </c>
      <c r="CX43">
        <v>9.0795614011622297E-2</v>
      </c>
      <c r="CY43">
        <v>0.36938949053321113</v>
      </c>
      <c r="DA43" s="21"/>
    </row>
    <row r="44" spans="1:105">
      <c r="A44" s="15">
        <v>42</v>
      </c>
      <c r="B44" s="16">
        <v>58</v>
      </c>
      <c r="C44" s="8">
        <f t="shared" si="113"/>
        <v>4.0604430105464191</v>
      </c>
      <c r="D44" s="8">
        <f t="shared" si="114"/>
        <v>2.8361290322580643</v>
      </c>
      <c r="E44" s="7">
        <f t="shared" si="115"/>
        <v>2.2142857142857144</v>
      </c>
      <c r="F44" s="8">
        <f>CX85</f>
        <v>3.9104093742932063E-2</v>
      </c>
      <c r="G44" s="8">
        <f>CY85</f>
        <v>0.15834961687487176</v>
      </c>
      <c r="H44" s="8">
        <f t="shared" si="119"/>
        <v>-8.327904239046259E-2</v>
      </c>
      <c r="I44" s="8">
        <f t="shared" si="116"/>
        <v>2.6260619737644635E-2</v>
      </c>
      <c r="J44" s="8">
        <f t="shared" si="117"/>
        <v>7.1526360851607129E-2</v>
      </c>
      <c r="K44" s="8">
        <f t="shared" si="118"/>
        <v>-5.0089906705875591E-2</v>
      </c>
      <c r="L44" s="8">
        <f t="shared" si="120"/>
        <v>-5.3151429466677828E-2</v>
      </c>
      <c r="M44" s="8">
        <f t="shared" si="121"/>
        <v>6.9281632458584638E-2</v>
      </c>
      <c r="N44" s="8">
        <f t="shared" si="122"/>
        <v>2.9855486563567773E-2</v>
      </c>
      <c r="O44" s="8">
        <f t="shared" si="123"/>
        <v>-8.2058935970010363E-2</v>
      </c>
      <c r="P44" s="8">
        <f t="shared" si="124"/>
        <v>-3.7953810643733543E-3</v>
      </c>
      <c r="Q44" s="8">
        <f t="shared" si="125"/>
        <v>8.7238833858860318E-2</v>
      </c>
      <c r="R44" s="8">
        <f t="shared" si="126"/>
        <v>-2.2616118821031803E-2</v>
      </c>
      <c r="S44" s="8">
        <f t="shared" si="127"/>
        <v>-8.4341746602442424E-2</v>
      </c>
      <c r="T44" s="8">
        <f t="shared" si="128"/>
        <v>4.6933711123300074E-2</v>
      </c>
      <c r="U44" s="8">
        <f t="shared" si="129"/>
        <v>7.3635900284251668E-2</v>
      </c>
      <c r="V44" s="8">
        <f t="shared" si="130"/>
        <v>-6.690595777172241E-2</v>
      </c>
      <c r="W44" s="8">
        <f t="shared" si="131"/>
        <v>-5.6112492950555454E-2</v>
      </c>
      <c r="X44" s="8">
        <f t="shared" si="132"/>
        <v>8.0683733412813236E-2</v>
      </c>
      <c r="Y44" s="8">
        <f t="shared" si="133"/>
        <v>3.3393924792508613E-2</v>
      </c>
      <c r="Z44" s="8">
        <f t="shared" si="134"/>
        <v>-8.6991426208753164E-2</v>
      </c>
      <c r="AA44" s="8">
        <f t="shared" si="135"/>
        <v>-7.5835886389420872E-3</v>
      </c>
      <c r="AB44" s="8">
        <f t="shared" si="136"/>
        <v>8.5245040033503319E-2</v>
      </c>
      <c r="AC44" s="8">
        <f t="shared" si="137"/>
        <v>-1.8928872131325013E-2</v>
      </c>
      <c r="AD44" s="8">
        <f t="shared" si="138"/>
        <v>-7.5606263604936955E-2</v>
      </c>
      <c r="AE44" s="8">
        <f t="shared" si="139"/>
        <v>4.3688808111213347E-2</v>
      </c>
      <c r="AF44" s="8">
        <f t="shared" si="140"/>
        <v>5.8967500576202876E-2</v>
      </c>
      <c r="AG44" s="8">
        <f t="shared" si="141"/>
        <v>-6.4403826953630255E-2</v>
      </c>
      <c r="AH44" s="8">
        <f t="shared" si="142"/>
        <v>-3.6869246571487671E-2</v>
      </c>
      <c r="AI44" s="8">
        <f t="shared" si="143"/>
        <v>7.9156033931270714E-2</v>
      </c>
      <c r="AJ44" s="8">
        <f t="shared" si="144"/>
        <v>1.135746279221235E-2</v>
      </c>
      <c r="AK44" s="8">
        <f t="shared" si="145"/>
        <v>-8.6579599729966122E-2</v>
      </c>
      <c r="AL44" s="8">
        <f t="shared" si="146"/>
        <v>1.5205848778104334E-2</v>
      </c>
      <c r="AM44" s="8">
        <f t="shared" si="147"/>
        <v>8.5987215406797893E-2</v>
      </c>
      <c r="AN44" s="8">
        <f t="shared" si="148"/>
        <v>-4.0361330724051681E-2</v>
      </c>
      <c r="AO44" s="8">
        <f t="shared" si="149"/>
        <v>-7.743372671298572E-2</v>
      </c>
      <c r="AP44" s="8">
        <f t="shared" si="150"/>
        <v>6.1779969176322516E-2</v>
      </c>
      <c r="AQ44" s="8">
        <f t="shared" si="151"/>
        <v>6.1711056214022751E-2</v>
      </c>
      <c r="AR44" s="8">
        <f t="shared" si="152"/>
        <v>-7.7478724965792486E-2</v>
      </c>
      <c r="AS44" s="8">
        <f t="shared" si="153"/>
        <v>-4.0274883341267706E-2</v>
      </c>
      <c r="AT44" s="8">
        <f t="shared" si="154"/>
        <v>8.6004132798371546E-2</v>
      </c>
      <c r="AU44" s="8">
        <f t="shared" si="155"/>
        <v>1.5109870683685847E-2</v>
      </c>
      <c r="AV44" s="8">
        <f t="shared" si="156"/>
        <v>-8.6566869967929838E-2</v>
      </c>
      <c r="AW44" s="8">
        <f t="shared" si="157"/>
        <v>1.1454085490913845E-2</v>
      </c>
      <c r="AX44" s="8">
        <f t="shared" si="158"/>
        <v>7.9114835597390479E-2</v>
      </c>
      <c r="AY44" s="8">
        <f t="shared" si="159"/>
        <v>-3.6957568086597815E-2</v>
      </c>
      <c r="AZ44" s="8">
        <f t="shared" si="160"/>
        <v>-6.4337974385122676E-2</v>
      </c>
      <c r="BA44" s="8">
        <f t="shared" si="161"/>
        <v>5.9039343682809817E-2</v>
      </c>
      <c r="BB44" s="8">
        <f t="shared" si="162"/>
        <v>4.3604398251310669E-2</v>
      </c>
      <c r="BC44" s="8">
        <f t="shared" si="163"/>
        <v>-7.5654976727368914E-2</v>
      </c>
      <c r="BD44" s="8">
        <f t="shared" si="164"/>
        <v>-1.8833720045341687E-2</v>
      </c>
      <c r="BE44" s="8">
        <f t="shared" si="165"/>
        <v>8.5266113079765352E-2</v>
      </c>
      <c r="BF44" s="8">
        <f t="shared" si="166"/>
        <v>-7.6806733194356566E-3</v>
      </c>
      <c r="BG44" s="8">
        <f t="shared" si="167"/>
        <v>-8.6982908136241044E-2</v>
      </c>
      <c r="BH44" s="8">
        <f t="shared" si="168"/>
        <v>3.348395350717185E-2</v>
      </c>
      <c r="BI44" s="8">
        <f t="shared" si="169"/>
        <v>8.0646412865093955E-2</v>
      </c>
      <c r="BJ44" s="8">
        <f t="shared" si="170"/>
        <v>-5.6187130413840457E-2</v>
      </c>
      <c r="BK44" s="8">
        <f t="shared" si="171"/>
        <v>-6.6843290062172434E-2</v>
      </c>
      <c r="BL44" s="8">
        <f t="shared" si="172"/>
        <v>7.3688236205688651E-2</v>
      </c>
      <c r="BM44" s="8">
        <f t="shared" si="173"/>
        <v>4.6851498325798213E-2</v>
      </c>
      <c r="BN44" s="8">
        <f t="shared" si="174"/>
        <v>-8.4366935474116417E-2</v>
      </c>
      <c r="BO44" s="8">
        <f t="shared" si="175"/>
        <v>-2.2521972586430242E-2</v>
      </c>
      <c r="BP44" s="8">
        <f t="shared" si="176"/>
        <v>8.7234543575522211E-2</v>
      </c>
      <c r="BQ44" s="8">
        <f t="shared" si="177"/>
        <v>-3.892744230996364E-3</v>
      </c>
      <c r="BR44" s="8">
        <f t="shared" si="178"/>
        <v>-8.2025563746446983E-2</v>
      </c>
      <c r="BS44" s="8">
        <f t="shared" si="179"/>
        <v>2.9947052318303354E-2</v>
      </c>
      <c r="BT44" s="8">
        <f t="shared" si="180"/>
        <v>6.9222268053589123E-2</v>
      </c>
      <c r="BU44" s="8">
        <f t="shared" si="181"/>
        <v>-5.3228720217516894E-2</v>
      </c>
      <c r="BV44" s="8">
        <f t="shared" si="182"/>
        <v>-5.0010046357717448E-2</v>
      </c>
      <c r="BW44" s="8">
        <f t="shared" si="183"/>
        <v>7.1582220654130224E-2</v>
      </c>
      <c r="BX44" s="8">
        <f t="shared" si="184"/>
        <v>2.6167657296255361E-2</v>
      </c>
      <c r="BY44" s="8">
        <f t="shared" si="185"/>
        <v>-8.3308299479123743E-2</v>
      </c>
      <c r="BZ44" s="8">
        <f t="shared" si="186"/>
        <v>9.7457630733060655E-5</v>
      </c>
      <c r="CA44" s="8">
        <f t="shared" si="187"/>
        <v>8.7321300680234082E-2</v>
      </c>
      <c r="CB44" s="8">
        <f t="shared" si="188"/>
        <v>-2.6353549467878289E-2</v>
      </c>
      <c r="CC44" s="8">
        <f t="shared" si="189"/>
        <v>-8.3249681566488459E-2</v>
      </c>
      <c r="CD44" s="8">
        <f t="shared" si="190"/>
        <v>5.016970466027873E-2</v>
      </c>
      <c r="CE44" s="8">
        <f t="shared" si="191"/>
        <v>7.1470411953325444E-2</v>
      </c>
      <c r="CF44" s="8">
        <f t="shared" si="192"/>
        <v>-6.934091056393521E-2</v>
      </c>
      <c r="CG44" s="8">
        <f t="shared" si="193"/>
        <v>-5.3074072508542E-2</v>
      </c>
      <c r="CH44" s="8">
        <f t="shared" si="194"/>
        <v>8.2092205978067989E-2</v>
      </c>
      <c r="CI44" s="8">
        <f t="shared" si="195"/>
        <v>2.9763883619784808E-2</v>
      </c>
      <c r="CJ44" s="8">
        <f t="shared" si="196"/>
        <v>-8.7243015474429073E-2</v>
      </c>
      <c r="CK44" s="8">
        <f t="shared" si="197"/>
        <v>-3.6980131700910268E-3</v>
      </c>
      <c r="CL44" s="8">
        <f t="shared" si="198"/>
        <v>8.4316452671713227E-2</v>
      </c>
      <c r="CM44" s="8">
        <f t="shared" si="199"/>
        <v>-2.2710236884197845E-2</v>
      </c>
      <c r="CN44" s="8">
        <f t="shared" si="200"/>
        <v>-7.3583472639338704E-2</v>
      </c>
      <c r="CO44" s="8">
        <f t="shared" si="201"/>
        <v>4.7015865458516548E-2</v>
      </c>
      <c r="CP44" s="8">
        <f t="shared" si="202"/>
        <v>5.6037785591569522E-2</v>
      </c>
      <c r="CQ44" s="8">
        <f t="shared" si="203"/>
        <v>-6.6968542140850879E-2</v>
      </c>
      <c r="CR44" s="8">
        <f t="shared" si="204"/>
        <v>-3.3303854481195647E-2</v>
      </c>
      <c r="CS44" s="8">
        <f t="shared" si="205"/>
        <v>8.0720953458027128E-2</v>
      </c>
      <c r="CT44" s="8">
        <f t="shared" si="206"/>
        <v>7.4864945120617166E-3</v>
      </c>
      <c r="CU44" s="8">
        <f t="shared" si="112"/>
        <v>-8.6999835921675775E-2</v>
      </c>
      <c r="DA44" s="20">
        <v>9.3453969138811953E-3</v>
      </c>
    </row>
    <row r="45" spans="1:105">
      <c r="A45" s="15">
        <v>43</v>
      </c>
      <c r="B45" s="16">
        <v>55</v>
      </c>
      <c r="C45" s="8">
        <f t="shared" si="113"/>
        <v>4.0073331852324712</v>
      </c>
      <c r="D45" s="8">
        <f t="shared" si="114"/>
        <v>2.9036559139784948</v>
      </c>
      <c r="E45" s="7">
        <f t="shared" si="115"/>
        <v>2.1627906976744184</v>
      </c>
      <c r="F45" s="8">
        <f>CX87</f>
        <v>5.7265444798621869E-2</v>
      </c>
      <c r="G45" s="8">
        <f>CY87</f>
        <v>0.2322724900926019</v>
      </c>
      <c r="H45" s="8">
        <f t="shared" si="119"/>
        <v>-8.3751225381738473E-2</v>
      </c>
      <c r="I45" s="8">
        <f t="shared" si="116"/>
        <v>2.0312266924506987E-2</v>
      </c>
      <c r="J45" s="8">
        <f t="shared" si="117"/>
        <v>7.6604086957159825E-2</v>
      </c>
      <c r="K45" s="8">
        <f t="shared" si="118"/>
        <v>-3.9479992426735229E-2</v>
      </c>
      <c r="L45" s="8">
        <f t="shared" si="120"/>
        <v>-6.5140514972300889E-2</v>
      </c>
      <c r="M45" s="8">
        <f t="shared" si="121"/>
        <v>5.6423126904653356E-2</v>
      </c>
      <c r="N45" s="8">
        <f t="shared" si="122"/>
        <v>5.0006450770523826E-2</v>
      </c>
      <c r="O45" s="8">
        <f t="shared" si="123"/>
        <v>-7.01869704567048E-2</v>
      </c>
      <c r="P45" s="8">
        <f t="shared" si="124"/>
        <v>-3.2054658025658676E-2</v>
      </c>
      <c r="Q45" s="8">
        <f t="shared" si="125"/>
        <v>7.999596764470851E-2</v>
      </c>
      <c r="R45" s="8">
        <f t="shared" si="126"/>
        <v>1.2296671810428835E-2</v>
      </c>
      <c r="S45" s="8">
        <f t="shared" si="127"/>
        <v>-8.5297407949724832E-2</v>
      </c>
      <c r="T45" s="8">
        <f t="shared" si="128"/>
        <v>8.1541986749568227E-3</v>
      </c>
      <c r="U45" s="8">
        <f t="shared" si="129"/>
        <v>8.579256951813781E-2</v>
      </c>
      <c r="V45" s="8">
        <f t="shared" si="130"/>
        <v>-2.8145602071629094E-2</v>
      </c>
      <c r="W45" s="8">
        <f t="shared" si="131"/>
        <v>-8.1453551331913593E-2</v>
      </c>
      <c r="X45" s="8">
        <f t="shared" si="132"/>
        <v>4.6551076751153199E-2</v>
      </c>
      <c r="Y45" s="8">
        <f t="shared" si="133"/>
        <v>7.2524845355667042E-2</v>
      </c>
      <c r="Z45" s="8">
        <f t="shared" si="134"/>
        <v>-6.2333523888187962E-2</v>
      </c>
      <c r="AA45" s="8">
        <f t="shared" si="135"/>
        <v>-5.9509560074292887E-2</v>
      </c>
      <c r="AB45" s="8">
        <f t="shared" si="136"/>
        <v>7.4603645180363345E-2</v>
      </c>
      <c r="AC45" s="8">
        <f t="shared" si="137"/>
        <v>4.3141071687634557E-2</v>
      </c>
      <c r="AD45" s="8">
        <f t="shared" si="138"/>
        <v>-8.2670052407571748E-2</v>
      </c>
      <c r="AE45" s="8">
        <f t="shared" si="139"/>
        <v>-2.4341700340865972E-2</v>
      </c>
      <c r="AF45" s="8">
        <f t="shared" si="140"/>
        <v>8.6078225292247817E-2</v>
      </c>
      <c r="AG45" s="8">
        <f t="shared" si="141"/>
        <v>4.1707398734759692E-3</v>
      </c>
      <c r="AH45" s="8">
        <f t="shared" si="142"/>
        <v>-8.4636122490345925E-2</v>
      </c>
      <c r="AI45" s="8">
        <f t="shared" si="143"/>
        <v>1.6235230529756468E-2</v>
      </c>
      <c r="AJ45" s="8">
        <f t="shared" si="144"/>
        <v>7.8425002602793767E-2</v>
      </c>
      <c r="AK45" s="8">
        <f t="shared" si="145"/>
        <v>-3.5726389508414731E-2</v>
      </c>
      <c r="AL45" s="8">
        <f t="shared" si="146"/>
        <v>-6.7794845472632564E-2</v>
      </c>
      <c r="AM45" s="8">
        <f t="shared" si="147"/>
        <v>5.320446285695446E-2</v>
      </c>
      <c r="AN45" s="8">
        <f t="shared" si="148"/>
        <v>5.3344631765389103E-2</v>
      </c>
      <c r="AO45" s="8">
        <f t="shared" si="149"/>
        <v>-6.7684608312157751E-2</v>
      </c>
      <c r="AP45" s="8">
        <f t="shared" si="150"/>
        <v>-3.5888592025107406E-2</v>
      </c>
      <c r="AQ45" s="8">
        <f t="shared" si="151"/>
        <v>7.8350908756762802E-2</v>
      </c>
      <c r="AR45" s="8">
        <f t="shared" si="152"/>
        <v>1.6410326980646126E-2</v>
      </c>
      <c r="AS45" s="8">
        <f t="shared" si="153"/>
        <v>-8.4602346947017099E-2</v>
      </c>
      <c r="AT45" s="8">
        <f t="shared" si="154"/>
        <v>3.992615700845731E-3</v>
      </c>
      <c r="AU45" s="8">
        <f t="shared" si="155"/>
        <v>8.6086671212334237E-2</v>
      </c>
      <c r="AV45" s="8">
        <f t="shared" si="156"/>
        <v>-2.4170585262900439E-2</v>
      </c>
      <c r="AW45" s="8">
        <f t="shared" si="157"/>
        <v>-8.2720243886270264E-2</v>
      </c>
      <c r="AX45" s="8">
        <f t="shared" si="158"/>
        <v>4.2986607577169406E-2</v>
      </c>
      <c r="AY45" s="8">
        <f t="shared" si="159"/>
        <v>7.4692754063306666E-2</v>
      </c>
      <c r="AZ45" s="8">
        <f t="shared" si="160"/>
        <v>-5.9380450567084291E-2</v>
      </c>
      <c r="BA45" s="8">
        <f t="shared" si="161"/>
        <v>-6.2456529130309781E-2</v>
      </c>
      <c r="BB45" s="8">
        <f t="shared" si="162"/>
        <v>7.2428365424004104E-2</v>
      </c>
      <c r="BC45" s="8">
        <f t="shared" si="163"/>
        <v>4.6701047339027656E-2</v>
      </c>
      <c r="BD45" s="8">
        <f t="shared" si="164"/>
        <v>-8.1395137359564579E-2</v>
      </c>
      <c r="BE45" s="8">
        <f t="shared" si="165"/>
        <v>-2.8314087567371637E-2</v>
      </c>
      <c r="BF45" s="8">
        <f t="shared" si="166"/>
        <v>8.5775512974796589E-2</v>
      </c>
      <c r="BG45" s="8">
        <f t="shared" si="167"/>
        <v>8.3317053755924964E-3</v>
      </c>
      <c r="BH45" s="8">
        <f t="shared" si="168"/>
        <v>-8.5322669925576439E-2</v>
      </c>
      <c r="BI45" s="8">
        <f t="shared" si="169"/>
        <v>1.212014592842457E-2</v>
      </c>
      <c r="BJ45" s="8">
        <f t="shared" si="170"/>
        <v>8.0062124695591083E-2</v>
      </c>
      <c r="BK45" s="8">
        <f t="shared" si="171"/>
        <v>-3.1889059719326936E-2</v>
      </c>
      <c r="BL45" s="8">
        <f t="shared" si="172"/>
        <v>-7.0290294811345633E-2</v>
      </c>
      <c r="BM45" s="8">
        <f t="shared" si="173"/>
        <v>4.9861111057509469E-2</v>
      </c>
      <c r="BN45" s="8">
        <f t="shared" si="174"/>
        <v>5.6557796514521586E-2</v>
      </c>
      <c r="BO45" s="8">
        <f t="shared" si="175"/>
        <v>-6.5023623353187149E-2</v>
      </c>
      <c r="BP45" s="8">
        <f t="shared" si="176"/>
        <v>-3.963841902276237E-2</v>
      </c>
      <c r="BQ45" s="8">
        <f t="shared" si="177"/>
        <v>7.6522229959215676E-2</v>
      </c>
      <c r="BR45" s="8">
        <f t="shared" si="178"/>
        <v>2.0485523595569963E-2</v>
      </c>
      <c r="BS45" s="8">
        <f t="shared" si="179"/>
        <v>-8.3709015425881814E-2</v>
      </c>
      <c r="BT45" s="8">
        <f t="shared" si="180"/>
        <v>-1.7832420027099651E-4</v>
      </c>
      <c r="BU45" s="8">
        <f t="shared" si="181"/>
        <v>8.6179023787896158E-2</v>
      </c>
      <c r="BV45" s="8">
        <f t="shared" si="182"/>
        <v>-2.0138923282450386E-2</v>
      </c>
      <c r="BW45" s="8">
        <f t="shared" si="183"/>
        <v>-8.3793076740138583E-2</v>
      </c>
      <c r="BX45" s="8">
        <f t="shared" si="184"/>
        <v>3.9321396789301646E-2</v>
      </c>
      <c r="BY45" s="8">
        <f t="shared" si="185"/>
        <v>7.6685615959536199E-2</v>
      </c>
      <c r="BZ45" s="8">
        <f t="shared" si="186"/>
        <v>-5.6288215707993888E-2</v>
      </c>
      <c r="CA45" s="8">
        <f t="shared" si="187"/>
        <v>-6.525712767940009E-2</v>
      </c>
      <c r="CB45" s="8">
        <f t="shared" si="188"/>
        <v>7.0083345582650725E-2</v>
      </c>
      <c r="CC45" s="8">
        <f t="shared" si="189"/>
        <v>5.0151576371016741E-2</v>
      </c>
      <c r="CD45" s="8">
        <f t="shared" si="190"/>
        <v>-7.9929468075249172E-2</v>
      </c>
      <c r="CE45" s="8">
        <f t="shared" si="191"/>
        <v>-3.2220119083623773E-2</v>
      </c>
      <c r="CF45" s="8">
        <f t="shared" si="192"/>
        <v>8.5271780756129706E-2</v>
      </c>
      <c r="CG45" s="8">
        <f t="shared" si="193"/>
        <v>1.2473145041797652E-2</v>
      </c>
      <c r="CH45" s="8">
        <f t="shared" si="194"/>
        <v>-8.5809258723603218E-2</v>
      </c>
      <c r="CI45" s="8">
        <f t="shared" si="195"/>
        <v>7.9766570605047573E-3</v>
      </c>
      <c r="CJ45" s="8">
        <f t="shared" si="196"/>
        <v>8.1511616544752627E-2</v>
      </c>
      <c r="CK45" s="8">
        <f t="shared" si="197"/>
        <v>-2.7976996064917051E-2</v>
      </c>
      <c r="CL45" s="8">
        <f t="shared" si="198"/>
        <v>-7.2621014757842578E-2</v>
      </c>
      <c r="CM45" s="8">
        <f t="shared" si="199"/>
        <v>4.6400906845625187E-2</v>
      </c>
      <c r="CN45" s="8">
        <f t="shared" si="200"/>
        <v>5.9638414779535437E-2</v>
      </c>
      <c r="CO45" s="8">
        <f t="shared" si="201"/>
        <v>-6.2210251752739795E-2</v>
      </c>
      <c r="CP45" s="8">
        <f t="shared" si="202"/>
        <v>-4.3295351081058121E-2</v>
      </c>
      <c r="CQ45" s="8">
        <f t="shared" si="203"/>
        <v>7.4514216867139479E-2</v>
      </c>
      <c r="CR45" s="8">
        <f t="shared" si="204"/>
        <v>2.4512711195020548E-2</v>
      </c>
      <c r="CS45" s="8">
        <f t="shared" si="205"/>
        <v>-8.2619506960672967E-2</v>
      </c>
      <c r="CT45" s="8">
        <f t="shared" si="206"/>
        <v>-4.3488461882562881E-3</v>
      </c>
      <c r="CU45" s="8">
        <f t="shared" si="112"/>
        <v>8.6069410811193917E-2</v>
      </c>
      <c r="CX45">
        <v>0.121890660628312</v>
      </c>
      <c r="CY45">
        <v>0.49729343134496856</v>
      </c>
      <c r="DA45" s="21"/>
    </row>
    <row r="46" spans="1:105">
      <c r="A46" s="15">
        <v>44</v>
      </c>
      <c r="B46" s="16">
        <v>59</v>
      </c>
      <c r="C46" s="8">
        <f t="shared" si="113"/>
        <v>4.0775374439057197</v>
      </c>
      <c r="D46" s="8">
        <f t="shared" si="114"/>
        <v>2.9711827956989247</v>
      </c>
      <c r="E46" s="7">
        <f t="shared" si="115"/>
        <v>2.1136363636363638</v>
      </c>
      <c r="F46" s="8">
        <f>CX89</f>
        <v>0.10287074437390265</v>
      </c>
      <c r="G46" s="8">
        <f>CY89</f>
        <v>0.41897288879329941</v>
      </c>
      <c r="H46" s="8">
        <f t="shared" si="119"/>
        <v>-8.6418832565524531E-2</v>
      </c>
      <c r="I46" s="8">
        <f t="shared" si="116"/>
        <v>1.4870847853399644E-2</v>
      </c>
      <c r="J46" s="8">
        <f t="shared" si="117"/>
        <v>8.2645193617471482E-2</v>
      </c>
      <c r="K46" s="8">
        <f t="shared" si="118"/>
        <v>-2.9310897458074817E-2</v>
      </c>
      <c r="L46" s="8">
        <f t="shared" si="120"/>
        <v>-7.6477380172652126E-2</v>
      </c>
      <c r="M46" s="8">
        <f t="shared" si="121"/>
        <v>4.2901830494685912E-2</v>
      </c>
      <c r="N46" s="8">
        <f t="shared" si="122"/>
        <v>6.8094069550388173E-2</v>
      </c>
      <c r="O46" s="8">
        <f t="shared" si="123"/>
        <v>-5.5249926967680461E-2</v>
      </c>
      <c r="P46" s="8">
        <f t="shared" si="124"/>
        <v>-5.7738120501585319E-2</v>
      </c>
      <c r="Q46" s="8">
        <f t="shared" si="125"/>
        <v>6.5997471003149344E-2</v>
      </c>
      <c r="R46" s="8">
        <f t="shared" si="126"/>
        <v>4.5709537757519604E-2</v>
      </c>
      <c r="S46" s="8">
        <f t="shared" si="127"/>
        <v>-7.4833113632007967E-2</v>
      </c>
      <c r="T46" s="8">
        <f t="shared" si="128"/>
        <v>-3.2356781098820835E-2</v>
      </c>
      <c r="U46" s="8">
        <f t="shared" si="129"/>
        <v>8.1500892355790291E-2</v>
      </c>
      <c r="V46" s="8">
        <f t="shared" si="130"/>
        <v>1.8066670714958231E-2</v>
      </c>
      <c r="W46" s="8">
        <f t="shared" si="131"/>
        <v>-8.5807646204428642E-2</v>
      </c>
      <c r="X46" s="8">
        <f t="shared" si="132"/>
        <v>-3.2531812890253145E-3</v>
      </c>
      <c r="Y46" s="8">
        <f t="shared" si="133"/>
        <v>8.7628611476890717E-2</v>
      </c>
      <c r="Z46" s="8">
        <f t="shared" si="134"/>
        <v>-1.1654550564502575E-2</v>
      </c>
      <c r="AA46" s="8">
        <f t="shared" si="135"/>
        <v>-8.6911036059907715E-2</v>
      </c>
      <c r="AB46" s="8">
        <f t="shared" si="136"/>
        <v>2.6224658092749584E-2</v>
      </c>
      <c r="AC46" s="8">
        <f t="shared" si="137"/>
        <v>8.3675707620464793E-2</v>
      </c>
      <c r="AD46" s="8">
        <f t="shared" si="138"/>
        <v>-4.0035055287656031E-2</v>
      </c>
      <c r="AE46" s="8">
        <f t="shared" si="139"/>
        <v>-7.8016351401366174E-2</v>
      </c>
      <c r="AF46" s="8">
        <f t="shared" si="140"/>
        <v>5.2685664427736908E-2</v>
      </c>
      <c r="AG46" s="8">
        <f t="shared" si="141"/>
        <v>7.009691506532241E-2</v>
      </c>
      <c r="AH46" s="8">
        <f t="shared" si="142"/>
        <v>-6.3810006054888721E-2</v>
      </c>
      <c r="AI46" s="8">
        <f t="shared" si="143"/>
        <v>-6.0146819243765422E-2</v>
      </c>
      <c r="AJ46" s="8">
        <f t="shared" si="144"/>
        <v>7.3085815632587453E-2</v>
      </c>
      <c r="AK46" s="8">
        <f t="shared" si="145"/>
        <v>4.8454311378726266E-2</v>
      </c>
      <c r="AL46" s="8">
        <f t="shared" si="146"/>
        <v>-8.0244379328174964E-2</v>
      </c>
      <c r="AM46" s="8">
        <f t="shared" si="147"/>
        <v>-3.5358115392411585E-2</v>
      </c>
      <c r="AN46" s="8">
        <f t="shared" si="148"/>
        <v>8.5078318468030906E-2</v>
      </c>
      <c r="AO46" s="8">
        <f t="shared" si="149"/>
        <v>2.1237619087822387E-2</v>
      </c>
      <c r="AP46" s="8">
        <f t="shared" si="150"/>
        <v>-8.7447597155317344E-2</v>
      </c>
      <c r="AQ46" s="8">
        <f t="shared" si="151"/>
        <v>-6.5018835446708275E-3</v>
      </c>
      <c r="AR46" s="8">
        <f t="shared" si="152"/>
        <v>8.7283579013730614E-2</v>
      </c>
      <c r="AS46" s="8">
        <f t="shared" si="153"/>
        <v>-8.4222070991499479E-3</v>
      </c>
      <c r="AT46" s="8">
        <f t="shared" si="154"/>
        <v>-8.4591015536181466E-2</v>
      </c>
      <c r="AU46" s="8">
        <f t="shared" si="155"/>
        <v>2.3102312187844545E-2</v>
      </c>
      <c r="AV46" s="8">
        <f t="shared" si="156"/>
        <v>7.9447908437309644E-2</v>
      </c>
      <c r="AW46" s="8">
        <f t="shared" si="157"/>
        <v>-3.7113159159575561E-2</v>
      </c>
      <c r="AX46" s="8">
        <f t="shared" si="158"/>
        <v>-7.2003249997382363E-2</v>
      </c>
      <c r="AY46" s="8">
        <f t="shared" si="159"/>
        <v>5.0048863400496746E-2</v>
      </c>
      <c r="AZ46" s="8">
        <f t="shared" si="160"/>
        <v>6.2472706858269264E-2</v>
      </c>
      <c r="BA46" s="8">
        <f t="shared" si="161"/>
        <v>-6.1534686443240151E-2</v>
      </c>
      <c r="BB46" s="8">
        <f t="shared" si="162"/>
        <v>-5.113237230894558E-2</v>
      </c>
      <c r="BC46" s="8">
        <f t="shared" si="163"/>
        <v>7.123789188294738E-2</v>
      </c>
      <c r="BD46" s="8">
        <f t="shared" si="164"/>
        <v>3.8310768052542875E-2</v>
      </c>
      <c r="BE46" s="8">
        <f t="shared" si="165"/>
        <v>-7.8877384522379954E-2</v>
      </c>
      <c r="BF46" s="8">
        <f t="shared" si="166"/>
        <v>-2.4379327158241128E-2</v>
      </c>
      <c r="BG46" s="8">
        <f t="shared" si="167"/>
        <v>8.4231853506726143E-2</v>
      </c>
      <c r="BH46" s="8">
        <f t="shared" si="168"/>
        <v>9.7416339003627717E-3</v>
      </c>
      <c r="BI46" s="8">
        <f t="shared" si="169"/>
        <v>-8.7146183547063202E-2</v>
      </c>
      <c r="BJ46" s="8">
        <f t="shared" si="170"/>
        <v>5.1782678008648227E-3</v>
      </c>
      <c r="BK46" s="8">
        <f t="shared" si="171"/>
        <v>8.7535948503741315E-2</v>
      </c>
      <c r="BL46" s="8">
        <f t="shared" si="172"/>
        <v>-1.9948158640435525E-2</v>
      </c>
      <c r="BM46" s="8">
        <f t="shared" si="173"/>
        <v>-8.5389857153663998E-2</v>
      </c>
      <c r="BN46" s="8">
        <f t="shared" si="174"/>
        <v>3.4140165024978693E-2</v>
      </c>
      <c r="BO46" s="8">
        <f t="shared" si="175"/>
        <v>8.0770080289265203E-2</v>
      </c>
      <c r="BP46" s="8">
        <f t="shared" si="176"/>
        <v>-4.7343154276879795E-2</v>
      </c>
      <c r="BQ46" s="8">
        <f t="shared" si="177"/>
        <v>-7.3810449673353734E-2</v>
      </c>
      <c r="BR46" s="8">
        <f t="shared" si="178"/>
        <v>5.9174644865581938E-2</v>
      </c>
      <c r="BS46" s="8">
        <f t="shared" si="179"/>
        <v>6.4712581024862409E-2</v>
      </c>
      <c r="BT46" s="8">
        <f t="shared" si="180"/>
        <v>-6.929188663482902E-2</v>
      </c>
      <c r="BU46" s="8">
        <f t="shared" si="181"/>
        <v>-5.3740033349944323E-2</v>
      </c>
      <c r="BV46" s="8">
        <f t="shared" si="182"/>
        <v>7.7401790039285073E-2</v>
      </c>
      <c r="BW46" s="8">
        <f t="shared" si="183"/>
        <v>4.1210673818581969E-2</v>
      </c>
      <c r="BX46" s="8">
        <f t="shared" si="184"/>
        <v>-8.3269416747362879E-2</v>
      </c>
      <c r="BY46" s="8">
        <f t="shared" si="185"/>
        <v>-2.7487469370990277E-2</v>
      </c>
      <c r="BZ46" s="8">
        <f t="shared" si="186"/>
        <v>8.6724785643329805E-2</v>
      </c>
      <c r="CA46" s="8">
        <f t="shared" si="187"/>
        <v>1.2967971814652604E-2</v>
      </c>
      <c r="CB46" s="8">
        <f t="shared" si="188"/>
        <v>-8.7667797063485001E-2</v>
      </c>
      <c r="CC46" s="8">
        <f t="shared" si="189"/>
        <v>1.9271989785006329E-3</v>
      </c>
      <c r="CD46" s="8">
        <f t="shared" si="190"/>
        <v>8.6071132614664911E-2</v>
      </c>
      <c r="CE46" s="8">
        <f t="shared" si="191"/>
        <v>-1.6766540140884575E-2</v>
      </c>
      <c r="CF46" s="8">
        <f t="shared" si="192"/>
        <v>-8.1981046569331459E-2</v>
      </c>
      <c r="CG46" s="8">
        <f t="shared" si="193"/>
        <v>3.1120166150974047E-2</v>
      </c>
      <c r="CH46" s="8">
        <f t="shared" si="194"/>
        <v>7.5516025911067111E-2</v>
      </c>
      <c r="CI46" s="8">
        <f t="shared" si="195"/>
        <v>-4.4572262321607214E-2</v>
      </c>
      <c r="CJ46" s="8">
        <f t="shared" si="196"/>
        <v>-6.6863357848039401E-2</v>
      </c>
      <c r="CK46" s="8">
        <f t="shared" si="197"/>
        <v>5.6733130665882994E-2</v>
      </c>
      <c r="CL46" s="8">
        <f t="shared" si="198"/>
        <v>5.6273704231213938E-2</v>
      </c>
      <c r="CM46" s="8">
        <f t="shared" si="199"/>
        <v>-6.7250479180188602E-2</v>
      </c>
      <c r="CN46" s="8">
        <f t="shared" si="200"/>
        <v>-4.4053840052687601E-2</v>
      </c>
      <c r="CO46" s="8">
        <f t="shared" si="201"/>
        <v>7.5819627501586564E-2</v>
      </c>
      <c r="CP46" s="8">
        <f t="shared" si="202"/>
        <v>3.0557766384870795E-2</v>
      </c>
      <c r="CQ46" s="8">
        <f t="shared" si="203"/>
        <v>-8.2192333288663766E-2</v>
      </c>
      <c r="CR46" s="8">
        <f t="shared" si="204"/>
        <v>-1.6176455212558082E-2</v>
      </c>
      <c r="CS46" s="8">
        <f t="shared" si="205"/>
        <v>8.6183983631665753E-2</v>
      </c>
      <c r="CT46" s="8">
        <f t="shared" si="206"/>
        <v>1.3265232430403405E-3</v>
      </c>
      <c r="CU46" s="8">
        <f t="shared" si="112"/>
        <v>-8.7678943161701023E-2</v>
      </c>
      <c r="DA46" s="20">
        <v>4.2800164251133458E-3</v>
      </c>
    </row>
    <row r="47" spans="1:105">
      <c r="A47" s="15">
        <v>45</v>
      </c>
      <c r="B47" s="16">
        <v>61</v>
      </c>
      <c r="C47" s="8">
        <f t="shared" si="113"/>
        <v>4.1108738641733114</v>
      </c>
      <c r="D47" s="8">
        <f t="shared" si="114"/>
        <v>3.0387096774193552</v>
      </c>
      <c r="E47" s="7">
        <f t="shared" si="115"/>
        <v>2.0666666666666664</v>
      </c>
      <c r="F47" s="8">
        <f>CX91</f>
        <v>0.16879228573882712</v>
      </c>
      <c r="G47" s="8">
        <f>CY91</f>
        <v>0.69158497216986548</v>
      </c>
      <c r="H47" s="8">
        <f t="shared" si="119"/>
        <v>-8.793841806550616E-2</v>
      </c>
      <c r="I47" s="8">
        <f t="shared" si="116"/>
        <v>9.0794237502652697E-3</v>
      </c>
      <c r="J47" s="8">
        <f t="shared" si="117"/>
        <v>8.6540947384697059E-2</v>
      </c>
      <c r="K47" s="8">
        <f t="shared" si="118"/>
        <v>-1.8062827388305343E-2</v>
      </c>
      <c r="L47" s="8">
        <f t="shared" si="120"/>
        <v>-8.4228256563434606E-2</v>
      </c>
      <c r="M47" s="8">
        <f t="shared" si="121"/>
        <v>2.6855206269638939E-2</v>
      </c>
      <c r="N47" s="8">
        <f t="shared" si="122"/>
        <v>8.1024803633231321E-2</v>
      </c>
      <c r="O47" s="8">
        <f t="shared" si="123"/>
        <v>-3.5363575946118955E-2</v>
      </c>
      <c r="P47" s="8">
        <f t="shared" si="124"/>
        <v>-7.6964466945657423E-2</v>
      </c>
      <c r="Q47" s="8">
        <f t="shared" si="125"/>
        <v>4.3497955529788128E-2</v>
      </c>
      <c r="R47" s="8">
        <f t="shared" si="126"/>
        <v>7.2090186889347305E-2</v>
      </c>
      <c r="S47" s="8">
        <f t="shared" si="127"/>
        <v>-5.1172319292363502E-2</v>
      </c>
      <c r="T47" s="8">
        <f t="shared" si="128"/>
        <v>-6.6453511770768137E-2</v>
      </c>
      <c r="U47" s="8">
        <f t="shared" si="129"/>
        <v>5.8305506436639419E-2</v>
      </c>
      <c r="V47" s="8">
        <f t="shared" si="130"/>
        <v>6.0114052661321575E-2</v>
      </c>
      <c r="W47" s="8">
        <f t="shared" si="131"/>
        <v>-6.4822079418454914E-2</v>
      </c>
      <c r="X47" s="8">
        <f t="shared" si="132"/>
        <v>-5.3138852976083201E-2</v>
      </c>
      <c r="Y47" s="8">
        <f t="shared" si="133"/>
        <v>7.0653121741978478E-2</v>
      </c>
      <c r="Z47" s="8">
        <f t="shared" si="134"/>
        <v>4.5601679451245956E-2</v>
      </c>
      <c r="AA47" s="8">
        <f t="shared" si="135"/>
        <v>-7.5736966791167648E-2</v>
      </c>
      <c r="AB47" s="8">
        <f t="shared" si="136"/>
        <v>-3.7582242018587682E-2</v>
      </c>
      <c r="AC47" s="8">
        <f t="shared" si="137"/>
        <v>8.0019849989592717E-2</v>
      </c>
      <c r="AD47" s="8">
        <f t="shared" si="138"/>
        <v>2.9165350827237514E-2</v>
      </c>
      <c r="AE47" s="8">
        <f t="shared" si="139"/>
        <v>-8.3456477391660719E-2</v>
      </c>
      <c r="AF47" s="8">
        <f t="shared" si="140"/>
        <v>-2.044001932771947E-2</v>
      </c>
      <c r="AG47" s="8">
        <f t="shared" si="141"/>
        <v>8.601050469206116E-2</v>
      </c>
      <c r="AH47" s="8">
        <f t="shared" si="142"/>
        <v>1.1498522903673531E-2</v>
      </c>
      <c r="AI47" s="8">
        <f t="shared" si="143"/>
        <v>-8.7654921587634285E-2</v>
      </c>
      <c r="AJ47" s="8">
        <f t="shared" si="144"/>
        <v>-2.4354230067637514E-3</v>
      </c>
      <c r="AK47" s="8">
        <f t="shared" si="145"/>
        <v>8.8372337426814426E-2</v>
      </c>
      <c r="AL47" s="8">
        <f t="shared" si="146"/>
        <v>-6.6534328848938734E-3</v>
      </c>
      <c r="AM47" s="8">
        <f t="shared" si="147"/>
        <v>-8.8155165125741966E-2</v>
      </c>
      <c r="AN47" s="8">
        <f t="shared" si="148"/>
        <v>1.5671924908770611E-2</v>
      </c>
      <c r="AO47" s="8">
        <f t="shared" si="149"/>
        <v>8.7005701406025537E-2</v>
      </c>
      <c r="AP47" s="8">
        <f t="shared" si="150"/>
        <v>-2.4524677340585565E-2</v>
      </c>
      <c r="AQ47" s="8">
        <f t="shared" si="151"/>
        <v>-8.4936102505594108E-2</v>
      </c>
      <c r="AR47" s="8">
        <f t="shared" si="152"/>
        <v>3.3118067247277602E-2</v>
      </c>
      <c r="AS47" s="8">
        <f t="shared" si="153"/>
        <v>8.1968255619510516E-2</v>
      </c>
      <c r="AT47" s="8">
        <f t="shared" si="154"/>
        <v>-4.1361214603205083E-2</v>
      </c>
      <c r="AU47" s="8">
        <f t="shared" si="155"/>
        <v>-7.8133547430333877E-2</v>
      </c>
      <c r="AV47" s="8">
        <f t="shared" si="156"/>
        <v>4.9166943398526869E-2</v>
      </c>
      <c r="AW47" s="8">
        <f t="shared" si="157"/>
        <v>7.3472532175954536E-2</v>
      </c>
      <c r="AX47" s="8">
        <f t="shared" si="158"/>
        <v>-5.6452703575492397E-2</v>
      </c>
      <c r="AY47" s="8">
        <f t="shared" si="159"/>
        <v>-6.8034502765274965E-2</v>
      </c>
      <c r="AZ47" s="8">
        <f t="shared" si="160"/>
        <v>6.314144404263547E-2</v>
      </c>
      <c r="BA47" s="8">
        <f t="shared" si="161"/>
        <v>6.187696947743445E-2</v>
      </c>
      <c r="BB47" s="8">
        <f t="shared" si="162"/>
        <v>-6.916242753424913E-2</v>
      </c>
      <c r="BC47" s="8">
        <f t="shared" si="163"/>
        <v>-5.5065051757628991E-2</v>
      </c>
      <c r="BD47" s="8">
        <f t="shared" si="164"/>
        <v>7.4451978697526691E-2</v>
      </c>
      <c r="BE47" s="8">
        <f t="shared" si="165"/>
        <v>4.7670789541643339E-2</v>
      </c>
      <c r="BF47" s="8">
        <f t="shared" si="166"/>
        <v>-7.8954157495931238E-2</v>
      </c>
      <c r="BG47" s="8">
        <f t="shared" si="167"/>
        <v>-3.9772381392221216E-2</v>
      </c>
      <c r="BH47" s="8">
        <f t="shared" si="168"/>
        <v>8.2621350807158517E-2</v>
      </c>
      <c r="BI47" s="8">
        <f t="shared" si="169"/>
        <v>3.1453357504423372E-2</v>
      </c>
      <c r="BJ47" s="8">
        <f t="shared" si="170"/>
        <v>-8.541477595920445E-2</v>
      </c>
      <c r="BK47" s="8">
        <f t="shared" si="171"/>
        <v>-2.2801696325921224E-2</v>
      </c>
      <c r="BL47" s="8">
        <f t="shared" si="172"/>
        <v>8.7304890879358804E-2</v>
      </c>
      <c r="BM47" s="8">
        <f t="shared" si="173"/>
        <v>1.3908894134469199E-2</v>
      </c>
      <c r="BN47" s="8">
        <f t="shared" si="174"/>
        <v>-8.8271706518564683E-2</v>
      </c>
      <c r="BO47" s="8">
        <f t="shared" si="175"/>
        <v>-4.8689974123020657E-3</v>
      </c>
      <c r="BP47" s="8">
        <f t="shared" si="176"/>
        <v>8.8304998247073774E-2</v>
      </c>
      <c r="BQ47" s="8">
        <f t="shared" si="177"/>
        <v>-4.2223917493428203E-3</v>
      </c>
      <c r="BR47" s="8">
        <f t="shared" si="178"/>
        <v>-8.7404413985767676E-2</v>
      </c>
      <c r="BS47" s="8">
        <f t="shared" si="179"/>
        <v>1.3269126697155307E-2</v>
      </c>
      <c r="BT47" s="8">
        <f t="shared" si="180"/>
        <v>8.5579477929597192E-2</v>
      </c>
      <c r="BU47" s="8">
        <f t="shared" si="181"/>
        <v>-2.2175533021738351E-2</v>
      </c>
      <c r="BV47" s="8">
        <f t="shared" si="182"/>
        <v>-8.284948982375992E-2</v>
      </c>
      <c r="BW47" s="8">
        <f t="shared" si="183"/>
        <v>3.084742036934892E-2</v>
      </c>
      <c r="BX47" s="8">
        <f t="shared" si="184"/>
        <v>7.9243320857827398E-2</v>
      </c>
      <c r="BY47" s="8">
        <f t="shared" si="185"/>
        <v>-3.9193078558899128E-2</v>
      </c>
      <c r="BZ47" s="8">
        <f t="shared" si="186"/>
        <v>-7.4799108336361012E-2</v>
      </c>
      <c r="CA47" s="8">
        <f t="shared" si="187"/>
        <v>4.7124247469704485E-2</v>
      </c>
      <c r="CB47" s="8">
        <f t="shared" si="188"/>
        <v>6.9563852355050249E-2</v>
      </c>
      <c r="CC47" s="8">
        <f t="shared" si="189"/>
        <v>-5.4557050442865684E-2</v>
      </c>
      <c r="CD47" s="8">
        <f t="shared" si="190"/>
        <v>-6.3592918747750637E-2</v>
      </c>
      <c r="CE47" s="8">
        <f t="shared" si="191"/>
        <v>6.1412881325033156E-2</v>
      </c>
      <c r="CF47" s="8">
        <f t="shared" si="192"/>
        <v>5.6949453561042404E-2</v>
      </c>
      <c r="CG47" s="8">
        <f t="shared" si="193"/>
        <v>-6.7619235773552597E-2</v>
      </c>
      <c r="CH47" s="8">
        <f t="shared" si="194"/>
        <v>-4.9703715248581692E-2</v>
      </c>
      <c r="CI47" s="8">
        <f t="shared" si="195"/>
        <v>7.3110478031459536E-2</v>
      </c>
      <c r="CJ47" s="8">
        <f t="shared" si="196"/>
        <v>4.1932331647669789E-2</v>
      </c>
      <c r="CK47" s="8">
        <f t="shared" si="197"/>
        <v>-7.782853506324304E-2</v>
      </c>
      <c r="CL47" s="8">
        <f t="shared" si="198"/>
        <v>-3.3717489595934312E-2</v>
      </c>
      <c r="CM47" s="8">
        <f t="shared" si="199"/>
        <v>8.1723510710496772E-2</v>
      </c>
      <c r="CN47" s="8">
        <f t="shared" si="200"/>
        <v>2.5146065758393496E-2</v>
      </c>
      <c r="CO47" s="8">
        <f t="shared" si="201"/>
        <v>-8.4754213372405088E-2</v>
      </c>
      <c r="CP47" s="8">
        <f t="shared" si="202"/>
        <v>-1.630870785691128E-2</v>
      </c>
      <c r="CQ47" s="8">
        <f t="shared" si="203"/>
        <v>8.6888591630538817E-2</v>
      </c>
      <c r="CR47" s="8">
        <f t="shared" si="204"/>
        <v>7.2988760185646222E-3</v>
      </c>
      <c r="CS47" s="8">
        <f t="shared" si="205"/>
        <v>-8.8104073210982944E-2</v>
      </c>
      <c r="CT47" s="8">
        <f t="shared" si="206"/>
        <v>1.7881456187907182E-3</v>
      </c>
      <c r="CU47" s="8">
        <f t="shared" si="112"/>
        <v>8.8387803699077283E-2</v>
      </c>
      <c r="CX47">
        <v>0.14627738974324678</v>
      </c>
      <c r="CY47">
        <v>0.59810959572897648</v>
      </c>
      <c r="DA47" s="21"/>
    </row>
    <row r="48" spans="1:105">
      <c r="A48" s="15">
        <v>46</v>
      </c>
      <c r="B48" s="16">
        <v>50</v>
      </c>
      <c r="C48" s="8">
        <f t="shared" si="113"/>
        <v>3.912023005428146</v>
      </c>
      <c r="D48" s="8">
        <f t="shared" si="114"/>
        <v>3.1062365591397847</v>
      </c>
      <c r="E48" s="7">
        <f t="shared" si="115"/>
        <v>2.0217391304347827</v>
      </c>
      <c r="F48" s="8">
        <f>CX93</f>
        <v>0.16111790628315859</v>
      </c>
      <c r="G48" s="8">
        <f>CY93</f>
        <v>0.65968013201174935</v>
      </c>
      <c r="H48" s="8">
        <f t="shared" si="119"/>
        <v>-8.4076949274624183E-2</v>
      </c>
      <c r="I48" s="8">
        <f t="shared" si="116"/>
        <v>2.9738718291144285E-3</v>
      </c>
      <c r="J48" s="8">
        <f t="shared" si="117"/>
        <v>8.3919281821249303E-2</v>
      </c>
      <c r="K48" s="8">
        <f t="shared" si="118"/>
        <v>-5.9440265468336728E-3</v>
      </c>
      <c r="L48" s="8">
        <f t="shared" si="120"/>
        <v>-8.3656721710538104E-2</v>
      </c>
      <c r="M48" s="8">
        <f t="shared" si="121"/>
        <v>8.906751687866284E-3</v>
      </c>
      <c r="N48" s="8">
        <f t="shared" si="122"/>
        <v>8.3289597122464545E-2</v>
      </c>
      <c r="O48" s="8">
        <f t="shared" si="123"/>
        <v>-1.1858344073321234E-2</v>
      </c>
      <c r="P48" s="8">
        <f t="shared" si="124"/>
        <v>-8.2818366934568816E-2</v>
      </c>
      <c r="Q48" s="8">
        <f t="shared" si="125"/>
        <v>1.4795114439396793E-2</v>
      </c>
      <c r="R48" s="8">
        <f t="shared" si="126"/>
        <v>8.224362014839566E-2</v>
      </c>
      <c r="S48" s="8">
        <f t="shared" si="127"/>
        <v>-1.771339204867706E-2</v>
      </c>
      <c r="T48" s="8">
        <f t="shared" si="128"/>
        <v>-8.1566075153287607E-2</v>
      </c>
      <c r="U48" s="8">
        <f t="shared" si="129"/>
        <v>2.0609529278272348E-2</v>
      </c>
      <c r="V48" s="8">
        <f t="shared" si="130"/>
        <v>8.0786578828453623E-2</v>
      </c>
      <c r="W48" s="8">
        <f t="shared" si="131"/>
        <v>-2.3479906179066756E-2</v>
      </c>
      <c r="X48" s="8">
        <f t="shared" si="132"/>
        <v>-7.9906105484434969E-2</v>
      </c>
      <c r="Y48" s="8">
        <f t="shared" si="133"/>
        <v>2.6320935000377171E-2</v>
      </c>
      <c r="Z48" s="8">
        <f t="shared" si="134"/>
        <v>7.8925755645291959E-2</v>
      </c>
      <c r="AA48" s="8">
        <f t="shared" si="135"/>
        <v>-2.912906467436591E-2</v>
      </c>
      <c r="AB48" s="8">
        <f t="shared" si="136"/>
        <v>-7.7846754673033369E-2</v>
      </c>
      <c r="AC48" s="8">
        <f t="shared" si="137"/>
        <v>3.1900785254602826E-2</v>
      </c>
      <c r="AD48" s="8">
        <f t="shared" si="138"/>
        <v>7.6670451236008144E-2</v>
      </c>
      <c r="AE48" s="8">
        <f t="shared" si="139"/>
        <v>-3.4632632303228481E-2</v>
      </c>
      <c r="AF48" s="8">
        <f t="shared" si="140"/>
        <v>-7.5398315623172951E-2</v>
      </c>
      <c r="AG48" s="8">
        <f t="shared" si="141"/>
        <v>3.7321191221236782E-2</v>
      </c>
      <c r="AH48" s="8">
        <f t="shared" si="142"/>
        <v>7.4031937906345241E-2</v>
      </c>
      <c r="AI48" s="8">
        <f t="shared" si="143"/>
        <v>-3.9963101516458543E-2</v>
      </c>
      <c r="AJ48" s="8">
        <f t="shared" si="144"/>
        <v>-7.2573025952733669E-2</v>
      </c>
      <c r="AK48" s="8">
        <f t="shared" si="145"/>
        <v>4.2555061003922597E-2</v>
      </c>
      <c r="AL48" s="8">
        <f t="shared" si="146"/>
        <v>7.1023403290237472E-2</v>
      </c>
      <c r="AM48" s="8">
        <f t="shared" si="147"/>
        <v>-4.5093829933329173E-2</v>
      </c>
      <c r="AN48" s="8">
        <f t="shared" si="148"/>
        <v>-6.9385006828174556E-2</v>
      </c>
      <c r="AO48" s="8">
        <f t="shared" si="149"/>
        <v>4.7576235038492669E-2</v>
      </c>
      <c r="AP48" s="8">
        <f t="shared" si="150"/>
        <v>6.7659884436294504E-2</v>
      </c>
      <c r="AQ48" s="8">
        <f t="shared" si="151"/>
        <v>-4.999917350367903E-2</v>
      </c>
      <c r="AR48" s="8">
        <f t="shared" si="152"/>
        <v>-6.5850192385099704E-2</v>
      </c>
      <c r="AS48" s="8">
        <f t="shared" si="153"/>
        <v>5.2359616841885739E-2</v>
      </c>
      <c r="AT48" s="8">
        <f t="shared" si="154"/>
        <v>6.3958192650670376E-2</v>
      </c>
      <c r="AU48" s="8">
        <f t="shared" si="155"/>
        <v>-5.4654614680221307E-2</v>
      </c>
      <c r="AV48" s="8">
        <f t="shared" si="156"/>
        <v>-6.1986250087370687E-2</v>
      </c>
      <c r="AW48" s="8">
        <f t="shared" si="157"/>
        <v>5.6881298447641518E-2</v>
      </c>
      <c r="AX48" s="8">
        <f t="shared" si="158"/>
        <v>5.9936829471961432E-2</v>
      </c>
      <c r="AY48" s="8">
        <f t="shared" si="159"/>
        <v>-5.9036884960444382E-2</v>
      </c>
      <c r="AZ48" s="8">
        <f t="shared" si="160"/>
        <v>-5.7812492422817455E-2</v>
      </c>
      <c r="BA48" s="8">
        <f t="shared" si="161"/>
        <v>6.1118679901036831E-2</v>
      </c>
      <c r="BB48" s="8">
        <f t="shared" si="162"/>
        <v>5.5615894198102638E-2</v>
      </c>
      <c r="BC48" s="8">
        <f t="shared" si="163"/>
        <v>-6.312408118562346E-2</v>
      </c>
      <c r="BD48" s="8">
        <f t="shared" si="164"/>
        <v>-5.3349780376900705E-2</v>
      </c>
      <c r="BE48" s="8">
        <f t="shared" si="165"/>
        <v>6.5050582216611932E-2</v>
      </c>
      <c r="BF48" s="8">
        <f t="shared" si="166"/>
        <v>5.1016983427451319E-2</v>
      </c>
      <c r="BG48" s="8">
        <f t="shared" si="167"/>
        <v>-6.689577501566811E-2</v>
      </c>
      <c r="BH48" s="8">
        <f t="shared" si="168"/>
        <v>-4.8620419166786034E-2</v>
      </c>
      <c r="BI48" s="8">
        <f t="shared" si="169"/>
        <v>6.8657353233501167E-2</v>
      </c>
      <c r="BJ48" s="8">
        <f t="shared" si="170"/>
        <v>4.6163083116175355E-2</v>
      </c>
      <c r="BK48" s="8">
        <f t="shared" si="171"/>
        <v>-7.0333115032627513E-2</v>
      </c>
      <c r="BL48" s="8">
        <f t="shared" si="172"/>
        <v>-4.3648046756960913E-2</v>
      </c>
      <c r="BM48" s="8">
        <f t="shared" si="173"/>
        <v>7.1920965839495532E-2</v>
      </c>
      <c r="BN48" s="8">
        <f t="shared" si="174"/>
        <v>4.1078453691437693E-2</v>
      </c>
      <c r="BO48" s="8">
        <f t="shared" si="175"/>
        <v>-7.3418920962543002E-2</v>
      </c>
      <c r="BP48" s="8">
        <f t="shared" si="176"/>
        <v>-3.8457515713596797E-2</v>
      </c>
      <c r="BQ48" s="8">
        <f t="shared" si="177"/>
        <v>7.4825108072906807E-2</v>
      </c>
      <c r="BR48" s="8">
        <f t="shared" si="178"/>
        <v>3.5788508794623336E-2</v>
      </c>
      <c r="BS48" s="8">
        <f t="shared" si="179"/>
        <v>-7.6137769544693756E-2</v>
      </c>
      <c r="BT48" s="8">
        <f t="shared" si="180"/>
        <v>-3.3074768988188244E-2</v>
      </c>
      <c r="BU48" s="8">
        <f t="shared" si="181"/>
        <v>7.735526465187556E-2</v>
      </c>
      <c r="BV48" s="8">
        <f t="shared" si="182"/>
        <v>3.0319688260636295E-2</v>
      </c>
      <c r="BW48" s="8">
        <f t="shared" si="183"/>
        <v>-7.8476071619071011E-2</v>
      </c>
      <c r="BX48" s="8">
        <f t="shared" si="184"/>
        <v>-2.752671025128758E-2</v>
      </c>
      <c r="BY48" s="8">
        <f t="shared" si="185"/>
        <v>7.9498789523648639E-2</v>
      </c>
      <c r="BZ48" s="8">
        <f t="shared" si="186"/>
        <v>2.4699325968157351E-2</v>
      </c>
      <c r="CA48" s="8">
        <f t="shared" si="187"/>
        <v>-8.0422140046770937E-2</v>
      </c>
      <c r="CB48" s="8">
        <f t="shared" si="188"/>
        <v>-2.1841069424457325E-2</v>
      </c>
      <c r="CC48" s="8">
        <f t="shared" si="189"/>
        <v>8.1244969071197048E-2</v>
      </c>
      <c r="CD48" s="8">
        <f t="shared" si="190"/>
        <v>1.8955513221355091E-2</v>
      </c>
      <c r="CE48" s="8">
        <f t="shared" si="191"/>
        <v>-8.1966248123839125E-2</v>
      </c>
      <c r="CF48" s="8">
        <f t="shared" si="192"/>
        <v>-1.6046264082494717E-2</v>
      </c>
      <c r="CG48" s="8">
        <f t="shared" si="193"/>
        <v>8.258507566127532E-2</v>
      </c>
      <c r="CH48" s="8">
        <f t="shared" si="194"/>
        <v>1.3116958345873887E-2</v>
      </c>
      <c r="CI48" s="8">
        <f t="shared" si="195"/>
        <v>-8.3100678196608824E-2</v>
      </c>
      <c r="CJ48" s="8">
        <f t="shared" si="196"/>
        <v>-1.0171257418693647E-2</v>
      </c>
      <c r="CK48" s="8">
        <f t="shared" si="197"/>
        <v>8.3512411266268669E-2</v>
      </c>
      <c r="CL48" s="8">
        <f t="shared" si="198"/>
        <v>7.2128432008840742E-3</v>
      </c>
      <c r="CM48" s="8">
        <f t="shared" si="199"/>
        <v>-8.3819760235538665E-2</v>
      </c>
      <c r="CN48" s="8">
        <f t="shared" si="200"/>
        <v>-4.2454134830169268E-3</v>
      </c>
      <c r="CO48" s="8">
        <f t="shared" si="201"/>
        <v>8.4022340941811102E-2</v>
      </c>
      <c r="CP48" s="8">
        <f t="shared" si="202"/>
        <v>1.272677324338313E-3</v>
      </c>
      <c r="CQ48" s="8">
        <f t="shared" si="203"/>
        <v>-8.4119900174761522E-2</v>
      </c>
      <c r="CR48" s="8">
        <f t="shared" si="204"/>
        <v>1.7016495832526352E-3</v>
      </c>
      <c r="CS48" s="8">
        <f t="shared" si="205"/>
        <v>8.4112315992841052E-2</v>
      </c>
      <c r="CT48" s="8">
        <f t="shared" si="206"/>
        <v>-4.6738495595523661E-3</v>
      </c>
      <c r="CU48" s="8">
        <f t="shared" si="112"/>
        <v>-8.3999597875694623E-2</v>
      </c>
      <c r="DA48" s="20">
        <v>6.7218200542036675E-3</v>
      </c>
    </row>
    <row r="49" spans="1:105">
      <c r="A49" s="15">
        <v>47</v>
      </c>
      <c r="B49" s="16">
        <v>35</v>
      </c>
      <c r="C49" s="8">
        <f t="shared" si="113"/>
        <v>3.5553480614894135</v>
      </c>
      <c r="D49" s="8">
        <f t="shared" si="114"/>
        <v>3.1737634408602151</v>
      </c>
      <c r="E49" s="7">
        <f t="shared" si="115"/>
        <v>1.9787234042553192</v>
      </c>
      <c r="F49" s="11">
        <f>SUM(F3:F48)</f>
        <v>11.151756294363343</v>
      </c>
      <c r="G49" s="8"/>
      <c r="H49" s="8">
        <f t="shared" si="119"/>
        <v>-7.6419535471848862E-2</v>
      </c>
      <c r="I49" s="8">
        <f t="shared" si="116"/>
        <v>-2.4593251115212623E-3</v>
      </c>
      <c r="J49" s="8">
        <f t="shared" si="117"/>
        <v>7.6300888539940936E-2</v>
      </c>
      <c r="K49" s="8">
        <f t="shared" si="118"/>
        <v>4.9161051405390982E-3</v>
      </c>
      <c r="L49" s="8">
        <f t="shared" si="120"/>
        <v>-7.6103280085008176E-2</v>
      </c>
      <c r="M49" s="8">
        <f t="shared" si="121"/>
        <v>-7.3677976383803596E-3</v>
      </c>
      <c r="N49" s="8">
        <f t="shared" si="122"/>
        <v>7.5826914606170609E-2</v>
      </c>
      <c r="O49" s="8">
        <f t="shared" si="123"/>
        <v>9.811865421306791E-3</v>
      </c>
      <c r="P49" s="8">
        <f t="shared" si="124"/>
        <v>-7.5472078105852825E-2</v>
      </c>
      <c r="Q49" s="8">
        <f t="shared" si="125"/>
        <v>-1.2245779196171105E-2</v>
      </c>
      <c r="R49" s="8">
        <f t="shared" si="126"/>
        <v>7.5039137793808539E-2</v>
      </c>
      <c r="S49" s="8">
        <f t="shared" si="127"/>
        <v>1.4667020177907339E-2</v>
      </c>
      <c r="T49" s="8">
        <f t="shared" si="128"/>
        <v>-7.4528541707106141E-2</v>
      </c>
      <c r="U49" s="8">
        <f t="shared" si="129"/>
        <v>-1.7073082696146814E-2</v>
      </c>
      <c r="V49" s="8">
        <f t="shared" si="130"/>
        <v>7.3940818246468504E-2</v>
      </c>
      <c r="W49" s="8">
        <f t="shared" si="131"/>
        <v>1.9461476788261333E-2</v>
      </c>
      <c r="X49" s="8">
        <f t="shared" si="132"/>
        <v>-7.3276575629446672E-2</v>
      </c>
      <c r="Y49" s="8">
        <f t="shared" si="133"/>
        <v>-2.1829730776152693E-2</v>
      </c>
      <c r="Z49" s="8">
        <f t="shared" si="134"/>
        <v>7.253650126099348E-2</v>
      </c>
      <c r="AA49" s="8">
        <f t="shared" si="135"/>
        <v>2.4175393824118305E-2</v>
      </c>
      <c r="AB49" s="8">
        <f t="shared" si="136"/>
        <v>-7.1721361022088939E-2</v>
      </c>
      <c r="AC49" s="8">
        <f t="shared" si="137"/>
        <v>-2.6496038475147702E-2</v>
      </c>
      <c r="AD49" s="8">
        <f t="shared" si="138"/>
        <v>7.0831998477152575E-2</v>
      </c>
      <c r="AE49" s="8">
        <f t="shared" si="139"/>
        <v>2.8789263163026258E-2</v>
      </c>
      <c r="AF49" s="8">
        <f t="shared" si="140"/>
        <v>-6.9869334001063474E-2</v>
      </c>
      <c r="AG49" s="8">
        <f t="shared" si="141"/>
        <v>-3.1052694697645194E-2</v>
      </c>
      <c r="AH49" s="8">
        <f t="shared" si="142"/>
        <v>6.8834363826691641E-2</v>
      </c>
      <c r="AI49" s="8">
        <f t="shared" si="143"/>
        <v>3.3283990720945282E-2</v>
      </c>
      <c r="AJ49" s="8">
        <f t="shared" si="144"/>
        <v>-6.7728159013927119E-2</v>
      </c>
      <c r="AK49" s="8">
        <f t="shared" si="145"/>
        <v>-3.548084213095188E-2</v>
      </c>
      <c r="AL49" s="8">
        <f t="shared" si="146"/>
        <v>6.6551864341270472E-2</v>
      </c>
      <c r="AM49" s="8">
        <f t="shared" si="147"/>
        <v>3.7640975471398948E-2</v>
      </c>
      <c r="AN49" s="8">
        <f t="shared" si="148"/>
        <v>-6.5306697121136528E-2</v>
      </c>
      <c r="AO49" s="8">
        <f t="shared" si="149"/>
        <v>-3.9762155284459415E-2</v>
      </c>
      <c r="AP49" s="8">
        <f t="shared" si="150"/>
        <v>6.3993945940093569E-2</v>
      </c>
      <c r="AQ49" s="8">
        <f t="shared" si="151"/>
        <v>4.1842186424154611E-2</v>
      </c>
      <c r="AR49" s="8">
        <f t="shared" si="152"/>
        <v>-6.2614969325343148E-2</v>
      </c>
      <c r="AS49" s="8">
        <f t="shared" si="153"/>
        <v>-4.3878916328046018E-2</v>
      </c>
      <c r="AT49" s="8">
        <f t="shared" si="154"/>
        <v>6.1171194338821837E-2</v>
      </c>
      <c r="AU49" s="8">
        <f t="shared" si="155"/>
        <v>4.5870237244856463E-2</v>
      </c>
      <c r="AV49" s="8">
        <f t="shared" si="156"/>
        <v>-5.9664115100375101E-2</v>
      </c>
      <c r="AW49" s="8">
        <f t="shared" si="157"/>
        <v>-4.7814088415722385E-2</v>
      </c>
      <c r="AX49" s="8">
        <f t="shared" si="158"/>
        <v>5.8095291241539532E-2</v>
      </c>
      <c r="AY49" s="8">
        <f t="shared" si="159"/>
        <v>4.9708458206808498E-2</v>
      </c>
      <c r="AZ49" s="8">
        <f t="shared" si="160"/>
        <v>-5.6466346291524229E-2</v>
      </c>
      <c r="BA49" s="8">
        <f t="shared" si="161"/>
        <v>-5.1551386191090856E-2</v>
      </c>
      <c r="BB49" s="8">
        <f t="shared" si="162"/>
        <v>5.4778965997070037E-2</v>
      </c>
      <c r="BC49" s="8">
        <f t="shared" si="163"/>
        <v>5.3340965177142895E-2</v>
      </c>
      <c r="BD49" s="8">
        <f t="shared" si="164"/>
        <v>-5.303489657791987E-2</v>
      </c>
      <c r="BE49" s="8">
        <f t="shared" si="165"/>
        <v>-5.5075343182831554E-2</v>
      </c>
      <c r="BF49" s="8">
        <f t="shared" si="166"/>
        <v>5.1235942919707851E-2</v>
      </c>
      <c r="BG49" s="8">
        <f t="shared" si="167"/>
        <v>5.6752725351878607E-2</v>
      </c>
      <c r="BH49" s="8">
        <f t="shared" si="168"/>
        <v>-4.9383966706136803E-2</v>
      </c>
      <c r="BI49" s="8">
        <f t="shared" si="169"/>
        <v>-5.837137581130411E-2</v>
      </c>
      <c r="BJ49" s="8">
        <f t="shared" si="170"/>
        <v>4.7480884492376148E-2</v>
      </c>
      <c r="BK49" s="8">
        <f t="shared" si="171"/>
        <v>5.9929619467830438E-2</v>
      </c>
      <c r="BL49" s="8">
        <f t="shared" si="172"/>
        <v>-4.5528665721679344E-2</v>
      </c>
      <c r="BM49" s="8">
        <f t="shared" si="173"/>
        <v>-6.1425843741383858E-2</v>
      </c>
      <c r="BN49" s="8">
        <f t="shared" si="174"/>
        <v>4.3529330687260524E-2</v>
      </c>
      <c r="BO49" s="8">
        <f t="shared" si="175"/>
        <v>6.2858500233909848E-2</v>
      </c>
      <c r="BP49" s="8">
        <f t="shared" si="176"/>
        <v>-4.1484948441556375E-2</v>
      </c>
      <c r="BQ49" s="8">
        <f t="shared" si="177"/>
        <v>-6.4226106331761498E-2</v>
      </c>
      <c r="BR49" s="8">
        <f t="shared" si="178"/>
        <v>3.9397634655024404E-2</v>
      </c>
      <c r="BS49" s="8">
        <f t="shared" si="179"/>
        <v>6.552724674001302E-2</v>
      </c>
      <c r="BT49" s="8">
        <f t="shared" si="180"/>
        <v>-3.7269549426698426E-2</v>
      </c>
      <c r="BU49" s="8">
        <f t="shared" si="181"/>
        <v>-6.6760574947106383E-2</v>
      </c>
      <c r="BV49" s="8">
        <f t="shared" si="182"/>
        <v>3.5102895048766271E-2</v>
      </c>
      <c r="BW49" s="8">
        <f t="shared" si="183"/>
        <v>6.7924814618316232E-2</v>
      </c>
      <c r="BX49" s="8">
        <f t="shared" si="184"/>
        <v>-3.2899913727482993E-2</v>
      </c>
      <c r="BY49" s="8">
        <f t="shared" si="185"/>
        <v>-6.9018760916590663E-2</v>
      </c>
      <c r="BZ49" s="8">
        <f t="shared" si="186"/>
        <v>3.0662885262778203E-2</v>
      </c>
      <c r="CA49" s="8">
        <f t="shared" si="187"/>
        <v>7.0041281749401357E-2</v>
      </c>
      <c r="CB49" s="8">
        <f t="shared" si="188"/>
        <v>-2.8394124688957877E-2</v>
      </c>
      <c r="CC49" s="8">
        <f t="shared" si="189"/>
        <v>-7.0991318940312964E-2</v>
      </c>
      <c r="CD49" s="8">
        <f t="shared" si="190"/>
        <v>2.6095979878948124E-2</v>
      </c>
      <c r="CE49" s="8">
        <f t="shared" si="191"/>
        <v>7.1867889324056675E-2</v>
      </c>
      <c r="CF49" s="8">
        <f t="shared" si="192"/>
        <v>-2.3770829114545217E-2</v>
      </c>
      <c r="CG49" s="8">
        <f t="shared" si="193"/>
        <v>-7.2670085763981415E-2</v>
      </c>
      <c r="CH49" s="8">
        <f t="shared" si="194"/>
        <v>2.1421078625206404E-2</v>
      </c>
      <c r="CI49" s="8">
        <f t="shared" si="195"/>
        <v>7.3397078090820828E-2</v>
      </c>
      <c r="CJ49" s="8">
        <f t="shared" si="196"/>
        <v>-1.9049160097913541E-2</v>
      </c>
      <c r="CK49" s="8">
        <f t="shared" si="197"/>
        <v>-7.4048113961811241E-2</v>
      </c>
      <c r="CL49" s="8">
        <f t="shared" si="198"/>
        <v>1.6657528160691402E-2</v>
      </c>
      <c r="CM49" s="8">
        <f t="shared" si="199"/>
        <v>7.462251963926908E-2</v>
      </c>
      <c r="CN49" s="8">
        <f t="shared" si="200"/>
        <v>-1.4248657842391344E-2</v>
      </c>
      <c r="CO49" s="8">
        <f t="shared" si="201"/>
        <v>-7.5119700687820812E-2</v>
      </c>
      <c r="CP49" s="8">
        <f t="shared" si="202"/>
        <v>1.1825042011345795E-2</v>
      </c>
      <c r="CQ49" s="8">
        <f t="shared" si="203"/>
        <v>7.5539142589568967E-2</v>
      </c>
      <c r="CR49" s="8">
        <f t="shared" si="204"/>
        <v>-9.3891887955888514E-3</v>
      </c>
      <c r="CS49" s="8">
        <f t="shared" si="205"/>
        <v>-7.5880411276548265E-2</v>
      </c>
      <c r="CT49" s="8">
        <f t="shared" si="206"/>
        <v>6.943618987251942E-3</v>
      </c>
      <c r="CU49" s="8">
        <f t="shared" si="112"/>
        <v>7.6143153579932579E-2</v>
      </c>
      <c r="CX49">
        <v>1.2468286125517378E-2</v>
      </c>
      <c r="CY49">
        <v>5.0368827454084344E-2</v>
      </c>
      <c r="DA49" s="21"/>
    </row>
    <row r="50" spans="1:105">
      <c r="A50" s="15">
        <v>48</v>
      </c>
      <c r="B50" s="16">
        <v>60</v>
      </c>
      <c r="C50" s="8">
        <f t="shared" si="113"/>
        <v>4.0943445622221004</v>
      </c>
      <c r="D50" s="8">
        <f t="shared" si="114"/>
        <v>3.2412903225806451</v>
      </c>
      <c r="E50" s="7">
        <f t="shared" si="115"/>
        <v>1.9375000000000002</v>
      </c>
      <c r="F50" s="18"/>
      <c r="G50" s="8"/>
      <c r="H50" s="8">
        <f t="shared" si="119"/>
        <v>-8.7613188942690753E-2</v>
      </c>
      <c r="I50" s="8">
        <f t="shared" si="116"/>
        <v>-8.7638865520707175E-3</v>
      </c>
      <c r="J50" s="8">
        <f t="shared" si="117"/>
        <v>8.6305836013099907E-2</v>
      </c>
      <c r="K50" s="8">
        <f t="shared" si="118"/>
        <v>1.7440735485784477E-2</v>
      </c>
      <c r="L50" s="8">
        <f t="shared" si="120"/>
        <v>-8.4141345742415649E-2</v>
      </c>
      <c r="M50" s="8">
        <f t="shared" si="121"/>
        <v>-2.5944373587744787E-2</v>
      </c>
      <c r="N50" s="8">
        <f t="shared" si="122"/>
        <v>8.1141214538310177E-2</v>
      </c>
      <c r="O50" s="8">
        <f t="shared" si="123"/>
        <v>3.4190347869729507E-2</v>
      </c>
      <c r="P50" s="8">
        <f t="shared" si="124"/>
        <v>-7.7335237888574535E-2</v>
      </c>
      <c r="Q50" s="8">
        <f t="shared" si="125"/>
        <v>-4.209676430466814E-2</v>
      </c>
      <c r="R50" s="8">
        <f t="shared" si="126"/>
        <v>7.2761214450362544E-2</v>
      </c>
      <c r="S50" s="8">
        <f t="shared" si="127"/>
        <v>4.9585101148566291E-2</v>
      </c>
      <c r="T50" s="8">
        <f t="shared" si="128"/>
        <v>-6.7464570656798645E-2</v>
      </c>
      <c r="U50" s="8">
        <f t="shared" si="129"/>
        <v>-5.6580988770955735E-2</v>
      </c>
      <c r="V50" s="8">
        <f t="shared" si="130"/>
        <v>6.1497909569131926E-2</v>
      </c>
      <c r="W50" s="8">
        <f t="shared" si="131"/>
        <v>6.3014948249062855E-2</v>
      </c>
      <c r="X50" s="8">
        <f t="shared" si="132"/>
        <v>-5.4920488454960247E-2</v>
      </c>
      <c r="Y50" s="8">
        <f t="shared" si="133"/>
        <v>-6.8823081390430169E-2</v>
      </c>
      <c r="Z50" s="8">
        <f t="shared" si="134"/>
        <v>4.7797630280904294E-2</v>
      </c>
      <c r="AA50" s="8">
        <f t="shared" si="135"/>
        <v>7.3947705331099872E-2</v>
      </c>
      <c r="AB50" s="8">
        <f t="shared" si="136"/>
        <v>-4.0200074964428872E-2</v>
      </c>
      <c r="AC50" s="8">
        <f t="shared" si="137"/>
        <v>-7.8337925406915754E-2</v>
      </c>
      <c r="AD50" s="8">
        <f t="shared" si="138"/>
        <v>3.2203276827786703E-2</v>
      </c>
      <c r="AE50" s="8">
        <f t="shared" si="139"/>
        <v>8.1950140608531799E-2</v>
      </c>
      <c r="AF50" s="8">
        <f t="shared" si="140"/>
        <v>-2.3886655231343687E-2</v>
      </c>
      <c r="AG50" s="8">
        <f t="shared" si="141"/>
        <v>-8.4748476600255876E-2</v>
      </c>
      <c r="AH50" s="8">
        <f t="shared" si="142"/>
        <v>1.5332805828550445E-2</v>
      </c>
      <c r="AI50" s="8">
        <f t="shared" si="143"/>
        <v>8.6705142002243246E-2</v>
      </c>
      <c r="AJ50" s="8">
        <f t="shared" si="144"/>
        <v>-6.626680275887204E-3</v>
      </c>
      <c r="AK50" s="8">
        <f t="shared" si="145"/>
        <v>-8.7800704397666227E-2</v>
      </c>
      <c r="AL50" s="8">
        <f t="shared" si="146"/>
        <v>-2.1452574555849901E-3</v>
      </c>
      <c r="AM50" s="8">
        <f t="shared" si="147"/>
        <v>8.802428332371956E-2</v>
      </c>
      <c r="AN50" s="8">
        <f t="shared" si="148"/>
        <v>1.0895889788066994E-2</v>
      </c>
      <c r="AO50" s="8">
        <f t="shared" si="149"/>
        <v>-8.7373658329793505E-2</v>
      </c>
      <c r="AP50" s="8">
        <f t="shared" si="150"/>
        <v>-1.95383107360909E-2</v>
      </c>
      <c r="AQ50" s="8">
        <f t="shared" si="151"/>
        <v>8.5855291029645647E-2</v>
      </c>
      <c r="AR50" s="8">
        <f t="shared" si="152"/>
        <v>2.7986689004182372E-2</v>
      </c>
      <c r="AS50" s="8">
        <f t="shared" si="153"/>
        <v>-8.3484260928562898E-2</v>
      </c>
      <c r="AT50" s="8">
        <f t="shared" si="154"/>
        <v>-3.6157120411352252E-2</v>
      </c>
      <c r="AU50" s="8">
        <f t="shared" si="155"/>
        <v>8.028411566283937E-2</v>
      </c>
      <c r="AV50" s="8">
        <f t="shared" si="156"/>
        <v>4.3968461176652616E-2</v>
      </c>
      <c r="AW50" s="8">
        <f t="shared" si="157"/>
        <v>-7.6286637138901242E-2</v>
      </c>
      <c r="AX50" s="8">
        <f t="shared" si="158"/>
        <v>-5.1343133790113127E-2</v>
      </c>
      <c r="AY50" s="8">
        <f t="shared" si="159"/>
        <v>7.1531525894641318E-2</v>
      </c>
      <c r="AZ50" s="8">
        <f t="shared" si="160"/>
        <v>5.820789746562334E-2</v>
      </c>
      <c r="BA50" s="8">
        <f t="shared" si="161"/>
        <v>-6.6066006817702222E-2</v>
      </c>
      <c r="BB50" s="8">
        <f t="shared" si="162"/>
        <v>-6.4494575524110559E-2</v>
      </c>
      <c r="BC50" s="8">
        <f t="shared" si="163"/>
        <v>5.9944360136463176E-2</v>
      </c>
      <c r="BD50" s="8">
        <f t="shared" si="164"/>
        <v>7.014073248306027E-2</v>
      </c>
      <c r="BE50" s="8">
        <f t="shared" si="165"/>
        <v>-5.3227382341657282E-2</v>
      </c>
      <c r="BF50" s="8">
        <f t="shared" si="166"/>
        <v>-7.5090294127947821E-2</v>
      </c>
      <c r="BG50" s="8">
        <f t="shared" si="167"/>
        <v>4.5981782392415821E-2</v>
      </c>
      <c r="BH50" s="8">
        <f t="shared" si="168"/>
        <v>7.9294104407412871E-2</v>
      </c>
      <c r="BI50" s="8">
        <f t="shared" si="169"/>
        <v>-3.8279519203243705E-2</v>
      </c>
      <c r="BJ50" s="8">
        <f t="shared" si="170"/>
        <v>-8.2710413621412432E-2</v>
      </c>
      <c r="BK50" s="8">
        <f t="shared" si="171"/>
        <v>3.0197086991629967E-2</v>
      </c>
      <c r="BL50" s="8">
        <f t="shared" si="172"/>
        <v>8.5305293053984488E-2</v>
      </c>
      <c r="BM50" s="8">
        <f t="shared" si="173"/>
        <v>-2.1814755583756243E-2</v>
      </c>
      <c r="BN50" s="8">
        <f t="shared" si="174"/>
        <v>-8.7052971932721199E-2</v>
      </c>
      <c r="BO50" s="8">
        <f t="shared" si="175"/>
        <v>1.3215773223162209E-2</v>
      </c>
      <c r="BP50" s="8">
        <f t="shared" si="176"/>
        <v>8.7936093368490162E-2</v>
      </c>
      <c r="BQ50" s="8">
        <f t="shared" si="177"/>
        <v>-4.4855397995533629E-3</v>
      </c>
      <c r="BR50" s="8">
        <f t="shared" si="178"/>
        <v>-8.7945886733552761E-2</v>
      </c>
      <c r="BS50" s="8">
        <f t="shared" si="179"/>
        <v>-4.2892412912198139E-3</v>
      </c>
      <c r="BT50" s="8">
        <f t="shared" si="180"/>
        <v>8.7082254766133182E-2</v>
      </c>
      <c r="BU50" s="8">
        <f t="shared" si="181"/>
        <v>1.3021424232835315E-2</v>
      </c>
      <c r="BV50" s="8">
        <f t="shared" si="182"/>
        <v>-8.5353774536362559E-2</v>
      </c>
      <c r="BW50" s="8">
        <f t="shared" si="183"/>
        <v>-2.1624286268013132E-2</v>
      </c>
      <c r="BX50" s="8">
        <f t="shared" si="184"/>
        <v>8.2777612264009592E-2</v>
      </c>
      <c r="BY50" s="8">
        <f t="shared" si="185"/>
        <v>3.0012388976462457E-2</v>
      </c>
      <c r="BZ50" s="8">
        <f t="shared" si="186"/>
        <v>-7.9379352833970698E-2</v>
      </c>
      <c r="CA50" s="8">
        <f t="shared" si="187"/>
        <v>-3.8102426797583161E-2</v>
      </c>
      <c r="CB50" s="8">
        <f t="shared" si="188"/>
        <v>7.5192745702677213E-2</v>
      </c>
      <c r="CC50" s="8">
        <f t="shared" si="189"/>
        <v>4.5814054370877419E-2</v>
      </c>
      <c r="CD50" s="8">
        <f t="shared" si="190"/>
        <v>-7.0259369718911432E-2</v>
      </c>
      <c r="CE50" s="8">
        <f t="shared" si="191"/>
        <v>-5.3070684477463721E-2</v>
      </c>
      <c r="CF50" s="8">
        <f t="shared" si="192"/>
        <v>6.4628220187843866E-2</v>
      </c>
      <c r="CG50" s="8">
        <f t="shared" si="193"/>
        <v>5.9800248657984424E-2</v>
      </c>
      <c r="CH50" s="8">
        <f t="shared" si="194"/>
        <v>-5.8355222279302989E-2</v>
      </c>
      <c r="CI50" s="8">
        <f t="shared" si="195"/>
        <v>-6.5935912952944958E-2</v>
      </c>
      <c r="CJ50" s="8">
        <f t="shared" si="196"/>
        <v>5.1502675612835266E-2</v>
      </c>
      <c r="CK50" s="8">
        <f t="shared" si="197"/>
        <v>7.1416741657151089E-2</v>
      </c>
      <c r="CL50" s="8">
        <f t="shared" si="198"/>
        <v>-4.4138635535569085E-2</v>
      </c>
      <c r="CM50" s="8">
        <f t="shared" si="199"/>
        <v>-7.6188302496271662E-2</v>
      </c>
      <c r="CN50" s="8">
        <f t="shared" si="200"/>
        <v>3.6336237237698729E-2</v>
      </c>
      <c r="CO50" s="8">
        <f t="shared" si="201"/>
        <v>8.0203207215240921E-2</v>
      </c>
      <c r="CP50" s="8">
        <f t="shared" si="202"/>
        <v>-2.8172969418020617E-2</v>
      </c>
      <c r="CQ50" s="8">
        <f t="shared" si="203"/>
        <v>-8.3421582209740372E-2</v>
      </c>
      <c r="CR50" s="8">
        <f t="shared" si="204"/>
        <v>1.9729904713068163E-2</v>
      </c>
      <c r="CS50" s="8">
        <f t="shared" si="205"/>
        <v>8.5811464526707903E-2</v>
      </c>
      <c r="CT50" s="8">
        <f t="shared" si="206"/>
        <v>-1.1090894532731795E-2</v>
      </c>
      <c r="CU50" s="8">
        <f t="shared" si="112"/>
        <v>-8.7349119301049716E-2</v>
      </c>
      <c r="DA50" s="20">
        <v>1.9525938497123073E-3</v>
      </c>
    </row>
    <row r="51" spans="1:105">
      <c r="A51" s="15">
        <v>49</v>
      </c>
      <c r="B51" s="16">
        <v>38</v>
      </c>
      <c r="C51" s="8">
        <f t="shared" si="113"/>
        <v>3.6375861597263857</v>
      </c>
      <c r="D51" s="8">
        <f t="shared" si="114"/>
        <v>3.3088172043010755</v>
      </c>
      <c r="E51" s="7">
        <f t="shared" si="115"/>
        <v>1.8979591836734693</v>
      </c>
      <c r="F51" s="18"/>
      <c r="G51" s="8"/>
      <c r="H51" s="8">
        <f t="shared" si="119"/>
        <v>-7.7136424750581994E-2</v>
      </c>
      <c r="I51" s="8">
        <f t="shared" si="116"/>
        <v>-1.3020701360290623E-2</v>
      </c>
      <c r="J51" s="8">
        <f t="shared" si="117"/>
        <v>7.389316524994019E-2</v>
      </c>
      <c r="K51" s="8">
        <f t="shared" si="118"/>
        <v>2.5678138884294283E-2</v>
      </c>
      <c r="L51" s="8">
        <f t="shared" si="120"/>
        <v>-6.8588364366747159E-2</v>
      </c>
      <c r="M51" s="8">
        <f t="shared" si="121"/>
        <v>-3.7619183413657477E-2</v>
      </c>
      <c r="N51" s="8">
        <f t="shared" si="122"/>
        <v>6.1370020451187418E-2</v>
      </c>
      <c r="O51" s="8">
        <f t="shared" si="123"/>
        <v>4.8510692399067162E-2</v>
      </c>
      <c r="P51" s="8">
        <f t="shared" si="124"/>
        <v>-5.2439517686020863E-2</v>
      </c>
      <c r="Q51" s="8">
        <f t="shared" si="125"/>
        <v>-5.8048804226043957E-2</v>
      </c>
      <c r="R51" s="8">
        <f t="shared" si="126"/>
        <v>4.204600768026466E-2</v>
      </c>
      <c r="S51" s="8">
        <f t="shared" si="127"/>
        <v>6.5967415633532284E-2</v>
      </c>
      <c r="T51" s="8">
        <f t="shared" si="128"/>
        <v>-3.0479458402056937E-2</v>
      </c>
      <c r="U51" s="8">
        <f t="shared" si="129"/>
        <v>-7.2045605714251268E-2</v>
      </c>
      <c r="V51" s="8">
        <f t="shared" si="130"/>
        <v>1.8062564378147059E-2</v>
      </c>
      <c r="W51" s="8">
        <f t="shared" si="131"/>
        <v>7.6113799375023758E-2</v>
      </c>
      <c r="X51" s="8">
        <f t="shared" si="132"/>
        <v>-5.1417438569137316E-3</v>
      </c>
      <c r="Y51" s="8">
        <f t="shared" si="133"/>
        <v>-7.8058498303041693E-2</v>
      </c>
      <c r="Z51" s="8">
        <f t="shared" si="134"/>
        <v>-7.9225258954314665E-3</v>
      </c>
      <c r="AA51" s="8">
        <f t="shared" si="135"/>
        <v>7.7825447449097848E-2</v>
      </c>
      <c r="AB51" s="8">
        <f t="shared" si="136"/>
        <v>2.0765765530409774E-2</v>
      </c>
      <c r="AC51" s="8">
        <f t="shared" si="137"/>
        <v>-7.5421148686241321E-2</v>
      </c>
      <c r="AD51" s="8">
        <f t="shared" si="138"/>
        <v>-3.302966220671992E-2</v>
      </c>
      <c r="AE51" s="8">
        <f t="shared" si="139"/>
        <v>7.0912679414375901E-2</v>
      </c>
      <c r="AF51" s="8">
        <f t="shared" si="140"/>
        <v>4.4372066140628809E-2</v>
      </c>
      <c r="AG51" s="8">
        <f t="shared" si="141"/>
        <v>-6.4425821171543773E-2</v>
      </c>
      <c r="AH51" s="8">
        <f t="shared" si="142"/>
        <v>-5.4476536224109695E-2</v>
      </c>
      <c r="AI51" s="8">
        <f t="shared" si="143"/>
        <v>5.6141550461661978E-2</v>
      </c>
      <c r="AJ51" s="8">
        <f t="shared" si="144"/>
        <v>6.3061168398032774E-2</v>
      </c>
      <c r="AK51" s="8">
        <f t="shared" si="145"/>
        <v>-4.6290989700923733E-2</v>
      </c>
      <c r="AL51" s="8">
        <f t="shared" si="146"/>
        <v>-6.988646047812147E-2</v>
      </c>
      <c r="AM51" s="8">
        <f t="shared" si="147"/>
        <v>3.5148959146126098E-2</v>
      </c>
      <c r="AN51" s="8">
        <f t="shared" si="148"/>
        <v>7.4761994013311475E-2</v>
      </c>
      <c r="AO51" s="8">
        <f t="shared" si="149"/>
        <v>-2.3026309699334221E-2</v>
      </c>
      <c r="AP51" s="8">
        <f t="shared" si="150"/>
        <v>-7.7551746759721138E-2</v>
      </c>
      <c r="AQ51" s="8">
        <f t="shared" si="151"/>
        <v>1.0261250495536896E-2</v>
      </c>
      <c r="AR51" s="8">
        <f t="shared" si="152"/>
        <v>7.8177887557806275E-2</v>
      </c>
      <c r="AS51" s="8">
        <f t="shared" si="153"/>
        <v>2.7900867755452875E-3</v>
      </c>
      <c r="AT51" s="8">
        <f t="shared" si="154"/>
        <v>-7.662294773962984E-2</v>
      </c>
      <c r="AU51" s="8">
        <f t="shared" si="155"/>
        <v>-1.5763583568022446E-2</v>
      </c>
      <c r="AV51" s="8">
        <f t="shared" si="156"/>
        <v>7.2930308486275838E-2</v>
      </c>
      <c r="AW51" s="8">
        <f t="shared" si="157"/>
        <v>2.8297293003266503E-2</v>
      </c>
      <c r="AX51" s="8">
        <f t="shared" si="158"/>
        <v>-6.7202990538645369E-2</v>
      </c>
      <c r="AY51" s="8">
        <f t="shared" si="159"/>
        <v>-4.0041537806118466E-2</v>
      </c>
      <c r="AZ51" s="8">
        <f t="shared" si="160"/>
        <v>5.9600780027433298E-2</v>
      </c>
      <c r="BA51" s="8">
        <f t="shared" si="161"/>
        <v>5.0668665932088464E-2</v>
      </c>
      <c r="BB51" s="8">
        <f t="shared" si="162"/>
        <v>-5.0335770608591714E-2</v>
      </c>
      <c r="BC51" s="8">
        <f t="shared" si="163"/>
        <v>-5.988219171385855E-2</v>
      </c>
      <c r="BD51" s="8">
        <f t="shared" si="164"/>
        <v>3.9666446274003508E-2</v>
      </c>
      <c r="BE51" s="8">
        <f t="shared" si="165"/>
        <v>6.742506749872533E-2</v>
      </c>
      <c r="BF51" s="8">
        <f t="shared" si="166"/>
        <v>-2.7890469920707883E-2</v>
      </c>
      <c r="BG51" s="8">
        <f t="shared" si="167"/>
        <v>-7.308685500702683E-2</v>
      </c>
      <c r="BH51" s="8">
        <f t="shared" si="168"/>
        <v>1.5336378869984839E-2</v>
      </c>
      <c r="BI51" s="8">
        <f t="shared" si="169"/>
        <v>7.6709596338218056E-2</v>
      </c>
      <c r="BJ51" s="8">
        <f t="shared" si="170"/>
        <v>-2.3544190225738026E-3</v>
      </c>
      <c r="BK51" s="8">
        <f t="shared" si="171"/>
        <v>-7.8192220829710529E-2</v>
      </c>
      <c r="BL51" s="8">
        <f t="shared" si="172"/>
        <v>-1.0693226632590687E-2</v>
      </c>
      <c r="BM51" s="8">
        <f t="shared" si="173"/>
        <v>7.7493364821771216E-2</v>
      </c>
      <c r="BN51" s="8">
        <f t="shared" si="174"/>
        <v>2.3442542541809133E-2</v>
      </c>
      <c r="BO51" s="8">
        <f t="shared" si="175"/>
        <v>-7.4632525660006596E-2</v>
      </c>
      <c r="BP51" s="8">
        <f t="shared" si="176"/>
        <v>-3.5537836236677847E-2</v>
      </c>
      <c r="BQ51" s="8">
        <f t="shared" si="177"/>
        <v>6.9689517739981097E-2</v>
      </c>
      <c r="BR51" s="8">
        <f t="shared" si="178"/>
        <v>4.6641661778836725E-2</v>
      </c>
      <c r="BS51" s="8">
        <f t="shared" si="179"/>
        <v>-6.2802245769754739E-2</v>
      </c>
      <c r="BT51" s="8">
        <f t="shared" si="180"/>
        <v>-5.6444234145782486E-2</v>
      </c>
      <c r="BU51" s="8">
        <f t="shared" si="181"/>
        <v>5.4162857373962064E-2</v>
      </c>
      <c r="BV51" s="8">
        <f t="shared" si="182"/>
        <v>6.467207190629537E-2</v>
      </c>
      <c r="BW51" s="8">
        <f t="shared" si="183"/>
        <v>-4.4012382377724507E-2</v>
      </c>
      <c r="BX51" s="8">
        <f t="shared" si="184"/>
        <v>-7.1095627063955474E-2</v>
      </c>
      <c r="BY51" s="8">
        <f t="shared" si="185"/>
        <v>3.2634008328721063E-2</v>
      </c>
      <c r="BZ51" s="8">
        <f t="shared" si="186"/>
        <v>7.553568920416294E-2</v>
      </c>
      <c r="CA51" s="8">
        <f t="shared" si="187"/>
        <v>-2.034517986325448E-2</v>
      </c>
      <c r="CB51" s="8">
        <f t="shared" si="188"/>
        <v>-7.7868385275706331E-2</v>
      </c>
      <c r="CC51" s="8">
        <f t="shared" si="189"/>
        <v>7.488742335682085E-3</v>
      </c>
      <c r="CD51" s="8">
        <f t="shared" si="190"/>
        <v>7.8028635518256811E-2</v>
      </c>
      <c r="CE51" s="8">
        <f t="shared" si="191"/>
        <v>5.5766232054089149E-3</v>
      </c>
      <c r="CF51" s="8">
        <f t="shared" si="192"/>
        <v>-7.6011969119047576E-2</v>
      </c>
      <c r="CG51" s="8">
        <f t="shared" si="193"/>
        <v>-1.8486406840190178E-2</v>
      </c>
      <c r="CH51" s="8">
        <f t="shared" si="194"/>
        <v>7.1874648943835009E-2</v>
      </c>
      <c r="CI51" s="8">
        <f t="shared" si="195"/>
        <v>3.0880439219942324E-2</v>
      </c>
      <c r="CJ51" s="8">
        <f t="shared" si="196"/>
        <v>-6.5732101862278999E-2</v>
      </c>
      <c r="CK51" s="8">
        <f t="shared" si="197"/>
        <v>-4.2412939912048669E-2</v>
      </c>
      <c r="CL51" s="8">
        <f t="shared" si="198"/>
        <v>5.7755698460010552E-2</v>
      </c>
      <c r="CM51" s="8">
        <f t="shared" si="199"/>
        <v>5.2762164309402705E-2</v>
      </c>
      <c r="CN51" s="8">
        <f t="shared" si="200"/>
        <v>-4.8167971980014691E-2</v>
      </c>
      <c r="CO51" s="8">
        <f t="shared" si="201"/>
        <v>-6.1639379965640416E-2</v>
      </c>
      <c r="CP51" s="8">
        <f t="shared" si="202"/>
        <v>3.7236409879843523E-2</v>
      </c>
      <c r="CQ51" s="8">
        <f t="shared" si="203"/>
        <v>6.8796921925885365E-2</v>
      </c>
      <c r="CR51" s="8">
        <f t="shared" si="204"/>
        <v>-2.5265991213638331E-2</v>
      </c>
      <c r="CS51" s="8">
        <f t="shared" si="205"/>
        <v>-7.403510231780884E-2</v>
      </c>
      <c r="CT51" s="8">
        <f t="shared" si="206"/>
        <v>1.2590678038151915E-2</v>
      </c>
      <c r="CU51" s="8">
        <f t="shared" si="112"/>
        <v>7.7207781432674732E-2</v>
      </c>
      <c r="CX51">
        <v>3.8365028630498385E-2</v>
      </c>
      <c r="CY51">
        <v>0.15534648669265425</v>
      </c>
      <c r="DA51" s="21"/>
    </row>
    <row r="52" spans="1:105">
      <c r="A52" s="15">
        <v>50</v>
      </c>
      <c r="B52" s="16">
        <v>60</v>
      </c>
      <c r="C52" s="8">
        <f t="shared" si="113"/>
        <v>4.0943445622221004</v>
      </c>
      <c r="D52" s="8">
        <f t="shared" si="114"/>
        <v>3.3763440860215055</v>
      </c>
      <c r="E52" s="7">
        <f t="shared" si="115"/>
        <v>1.86</v>
      </c>
      <c r="F52" s="8"/>
      <c r="G52" s="8"/>
      <c r="H52" s="8">
        <f t="shared" si="119"/>
        <v>-8.5635390351945659E-2</v>
      </c>
      <c r="I52" s="8">
        <f t="shared" si="116"/>
        <v>-2.0480637281957075E-2</v>
      </c>
      <c r="J52" s="8">
        <f t="shared" si="117"/>
        <v>7.8522777322842782E-2</v>
      </c>
      <c r="K52" s="8">
        <f t="shared" si="118"/>
        <v>3.9837796446495918E-2</v>
      </c>
      <c r="L52" s="8">
        <f t="shared" si="120"/>
        <v>-6.7102748424467326E-2</v>
      </c>
      <c r="M52" s="8">
        <f t="shared" si="121"/>
        <v>-5.7009628468249494E-2</v>
      </c>
      <c r="N52" s="8">
        <f t="shared" si="122"/>
        <v>5.2001756456650373E-2</v>
      </c>
      <c r="O52" s="8">
        <f t="shared" si="123"/>
        <v>7.105416180371435E-2</v>
      </c>
      <c r="P52" s="8">
        <f t="shared" si="124"/>
        <v>-3.4048175741615658E-2</v>
      </c>
      <c r="Q52" s="8">
        <f t="shared" si="125"/>
        <v>-8.1200974827111846E-2</v>
      </c>
      <c r="R52" s="8">
        <f t="shared" si="126"/>
        <v>1.4226861134461687E-2</v>
      </c>
      <c r="S52" s="8">
        <f t="shared" si="127"/>
        <v>8.6893457788638717E-2</v>
      </c>
      <c r="T52" s="8">
        <f t="shared" si="128"/>
        <v>6.3748768034742288E-3</v>
      </c>
      <c r="U52" s="8">
        <f t="shared" si="129"/>
        <v>-8.7819345989057121E-2</v>
      </c>
      <c r="V52" s="8">
        <f t="shared" si="130"/>
        <v>-2.6626916902844536E-2</v>
      </c>
      <c r="W52" s="8">
        <f t="shared" si="131"/>
        <v>8.3927849254310155E-2</v>
      </c>
      <c r="X52" s="8">
        <f t="shared" si="132"/>
        <v>4.5418320887096818E-2</v>
      </c>
      <c r="Y52" s="8">
        <f t="shared" si="133"/>
        <v>-7.5432438062161961E-2</v>
      </c>
      <c r="Z52" s="8">
        <f t="shared" si="134"/>
        <v>-6.1718274583741073E-2</v>
      </c>
      <c r="AA52" s="8">
        <f t="shared" si="135"/>
        <v>6.2799133486148809E-2</v>
      </c>
      <c r="AB52" s="8">
        <f t="shared" si="136"/>
        <v>7.4632633877972199E-2</v>
      </c>
      <c r="AC52" s="8">
        <f t="shared" si="137"/>
        <v>-4.6720943319262624E-2</v>
      </c>
      <c r="AD52" s="8">
        <f t="shared" si="138"/>
        <v>-8.3452973545135603E-2</v>
      </c>
      <c r="AE52" s="8">
        <f t="shared" si="139"/>
        <v>2.8079846699725654E-2</v>
      </c>
      <c r="AF52" s="8">
        <f t="shared" si="140"/>
        <v>8.7695448357769323E-2</v>
      </c>
      <c r="AG52" s="8">
        <f t="shared" si="141"/>
        <v>-7.8984125958960257E-3</v>
      </c>
      <c r="AH52" s="8">
        <f t="shared" si="142"/>
        <v>-8.7127334716989441E-2</v>
      </c>
      <c r="AI52" s="8">
        <f t="shared" si="143"/>
        <v>-1.2716293851546647E-2</v>
      </c>
      <c r="AJ52" s="8">
        <f t="shared" si="144"/>
        <v>8.1779796850492401E-2</v>
      </c>
      <c r="AK52" s="8">
        <f t="shared" si="145"/>
        <v>3.2633440077585896E-2</v>
      </c>
      <c r="AL52" s="8">
        <f t="shared" si="146"/>
        <v>-7.1946177279429577E-2</v>
      </c>
      <c r="AM52" s="8">
        <f t="shared" si="147"/>
        <v>-5.0760458617728113E-2</v>
      </c>
      <c r="AN52" s="8">
        <f t="shared" si="148"/>
        <v>5.8165905331658725E-2</v>
      </c>
      <c r="AO52" s="8">
        <f t="shared" si="149"/>
        <v>6.6102980576927928E-2</v>
      </c>
      <c r="AP52" s="8">
        <f t="shared" si="150"/>
        <v>-4.1194906409903122E-2</v>
      </c>
      <c r="AQ52" s="8">
        <f t="shared" si="151"/>
        <v>-7.7819382354812602E-2</v>
      </c>
      <c r="AR52" s="8">
        <f t="shared" si="152"/>
        <v>2.1964135232847477E-2</v>
      </c>
      <c r="AS52" s="8">
        <f t="shared" si="153"/>
        <v>8.5266953432607082E-2</v>
      </c>
      <c r="AT52" s="8">
        <f t="shared" si="154"/>
        <v>-1.5285077340675892E-3</v>
      </c>
      <c r="AU52" s="8">
        <f t="shared" si="155"/>
        <v>-8.8037152659045548E-2</v>
      </c>
      <c r="AV52" s="8">
        <f t="shared" si="156"/>
        <v>-1.8990967008715897E-2</v>
      </c>
      <c r="AW52" s="8">
        <f t="shared" si="157"/>
        <v>8.5978019029744224E-2</v>
      </c>
      <c r="AX52" s="8">
        <f t="shared" si="158"/>
        <v>3.8468680424975622E-2</v>
      </c>
      <c r="AY52" s="8">
        <f t="shared" si="159"/>
        <v>-7.920250760276655E-2</v>
      </c>
      <c r="AZ52" s="8">
        <f t="shared" si="160"/>
        <v>-5.5836170410761853E-2</v>
      </c>
      <c r="BA52" s="8">
        <f t="shared" si="161"/>
        <v>6.8082293278543121E-2</v>
      </c>
      <c r="BB52" s="8">
        <f t="shared" si="162"/>
        <v>7.014073248306027E-2</v>
      </c>
      <c r="BC52" s="8">
        <f t="shared" si="163"/>
        <v>-5.3227382341657282E-2</v>
      </c>
      <c r="BD52" s="8">
        <f t="shared" si="164"/>
        <v>-8.059768097773698E-2</v>
      </c>
      <c r="BE52" s="8">
        <f t="shared" si="165"/>
        <v>3.5452650186073957E-2</v>
      </c>
      <c r="BF52" s="8">
        <f t="shared" si="166"/>
        <v>8.6633393470499129E-2</v>
      </c>
      <c r="BG52" s="8">
        <f t="shared" si="167"/>
        <v>-1.5733140817741183E-2</v>
      </c>
      <c r="BH52" s="8">
        <f t="shared" si="168"/>
        <v>-8.7916777192342851E-2</v>
      </c>
      <c r="BI52" s="8">
        <f t="shared" si="169"/>
        <v>-4.8494197918041455E-3</v>
      </c>
      <c r="BJ52" s="8">
        <f t="shared" si="170"/>
        <v>8.4377431329665714E-2</v>
      </c>
      <c r="BK52" s="8">
        <f t="shared" si="171"/>
        <v>2.5165962457508843E-2</v>
      </c>
      <c r="BL52" s="8">
        <f t="shared" si="172"/>
        <v>-7.6209508904756737E-2</v>
      </c>
      <c r="BM52" s="8">
        <f t="shared" si="173"/>
        <v>-4.4102010574360424E-2</v>
      </c>
      <c r="BN52" s="8">
        <f t="shared" si="174"/>
        <v>6.3861066390801927E-2</v>
      </c>
      <c r="BO52" s="8">
        <f t="shared" si="175"/>
        <v>6.0618815425862504E-2</v>
      </c>
      <c r="BP52" s="8">
        <f t="shared" si="176"/>
        <v>-4.8009485294911232E-2</v>
      </c>
      <c r="BQ52" s="8">
        <f t="shared" si="177"/>
        <v>-7.3810337392013717E-2</v>
      </c>
      <c r="BR52" s="8">
        <f t="shared" si="178"/>
        <v>2.952431397354147E-2</v>
      </c>
      <c r="BS52" s="8">
        <f t="shared" si="179"/>
        <v>8.2952947317120329E-2</v>
      </c>
      <c r="BT52" s="8">
        <f t="shared" si="180"/>
        <v>-9.4195680156792822E-3</v>
      </c>
      <c r="BU52" s="8">
        <f t="shared" si="181"/>
        <v>-8.7545121637948434E-2</v>
      </c>
      <c r="BV52" s="8">
        <f t="shared" si="182"/>
        <v>-1.1201894214018415E-2</v>
      </c>
      <c r="BW52" s="8">
        <f t="shared" si="183"/>
        <v>8.7334953771231461E-2</v>
      </c>
      <c r="BX52" s="8">
        <f t="shared" si="184"/>
        <v>3.1208869557891983E-2</v>
      </c>
      <c r="BY52" s="8">
        <f t="shared" si="185"/>
        <v>-8.2333972606231515E-2</v>
      </c>
      <c r="BZ52" s="8">
        <f t="shared" si="186"/>
        <v>-4.9503862919225365E-2</v>
      </c>
      <c r="CA52" s="8">
        <f t="shared" si="187"/>
        <v>7.2816510080336447E-2</v>
      </c>
      <c r="CB52" s="8">
        <f t="shared" si="188"/>
        <v>6.5083291039509453E-2</v>
      </c>
      <c r="CC52" s="8">
        <f t="shared" si="189"/>
        <v>-5.9304652529727414E-2</v>
      </c>
      <c r="CD52" s="8">
        <f t="shared" si="190"/>
        <v>-7.7092534683314673E-2</v>
      </c>
      <c r="CE52" s="8">
        <f t="shared" si="191"/>
        <v>4.253960131814967E-2</v>
      </c>
      <c r="CF52" s="8">
        <f t="shared" si="192"/>
        <v>8.4872819308870515E-2</v>
      </c>
      <c r="CG52" s="8">
        <f t="shared" si="193"/>
        <v>-2.3441013774344547E-2</v>
      </c>
      <c r="CH52" s="8">
        <f t="shared" si="194"/>
        <v>-8.7997352555971478E-2</v>
      </c>
      <c r="CI52" s="8">
        <f t="shared" si="195"/>
        <v>3.0565548163341582E-3</v>
      </c>
      <c r="CJ52" s="8">
        <f t="shared" si="196"/>
        <v>8.6294736206781991E-2</v>
      </c>
      <c r="CK52" s="8">
        <f t="shared" si="197"/>
        <v>1.7495573360341896E-2</v>
      </c>
      <c r="CL52" s="8">
        <f t="shared" si="198"/>
        <v>-7.985836834185682E-2</v>
      </c>
      <c r="CM52" s="8">
        <f t="shared" si="199"/>
        <v>-3.7087970960697186E-2</v>
      </c>
      <c r="CN52" s="8">
        <f t="shared" si="200"/>
        <v>6.9041319930245718E-2</v>
      </c>
      <c r="CO52" s="8">
        <f t="shared" si="201"/>
        <v>5.4645884808415847E-2</v>
      </c>
      <c r="CP52" s="8">
        <f t="shared" si="202"/>
        <v>-5.443696690152508E-2</v>
      </c>
      <c r="CQ52" s="8">
        <f t="shared" si="203"/>
        <v>-6.9206164600904299E-2</v>
      </c>
      <c r="CR52" s="8">
        <f t="shared" si="204"/>
        <v>3.6846440139511369E-2</v>
      </c>
      <c r="CS52" s="8">
        <f t="shared" si="205"/>
        <v>7.9970097119177005E-2</v>
      </c>
      <c r="CT52" s="8">
        <f t="shared" si="206"/>
        <v>-1.7234678948529453E-2</v>
      </c>
      <c r="CU52" s="8">
        <f t="shared" si="112"/>
        <v>-8.6347220139077502E-2</v>
      </c>
      <c r="DA52" s="20">
        <v>2.6213045296411184E-3</v>
      </c>
    </row>
    <row r="53" spans="1:105">
      <c r="A53" s="15">
        <v>51</v>
      </c>
      <c r="B53" s="16">
        <v>48</v>
      </c>
      <c r="C53" s="8">
        <f t="shared" si="113"/>
        <v>3.8712010109078911</v>
      </c>
      <c r="D53" s="8">
        <f t="shared" si="114"/>
        <v>3.4438709677419359</v>
      </c>
      <c r="E53" s="7">
        <f t="shared" si="115"/>
        <v>1.8235294117647056</v>
      </c>
      <c r="F53" s="8"/>
      <c r="G53" s="8"/>
      <c r="H53" s="8">
        <f t="shared" si="119"/>
        <v>-7.9477065669453714E-2</v>
      </c>
      <c r="I53" s="8">
        <f t="shared" si="116"/>
        <v>-2.4783678163964033E-2</v>
      </c>
      <c r="J53" s="8">
        <f t="shared" si="117"/>
        <v>6.8495631209312458E-2</v>
      </c>
      <c r="K53" s="8">
        <f t="shared" si="118"/>
        <v>4.7320008199486459E-2</v>
      </c>
      <c r="L53" s="8">
        <f t="shared" si="120"/>
        <v>-5.1303111873622131E-2</v>
      </c>
      <c r="M53" s="8">
        <f t="shared" si="121"/>
        <v>-6.5565428259443392E-2</v>
      </c>
      <c r="N53" s="8">
        <f t="shared" si="122"/>
        <v>2.9458500475985153E-2</v>
      </c>
      <c r="O53" s="8">
        <f t="shared" si="123"/>
        <v>7.7865470013787158E-2</v>
      </c>
      <c r="P53" s="8">
        <f t="shared" si="124"/>
        <v>-4.9426348168373482E-3</v>
      </c>
      <c r="Q53" s="8">
        <f t="shared" si="125"/>
        <v>-8.3104783447338293E-2</v>
      </c>
      <c r="R53" s="8">
        <f t="shared" si="126"/>
        <v>-2.0021421826380514E-2</v>
      </c>
      <c r="S53" s="8">
        <f t="shared" si="127"/>
        <v>8.0808275187704254E-2</v>
      </c>
      <c r="T53" s="8">
        <f t="shared" si="128"/>
        <v>4.3169964865339555E-2</v>
      </c>
      <c r="U53" s="8">
        <f t="shared" si="129"/>
        <v>-7.1184189285872709E-2</v>
      </c>
      <c r="V53" s="8">
        <f t="shared" si="130"/>
        <v>-6.2403917862289535E-2</v>
      </c>
      <c r="W53" s="8">
        <f t="shared" si="131"/>
        <v>5.5105223946539113E-2</v>
      </c>
      <c r="X53" s="8">
        <f t="shared" si="132"/>
        <v>7.5979173748688844E-2</v>
      </c>
      <c r="Y53" s="8">
        <f t="shared" si="133"/>
        <v>-3.4029396515779665E-2</v>
      </c>
      <c r="Z53" s="8">
        <f t="shared" si="134"/>
        <v>-8.2664747934293153E-2</v>
      </c>
      <c r="AA53" s="8">
        <f t="shared" si="135"/>
        <v>9.8678325746529814E-3</v>
      </c>
      <c r="AB53" s="8">
        <f t="shared" si="136"/>
        <v>8.1854402211271687E-2</v>
      </c>
      <c r="AC53" s="8">
        <f t="shared" si="137"/>
        <v>1.5188532167295373E-2</v>
      </c>
      <c r="AD53" s="8">
        <f t="shared" si="138"/>
        <v>-7.3621617559000554E-2</v>
      </c>
      <c r="AE53" s="8">
        <f t="shared" si="139"/>
        <v>-3.8867622756709304E-2</v>
      </c>
      <c r="AF53" s="8">
        <f t="shared" si="140"/>
        <v>5.8712930995017246E-2</v>
      </c>
      <c r="AG53" s="8">
        <f t="shared" si="141"/>
        <v>5.902225347049999E-2</v>
      </c>
      <c r="AH53" s="8">
        <f t="shared" si="142"/>
        <v>-3.8480240676868442E-2</v>
      </c>
      <c r="AI53" s="8">
        <f t="shared" si="143"/>
        <v>-7.3824831514957653E-2</v>
      </c>
      <c r="AJ53" s="8">
        <f t="shared" si="144"/>
        <v>1.4758217730406037E-2</v>
      </c>
      <c r="AK53" s="8">
        <f t="shared" si="145"/>
        <v>8.1933080499780639E-2</v>
      </c>
      <c r="AL53" s="8">
        <f t="shared" si="146"/>
        <v>1.0302059077171587E-2</v>
      </c>
      <c r="AM53" s="8">
        <f t="shared" si="147"/>
        <v>-8.2611756121826099E-2</v>
      </c>
      <c r="AN53" s="8">
        <f t="shared" si="148"/>
        <v>-3.4428160052049753E-2</v>
      </c>
      <c r="AO53" s="8">
        <f t="shared" si="149"/>
        <v>7.5799317056237714E-2</v>
      </c>
      <c r="AP53" s="8">
        <f t="shared" si="150"/>
        <v>5.5432365215225404E-2</v>
      </c>
      <c r="AQ53" s="8">
        <f t="shared" si="151"/>
        <v>-6.2113505434868786E-2</v>
      </c>
      <c r="AR53" s="8">
        <f t="shared" si="152"/>
        <v>-7.1410043589384242E-2</v>
      </c>
      <c r="AS53" s="8">
        <f t="shared" si="153"/>
        <v>4.2795330882280241E-2</v>
      </c>
      <c r="AT53" s="8">
        <f t="shared" si="154"/>
        <v>8.0912362384113562E-2</v>
      </c>
      <c r="AU53" s="8">
        <f t="shared" si="155"/>
        <v>-1.9596537555994172E-2</v>
      </c>
      <c r="AV53" s="8">
        <f t="shared" si="156"/>
        <v>-8.307766506005991E-2</v>
      </c>
      <c r="AW53" s="8">
        <f t="shared" si="157"/>
        <v>-5.3792414827842222E-3</v>
      </c>
      <c r="AX53" s="8">
        <f t="shared" si="158"/>
        <v>7.7709605098998699E-2</v>
      </c>
      <c r="AY53" s="8">
        <f t="shared" si="159"/>
        <v>2.9867238675834792E-2</v>
      </c>
      <c r="AZ53" s="8">
        <f t="shared" si="160"/>
        <v>-6.5294950422424572E-2</v>
      </c>
      <c r="BA53" s="8">
        <f t="shared" si="161"/>
        <v>-5.164691781795621E-2</v>
      </c>
      <c r="BB53" s="8">
        <f t="shared" si="162"/>
        <v>4.695944397971185E-2</v>
      </c>
      <c r="BC53" s="8">
        <f t="shared" si="163"/>
        <v>6.874332907183002E-2</v>
      </c>
      <c r="BD53" s="8">
        <f t="shared" si="164"/>
        <v>-2.4365723003938567E-2</v>
      </c>
      <c r="BE53" s="8">
        <f t="shared" si="165"/>
        <v>-7.9606194565856131E-2</v>
      </c>
      <c r="BF53" s="8">
        <f t="shared" si="166"/>
        <v>-4.3744653022589664E-4</v>
      </c>
      <c r="BG53" s="8">
        <f t="shared" si="167"/>
        <v>8.3250485351707093E-2</v>
      </c>
      <c r="BH53" s="8">
        <f t="shared" si="168"/>
        <v>2.5200949045053503E-2</v>
      </c>
      <c r="BI53" s="8">
        <f t="shared" si="169"/>
        <v>-7.9345742406194811E-2</v>
      </c>
      <c r="BJ53" s="8">
        <f t="shared" si="170"/>
        <v>-4.7679265910814332E-2</v>
      </c>
      <c r="BK53" s="8">
        <f t="shared" si="171"/>
        <v>6.8246042178044752E-2</v>
      </c>
      <c r="BL53" s="8">
        <f t="shared" si="172"/>
        <v>6.583409583080306E-2</v>
      </c>
      <c r="BM53" s="8">
        <f t="shared" si="173"/>
        <v>-5.0957889447093903E-2</v>
      </c>
      <c r="BN53" s="8">
        <f t="shared" si="174"/>
        <v>-7.8019185057977933E-2</v>
      </c>
      <c r="BO53" s="8">
        <f t="shared" si="175"/>
        <v>2.9048948925057487E-2</v>
      </c>
      <c r="BP53" s="8">
        <f t="shared" si="176"/>
        <v>8.3129607306240874E-2</v>
      </c>
      <c r="BQ53" s="8">
        <f t="shared" si="177"/>
        <v>-4.5058916844270859E-3</v>
      </c>
      <c r="BR53" s="8">
        <f t="shared" si="178"/>
        <v>-8.0701956869658753E-2</v>
      </c>
      <c r="BS53" s="8">
        <f t="shared" si="179"/>
        <v>-2.0445753304032196E-2</v>
      </c>
      <c r="BT53" s="8">
        <f t="shared" si="180"/>
        <v>7.0956369582351062E-2</v>
      </c>
      <c r="BU53" s="8">
        <f t="shared" si="181"/>
        <v>4.3543406922913253E-2</v>
      </c>
      <c r="BV53" s="8">
        <f t="shared" si="182"/>
        <v>-5.4776561219102106E-2</v>
      </c>
      <c r="BW53" s="8">
        <f t="shared" si="183"/>
        <v>-6.2692607313554638E-2</v>
      </c>
      <c r="BX53" s="8">
        <f t="shared" si="184"/>
        <v>3.3629693425700102E-2</v>
      </c>
      <c r="BY53" s="8">
        <f t="shared" si="185"/>
        <v>7.6156932651302522E-2</v>
      </c>
      <c r="BZ53" s="8">
        <f t="shared" si="186"/>
        <v>-9.4333336206470914E-3</v>
      </c>
      <c r="CA53" s="8">
        <f t="shared" si="187"/>
        <v>-8.2715457367792969E-2</v>
      </c>
      <c r="CB53" s="8">
        <f t="shared" si="188"/>
        <v>-1.5618427247841455E-2</v>
      </c>
      <c r="CC53" s="8">
        <f t="shared" si="189"/>
        <v>8.1773463917492753E-2</v>
      </c>
      <c r="CD53" s="8">
        <f t="shared" si="190"/>
        <v>3.9253931699004804E-2</v>
      </c>
      <c r="CE53" s="8">
        <f t="shared" si="191"/>
        <v>-7.3416370905483128E-2</v>
      </c>
      <c r="CF53" s="8">
        <f t="shared" si="192"/>
        <v>-5.9329946337798103E-2</v>
      </c>
      <c r="CG53" s="8">
        <f t="shared" si="193"/>
        <v>5.8401987451760604E-2</v>
      </c>
      <c r="CH53" s="8">
        <f t="shared" si="194"/>
        <v>7.4026007162604684E-2</v>
      </c>
      <c r="CI53" s="8">
        <f t="shared" si="195"/>
        <v>-3.8091796155125118E-2</v>
      </c>
      <c r="CJ53" s="8">
        <f t="shared" si="196"/>
        <v>-8.2009496610706931E-2</v>
      </c>
      <c r="CK53" s="8">
        <f t="shared" si="197"/>
        <v>1.43274958181831E-2</v>
      </c>
      <c r="CL53" s="8">
        <f t="shared" si="198"/>
        <v>8.2556483393499219E-2</v>
      </c>
      <c r="CM53" s="8">
        <f t="shared" si="199"/>
        <v>1.0736001139180872E-2</v>
      </c>
      <c r="CN53" s="8">
        <f t="shared" si="200"/>
        <v>-7.561736753980465E-2</v>
      </c>
      <c r="CO53" s="8">
        <f t="shared" si="201"/>
        <v>-3.4825973024622064E-2</v>
      </c>
      <c r="CP53" s="8">
        <f t="shared" si="202"/>
        <v>6.1821378049597676E-2</v>
      </c>
      <c r="CQ53" s="8">
        <f t="shared" si="203"/>
        <v>5.575797599277011E-2</v>
      </c>
      <c r="CR53" s="8">
        <f t="shared" si="204"/>
        <v>-4.2419515317402477E-2</v>
      </c>
      <c r="CS53" s="8">
        <f t="shared" si="205"/>
        <v>-7.1633926257034533E-2</v>
      </c>
      <c r="CT53" s="8">
        <f t="shared" si="206"/>
        <v>1.917111222395557E-2</v>
      </c>
      <c r="CU53" s="8">
        <f t="shared" si="112"/>
        <v>8.1014215585032398E-2</v>
      </c>
      <c r="CX53">
        <v>2.1581010074752504E-2</v>
      </c>
      <c r="CY53">
        <v>8.7253383577411955E-2</v>
      </c>
      <c r="DA53" s="21"/>
    </row>
    <row r="54" spans="1:105">
      <c r="A54" s="15">
        <v>52</v>
      </c>
      <c r="B54" s="16">
        <v>51</v>
      </c>
      <c r="C54" s="8">
        <f t="shared" si="113"/>
        <v>3.9318256327243257</v>
      </c>
      <c r="D54" s="8">
        <f t="shared" si="114"/>
        <v>3.5113978494623654</v>
      </c>
      <c r="E54" s="7">
        <f t="shared" si="115"/>
        <v>1.7884615384615385</v>
      </c>
      <c r="F54" s="8"/>
      <c r="G54" s="8"/>
      <c r="H54" s="8">
        <f t="shared" si="119"/>
        <v>-7.8839257208908137E-2</v>
      </c>
      <c r="I54" s="8">
        <f t="shared" si="116"/>
        <v>-3.0561176229385804E-2</v>
      </c>
      <c r="J54" s="8">
        <f t="shared" si="117"/>
        <v>6.2463705599202168E-2</v>
      </c>
      <c r="K54" s="8">
        <f t="shared" si="118"/>
        <v>5.6990345257702642E-2</v>
      </c>
      <c r="L54" s="8">
        <f t="shared" si="120"/>
        <v>-3.7642782665954638E-2</v>
      </c>
      <c r="M54" s="8">
        <f t="shared" si="121"/>
        <v>-7.5714165668913327E-2</v>
      </c>
      <c r="N54" s="8">
        <f t="shared" si="122"/>
        <v>7.7323877871069762E-3</v>
      </c>
      <c r="O54" s="8">
        <f t="shared" si="123"/>
        <v>8.4201093513598432E-2</v>
      </c>
      <c r="P54" s="8">
        <f t="shared" si="124"/>
        <v>2.322346037462376E-2</v>
      </c>
      <c r="Q54" s="8">
        <f t="shared" si="125"/>
        <v>-8.1303658331001505E-2</v>
      </c>
      <c r="R54" s="8">
        <f t="shared" si="126"/>
        <v>-5.1039393214331895E-2</v>
      </c>
      <c r="S54" s="8">
        <f t="shared" si="127"/>
        <v>6.7413606268236087E-2</v>
      </c>
      <c r="T54" s="8">
        <f t="shared" si="128"/>
        <v>7.1954572669521211E-2</v>
      </c>
      <c r="U54" s="8">
        <f t="shared" si="129"/>
        <v>-4.440893425564884E-2</v>
      </c>
      <c r="V54" s="8">
        <f t="shared" si="130"/>
        <v>-8.3141173283742306E-2</v>
      </c>
      <c r="W54" s="8">
        <f t="shared" si="131"/>
        <v>1.5399976453835347E-2</v>
      </c>
      <c r="X54" s="8">
        <f t="shared" si="132"/>
        <v>8.308671680856318E-2</v>
      </c>
      <c r="Y54" s="8">
        <f t="shared" si="133"/>
        <v>1.569112678393669E-2</v>
      </c>
      <c r="Z54" s="8">
        <f t="shared" si="134"/>
        <v>-7.1798566002075986E-2</v>
      </c>
      <c r="AA54" s="8">
        <f t="shared" si="135"/>
        <v>-4.4660719763809087E-2</v>
      </c>
      <c r="AB54" s="8">
        <f t="shared" si="136"/>
        <v>5.0802929151195282E-2</v>
      </c>
      <c r="AC54" s="8">
        <f t="shared" si="137"/>
        <v>6.7591984431843569E-2</v>
      </c>
      <c r="AD54" s="8">
        <f t="shared" si="138"/>
        <v>-2.2938509910771662E-2</v>
      </c>
      <c r="AE54" s="8">
        <f t="shared" si="139"/>
        <v>-8.1384511627516559E-2</v>
      </c>
      <c r="AF54" s="8">
        <f t="shared" si="140"/>
        <v>-8.0272980792767297E-3</v>
      </c>
      <c r="AG54" s="8">
        <f t="shared" si="141"/>
        <v>8.4173490217065314E-2</v>
      </c>
      <c r="AH54" s="8">
        <f t="shared" si="142"/>
        <v>3.7907779600875179E-2</v>
      </c>
      <c r="AI54" s="8">
        <f t="shared" si="143"/>
        <v>-7.5581837868018406E-2</v>
      </c>
      <c r="AJ54" s="8">
        <f t="shared" si="144"/>
        <v>-6.2662960410496252E-2</v>
      </c>
      <c r="AK54" s="8">
        <f t="shared" si="145"/>
        <v>5.67711842607544E-2</v>
      </c>
      <c r="AL54" s="8">
        <f t="shared" si="146"/>
        <v>7.8945829758246405E-2</v>
      </c>
      <c r="AM54" s="8">
        <f t="shared" si="147"/>
        <v>-3.0284813579712279E-2</v>
      </c>
      <c r="AN54" s="8">
        <f t="shared" si="148"/>
        <v>-8.4554871154905634E-2</v>
      </c>
      <c r="AO54" s="8">
        <f t="shared" si="149"/>
        <v>-2.9619884074288114E-4</v>
      </c>
      <c r="AP54" s="8">
        <f t="shared" si="150"/>
        <v>7.8731717210811375E-2</v>
      </c>
      <c r="AQ54" s="8">
        <f t="shared" si="151"/>
        <v>3.0837163858123812E-2</v>
      </c>
      <c r="AR54" s="8">
        <f t="shared" si="152"/>
        <v>-6.226368428608426E-2</v>
      </c>
      <c r="AS54" s="8">
        <f t="shared" si="153"/>
        <v>-5.7208806917281314E-2</v>
      </c>
      <c r="AT54" s="8">
        <f t="shared" si="154"/>
        <v>3.7377323810607356E-2</v>
      </c>
      <c r="AU54" s="8">
        <f t="shared" si="155"/>
        <v>7.5845564369532867E-2</v>
      </c>
      <c r="AV54" s="8">
        <f t="shared" si="156"/>
        <v>-7.4373826096071757E-3</v>
      </c>
      <c r="AW54" s="8">
        <f t="shared" si="157"/>
        <v>-8.4227663565447808E-2</v>
      </c>
      <c r="AX54" s="8">
        <f t="shared" si="158"/>
        <v>-2.350812585979066E-2</v>
      </c>
      <c r="AY54" s="8">
        <f t="shared" si="159"/>
        <v>8.1221807344679237E-2</v>
      </c>
      <c r="AZ54" s="8">
        <f t="shared" si="160"/>
        <v>5.1275230965155245E-2</v>
      </c>
      <c r="BA54" s="8">
        <f t="shared" si="161"/>
        <v>-6.7234400861805377E-2</v>
      </c>
      <c r="BB54" s="8">
        <f t="shared" si="162"/>
        <v>-7.2109696371240234E-2</v>
      </c>
      <c r="BC54" s="8">
        <f t="shared" si="163"/>
        <v>4.4156603798565536E-2</v>
      </c>
      <c r="BD54" s="8">
        <f t="shared" si="164"/>
        <v>8.3194609520683319E-2</v>
      </c>
      <c r="BE54" s="8">
        <f t="shared" si="165"/>
        <v>-1.5108637148233376E-2</v>
      </c>
      <c r="BF54" s="8">
        <f t="shared" si="166"/>
        <v>-8.3031240763389705E-2</v>
      </c>
      <c r="BG54" s="8">
        <f t="shared" si="167"/>
        <v>-1.5982084565786814E-2</v>
      </c>
      <c r="BH54" s="8">
        <f t="shared" si="168"/>
        <v>7.1641678283286603E-2</v>
      </c>
      <c r="BI54" s="8">
        <f t="shared" si="169"/>
        <v>4.491195723334724E-2</v>
      </c>
      <c r="BJ54" s="8">
        <f t="shared" si="170"/>
        <v>-5.0565841677432347E-2</v>
      </c>
      <c r="BK54" s="8">
        <f t="shared" si="171"/>
        <v>-6.7769533163721848E-2</v>
      </c>
      <c r="BL54" s="8">
        <f t="shared" si="172"/>
        <v>2.2653277964904579E-2</v>
      </c>
      <c r="BM54" s="8">
        <f t="shared" si="173"/>
        <v>8.1464366242061437E-2</v>
      </c>
      <c r="BN54" s="8">
        <f t="shared" si="174"/>
        <v>8.3221098672263284E-3</v>
      </c>
      <c r="BO54" s="8">
        <f t="shared" si="175"/>
        <v>-8.4144854014572779E-2</v>
      </c>
      <c r="BP54" s="8">
        <f t="shared" si="176"/>
        <v>-3.8172311363550065E-2</v>
      </c>
      <c r="BQ54" s="8">
        <f t="shared" si="177"/>
        <v>7.5448582590663268E-2</v>
      </c>
      <c r="BR54" s="8">
        <f t="shared" si="178"/>
        <v>6.2861446274879579E-2</v>
      </c>
      <c r="BS54" s="8">
        <f t="shared" si="179"/>
        <v>-5.6551326615795476E-2</v>
      </c>
      <c r="BT54" s="8">
        <f t="shared" si="180"/>
        <v>-7.9051433551058051E-2</v>
      </c>
      <c r="BU54" s="8">
        <f t="shared" si="181"/>
        <v>3.0008079300391791E-2</v>
      </c>
      <c r="BV54" s="8">
        <f t="shared" si="182"/>
        <v>8.455331477280642E-2</v>
      </c>
      <c r="BW54" s="8">
        <f t="shared" si="183"/>
        <v>5.9239404678382724E-4</v>
      </c>
      <c r="BX54" s="8">
        <f t="shared" si="184"/>
        <v>-7.8623211083596281E-2</v>
      </c>
      <c r="BY54" s="8">
        <f t="shared" si="185"/>
        <v>-3.1112773079238886E-2</v>
      </c>
      <c r="BZ54" s="8">
        <f t="shared" si="186"/>
        <v>6.2062898925635664E-2</v>
      </c>
      <c r="CA54" s="8">
        <f t="shared" si="187"/>
        <v>5.742656655871288E-2</v>
      </c>
      <c r="CB54" s="8">
        <f t="shared" si="188"/>
        <v>-3.7111406292319744E-2</v>
      </c>
      <c r="CC54" s="8">
        <f t="shared" si="189"/>
        <v>-7.5976032357463363E-2</v>
      </c>
      <c r="CD54" s="8">
        <f t="shared" si="190"/>
        <v>7.1422861668302912E-3</v>
      </c>
      <c r="CE54" s="8">
        <f t="shared" si="191"/>
        <v>8.4253200046568277E-2</v>
      </c>
      <c r="CF54" s="8">
        <f t="shared" si="192"/>
        <v>2.3792502873096876E-2</v>
      </c>
      <c r="CG54" s="8">
        <f t="shared" si="193"/>
        <v>-8.1138959672956285E-2</v>
      </c>
      <c r="CH54" s="8">
        <f t="shared" si="194"/>
        <v>-5.1510439509661519E-2</v>
      </c>
      <c r="CI54" s="8">
        <f t="shared" si="195"/>
        <v>6.7054370411610387E-2</v>
      </c>
      <c r="CJ54" s="8">
        <f t="shared" si="196"/>
        <v>7.2263935203686666E-2</v>
      </c>
      <c r="CK54" s="8">
        <f t="shared" si="197"/>
        <v>-4.3903731488944366E-2</v>
      </c>
      <c r="CL54" s="8">
        <f t="shared" si="198"/>
        <v>-8.3247024863661798E-2</v>
      </c>
      <c r="CM54" s="8">
        <f t="shared" si="199"/>
        <v>1.4817112442200893E-2</v>
      </c>
      <c r="CN54" s="8">
        <f t="shared" si="200"/>
        <v>8.2974745828977473E-2</v>
      </c>
      <c r="CO54" s="8">
        <f t="shared" si="201"/>
        <v>1.627284622899557E-2</v>
      </c>
      <c r="CP54" s="8">
        <f t="shared" si="202"/>
        <v>-7.1483911438345912E-2</v>
      </c>
      <c r="CQ54" s="8">
        <f t="shared" si="203"/>
        <v>-4.5162643581290358E-2</v>
      </c>
      <c r="CR54" s="8">
        <f t="shared" si="204"/>
        <v>5.032813370238004E-2</v>
      </c>
      <c r="CS54" s="8">
        <f t="shared" si="205"/>
        <v>6.7946250285143089E-2</v>
      </c>
      <c r="CT54" s="8">
        <f t="shared" si="206"/>
        <v>-2.2367768037147961E-2</v>
      </c>
      <c r="CU54" s="8">
        <f t="shared" si="112"/>
        <v>-8.1543221194727719E-2</v>
      </c>
      <c r="DA54" s="20">
        <v>3.1457503170590705E-3</v>
      </c>
    </row>
    <row r="55" spans="1:105">
      <c r="A55" s="15">
        <v>53</v>
      </c>
      <c r="B55" s="16">
        <v>71</v>
      </c>
      <c r="C55" s="8">
        <f t="shared" si="113"/>
        <v>4.2626798770413155</v>
      </c>
      <c r="D55" s="8">
        <f t="shared" si="114"/>
        <v>3.5789247311827959</v>
      </c>
      <c r="E55" s="7">
        <f t="shared" si="115"/>
        <v>1.7547169811320755</v>
      </c>
      <c r="F55" s="8"/>
      <c r="G55" s="8"/>
      <c r="H55" s="8">
        <f t="shared" si="119"/>
        <v>-8.3042945666375739E-2</v>
      </c>
      <c r="I55" s="8">
        <f t="shared" si="116"/>
        <v>-3.882468493663644E-2</v>
      </c>
      <c r="J55" s="8">
        <f t="shared" si="117"/>
        <v>5.8784152018960124E-2</v>
      </c>
      <c r="K55" s="8">
        <f t="shared" si="118"/>
        <v>7.0341385092913128E-2</v>
      </c>
      <c r="L55" s="8">
        <f t="shared" si="120"/>
        <v>-2.3460395732902845E-2</v>
      </c>
      <c r="M55" s="8">
        <f t="shared" si="121"/>
        <v>-8.8617700361910259E-2</v>
      </c>
      <c r="N55" s="8">
        <f t="shared" si="122"/>
        <v>-1.6279319503937326E-2</v>
      </c>
      <c r="O55" s="8">
        <f t="shared" si="123"/>
        <v>9.0213473172616757E-2</v>
      </c>
      <c r="P55" s="8">
        <f t="shared" si="124"/>
        <v>5.2954772419948636E-2</v>
      </c>
      <c r="Q55" s="8">
        <f t="shared" si="125"/>
        <v>-7.4828330619686842E-2</v>
      </c>
      <c r="R55" s="8">
        <f t="shared" si="126"/>
        <v>-7.9662528971546964E-2</v>
      </c>
      <c r="S55" s="8">
        <f t="shared" si="127"/>
        <v>4.5358223766315597E-2</v>
      </c>
      <c r="T55" s="8">
        <f t="shared" si="128"/>
        <v>9.1375378282064768E-2</v>
      </c>
      <c r="U55" s="8">
        <f t="shared" si="129"/>
        <v>-7.350321706380226E-3</v>
      </c>
      <c r="V55" s="8">
        <f t="shared" si="130"/>
        <v>-8.5888606401199566E-2</v>
      </c>
      <c r="W55" s="8">
        <f t="shared" si="131"/>
        <v>-3.2041134122211386E-2</v>
      </c>
      <c r="X55" s="8">
        <f t="shared" si="132"/>
        <v>6.4234990425896477E-2</v>
      </c>
      <c r="Y55" s="8">
        <f t="shared" si="133"/>
        <v>6.54014754448453E-2</v>
      </c>
      <c r="Z55" s="8">
        <f t="shared" si="134"/>
        <v>-3.0490398486071605E-2</v>
      </c>
      <c r="AA55" s="8">
        <f t="shared" si="135"/>
        <v>-8.6451272897154485E-2</v>
      </c>
      <c r="AB55" s="8">
        <f t="shared" si="136"/>
        <v>-8.9934124183623006E-3</v>
      </c>
      <c r="AC55" s="8">
        <f t="shared" si="137"/>
        <v>9.1228315332746127E-2</v>
      </c>
      <c r="AD55" s="8">
        <f t="shared" si="138"/>
        <v>4.6784389982767002E-2</v>
      </c>
      <c r="AE55" s="8">
        <f t="shared" si="139"/>
        <v>-7.883341829020285E-2</v>
      </c>
      <c r="AF55" s="8">
        <f t="shared" si="140"/>
        <v>-7.5769124547119163E-2</v>
      </c>
      <c r="AG55" s="8">
        <f t="shared" si="141"/>
        <v>5.1599677816250571E-2</v>
      </c>
      <c r="AH55" s="8">
        <f t="shared" si="142"/>
        <v>9.0491808822712502E-2</v>
      </c>
      <c r="AI55" s="8">
        <f t="shared" si="143"/>
        <v>-1.4653310935463317E-2</v>
      </c>
      <c r="AJ55" s="8">
        <f t="shared" si="144"/>
        <v>-8.8181186512485646E-2</v>
      </c>
      <c r="AK55" s="8">
        <f t="shared" si="145"/>
        <v>-2.5051254072958808E-2</v>
      </c>
      <c r="AL55" s="8">
        <f t="shared" si="146"/>
        <v>6.9272186907013811E-2</v>
      </c>
      <c r="AM55" s="8">
        <f t="shared" si="147"/>
        <v>6.0040412277877125E-2</v>
      </c>
      <c r="AN55" s="8">
        <f t="shared" si="148"/>
        <v>-3.7324057983560519E-2</v>
      </c>
      <c r="AO55" s="8">
        <f t="shared" si="149"/>
        <v>-8.3728141511785203E-2</v>
      </c>
      <c r="AP55" s="8">
        <f t="shared" si="150"/>
        <v>-1.6495921548179237E-3</v>
      </c>
      <c r="AQ55" s="8">
        <f t="shared" si="151"/>
        <v>9.1655691755070406E-2</v>
      </c>
      <c r="AR55" s="8">
        <f t="shared" si="152"/>
        <v>4.0312738952837393E-2</v>
      </c>
      <c r="AS55" s="8">
        <f t="shared" si="153"/>
        <v>-8.2330857298452215E-2</v>
      </c>
      <c r="AT55" s="8">
        <f t="shared" si="154"/>
        <v>-7.1387804013612693E-2</v>
      </c>
      <c r="AU55" s="8">
        <f t="shared" si="155"/>
        <v>5.7508855174588022E-2</v>
      </c>
      <c r="AV55" s="8">
        <f t="shared" si="156"/>
        <v>8.902551636730946E-2</v>
      </c>
      <c r="AW55" s="8">
        <f t="shared" si="157"/>
        <v>-2.1861940007959792E-2</v>
      </c>
      <c r="AX55" s="8">
        <f t="shared" si="158"/>
        <v>-8.9905922905446745E-2</v>
      </c>
      <c r="AY55" s="8">
        <f t="shared" si="159"/>
        <v>-1.7900056198168268E-2</v>
      </c>
      <c r="AZ55" s="8">
        <f t="shared" si="160"/>
        <v>7.3863304380289874E-2</v>
      </c>
      <c r="BA55" s="8">
        <f t="shared" si="161"/>
        <v>5.429271821710871E-2</v>
      </c>
      <c r="BB55" s="8">
        <f t="shared" si="162"/>
        <v>-4.3917368800036646E-2</v>
      </c>
      <c r="BC55" s="8">
        <f t="shared" si="163"/>
        <v>-8.0465841840244759E-2</v>
      </c>
      <c r="BD55" s="8">
        <f t="shared" si="164"/>
        <v>5.7048506755108287E-3</v>
      </c>
      <c r="BE55" s="8">
        <f t="shared" si="165"/>
        <v>9.1492850344427695E-2</v>
      </c>
      <c r="BF55" s="8">
        <f t="shared" si="166"/>
        <v>3.3581493597994679E-2</v>
      </c>
      <c r="BG55" s="8">
        <f t="shared" si="167"/>
        <v>-8.5298125847556347E-2</v>
      </c>
      <c r="BH55" s="8">
        <f t="shared" si="168"/>
        <v>-6.6546780932688801E-2</v>
      </c>
      <c r="BI55" s="8">
        <f t="shared" si="169"/>
        <v>6.3047703628874893E-2</v>
      </c>
      <c r="BJ55" s="8">
        <f t="shared" si="170"/>
        <v>8.698594312221504E-2</v>
      </c>
      <c r="BK55" s="8">
        <f t="shared" si="171"/>
        <v>-2.8929788877841565E-2</v>
      </c>
      <c r="BL55" s="8">
        <f t="shared" si="172"/>
        <v>-9.1051709121151223E-2</v>
      </c>
      <c r="BM55" s="8">
        <f t="shared" si="173"/>
        <v>-1.0633590715039918E-2</v>
      </c>
      <c r="BN55" s="8">
        <f t="shared" si="174"/>
        <v>7.7978778294367335E-2</v>
      </c>
      <c r="BO55" s="8">
        <f t="shared" si="175"/>
        <v>4.8195405601526173E-2</v>
      </c>
      <c r="BP55" s="8">
        <f t="shared" si="176"/>
        <v>-5.0227873238138224E-2</v>
      </c>
      <c r="BQ55" s="8">
        <f t="shared" si="177"/>
        <v>-7.6685381497070437E-2</v>
      </c>
      <c r="BR55" s="8">
        <f t="shared" si="178"/>
        <v>1.3022557057305872E-2</v>
      </c>
      <c r="BS55" s="8">
        <f t="shared" si="179"/>
        <v>9.0740839719868849E-2</v>
      </c>
      <c r="BT55" s="8">
        <f t="shared" si="180"/>
        <v>2.6633999846573598E-2</v>
      </c>
      <c r="BU55" s="8">
        <f t="shared" si="181"/>
        <v>-8.7716116179128875E-2</v>
      </c>
      <c r="BV55" s="8">
        <f t="shared" si="182"/>
        <v>-6.1277229125604973E-2</v>
      </c>
      <c r="BW55" s="8">
        <f t="shared" si="183"/>
        <v>6.8180555703703571E-2</v>
      </c>
      <c r="BX55" s="8">
        <f t="shared" si="184"/>
        <v>8.4386222941724418E-2</v>
      </c>
      <c r="BY55" s="8">
        <f t="shared" si="185"/>
        <v>-3.5811344054744752E-2</v>
      </c>
      <c r="BZ55" s="8">
        <f t="shared" si="186"/>
        <v>-9.1611166856688589E-2</v>
      </c>
      <c r="CA55" s="8">
        <f t="shared" si="187"/>
        <v>-3.2986501077983937E-3</v>
      </c>
      <c r="CB55" s="8">
        <f t="shared" si="188"/>
        <v>8.159210700981058E-2</v>
      </c>
      <c r="CC55" s="8">
        <f t="shared" si="189"/>
        <v>4.1787738142633861E-2</v>
      </c>
      <c r="CD55" s="8">
        <f t="shared" si="190"/>
        <v>-5.621493473527784E-2</v>
      </c>
      <c r="CE55" s="8">
        <f t="shared" si="191"/>
        <v>-7.2411104798132772E-2</v>
      </c>
      <c r="CF55" s="8">
        <f t="shared" si="192"/>
        <v>2.0256404540008103E-2</v>
      </c>
      <c r="CG55" s="8">
        <f t="shared" si="193"/>
        <v>8.9404502462064259E-2</v>
      </c>
      <c r="CH55" s="8">
        <f t="shared" si="194"/>
        <v>1.9514996160835511E-2</v>
      </c>
      <c r="CI55" s="8">
        <f t="shared" si="195"/>
        <v>-8.9569257617891931E-2</v>
      </c>
      <c r="CJ55" s="8">
        <f t="shared" si="196"/>
        <v>-5.5613081929057548E-2</v>
      </c>
      <c r="CK55" s="8">
        <f t="shared" si="197"/>
        <v>7.2874358341803933E-2</v>
      </c>
      <c r="CL55" s="8">
        <f t="shared" si="198"/>
        <v>8.1243096752471738E-2</v>
      </c>
      <c r="CM55" s="8">
        <f t="shared" si="199"/>
        <v>-4.2462291688582149E-2</v>
      </c>
      <c r="CN55" s="8">
        <f t="shared" si="200"/>
        <v>-9.1580693477830669E-2</v>
      </c>
      <c r="CO55" s="8">
        <f t="shared" si="201"/>
        <v>4.0575321930132902E-3</v>
      </c>
      <c r="CP55" s="8">
        <f t="shared" si="202"/>
        <v>8.4680022456701615E-2</v>
      </c>
      <c r="CQ55" s="8">
        <f t="shared" si="203"/>
        <v>3.5110978085354266E-2</v>
      </c>
      <c r="CR55" s="8">
        <f t="shared" si="204"/>
        <v>-6.1839999543236442E-2</v>
      </c>
      <c r="CS55" s="8">
        <f t="shared" si="205"/>
        <v>-6.7670535995145123E-2</v>
      </c>
      <c r="CT55" s="8">
        <f t="shared" si="206"/>
        <v>2.7359810683365848E-2</v>
      </c>
      <c r="CU55" s="8">
        <f t="shared" si="112"/>
        <v>8.7492443929450825E-2</v>
      </c>
      <c r="CX55">
        <v>0.14398859949726031</v>
      </c>
      <c r="CY55">
        <v>0.58862860817808527</v>
      </c>
      <c r="DA55" s="21"/>
    </row>
    <row r="56" spans="1:105">
      <c r="A56" s="15">
        <v>54</v>
      </c>
      <c r="B56" s="16">
        <v>37</v>
      </c>
      <c r="C56" s="8">
        <f t="shared" si="113"/>
        <v>3.6109179126442243</v>
      </c>
      <c r="D56" s="8">
        <f t="shared" si="114"/>
        <v>3.6464516129032258</v>
      </c>
      <c r="E56" s="7">
        <f t="shared" si="115"/>
        <v>1.7222222222222223</v>
      </c>
      <c r="F56" s="8"/>
      <c r="G56" s="8"/>
      <c r="H56" s="8">
        <f t="shared" si="119"/>
        <v>-6.7966226913615202E-2</v>
      </c>
      <c r="I56" s="8">
        <f t="shared" si="116"/>
        <v>-3.7560069263560474E-2</v>
      </c>
      <c r="J56" s="8">
        <f t="shared" si="117"/>
        <v>4.1319739552859669E-2</v>
      </c>
      <c r="K56" s="8">
        <f t="shared" si="118"/>
        <v>6.5748353038234619E-2</v>
      </c>
      <c r="L56" s="8">
        <f t="shared" si="120"/>
        <v>-4.3633740918062845E-3</v>
      </c>
      <c r="M56" s="8">
        <f t="shared" si="121"/>
        <v>-7.7531463100417794E-2</v>
      </c>
      <c r="N56" s="8">
        <f t="shared" si="122"/>
        <v>-3.3681716890737158E-2</v>
      </c>
      <c r="O56" s="8">
        <f t="shared" si="123"/>
        <v>6.9969341509326224E-2</v>
      </c>
      <c r="P56" s="8">
        <f t="shared" si="124"/>
        <v>6.3322727907868359E-2</v>
      </c>
      <c r="Q56" s="8">
        <f t="shared" si="125"/>
        <v>-4.4948847974809775E-2</v>
      </c>
      <c r="R56" s="8">
        <f t="shared" si="126"/>
        <v>-7.7163794085722978E-2</v>
      </c>
      <c r="S56" s="8">
        <f t="shared" si="127"/>
        <v>8.7129608201022158E-3</v>
      </c>
      <c r="T56" s="8">
        <f t="shared" si="128"/>
        <v>7.1751367395778892E-2</v>
      </c>
      <c r="U56" s="8">
        <f t="shared" si="129"/>
        <v>2.9696937229156294E-2</v>
      </c>
      <c r="V56" s="8">
        <f t="shared" si="130"/>
        <v>-4.8435927294198405E-2</v>
      </c>
      <c r="W56" s="8">
        <f t="shared" si="131"/>
        <v>-6.069701599838017E-2</v>
      </c>
      <c r="X56" s="8">
        <f t="shared" si="132"/>
        <v>1.3035016386606547E-2</v>
      </c>
      <c r="Y56" s="8">
        <f t="shared" si="133"/>
        <v>7.6552303373297603E-2</v>
      </c>
      <c r="Z56" s="8">
        <f t="shared" si="134"/>
        <v>2.5618321361899381E-2</v>
      </c>
      <c r="AA56" s="8">
        <f t="shared" si="135"/>
        <v>-7.3306673738172984E-2</v>
      </c>
      <c r="AB56" s="8">
        <f t="shared" si="136"/>
        <v>-5.787951401864911E-2</v>
      </c>
      <c r="AC56" s="8">
        <f t="shared" si="137"/>
        <v>5.1769959058526327E-2</v>
      </c>
      <c r="AD56" s="8">
        <f t="shared" si="138"/>
        <v>7.569892314785874E-2</v>
      </c>
      <c r="AE56" s="8">
        <f t="shared" si="139"/>
        <v>-1.73158839858399E-2</v>
      </c>
      <c r="AF56" s="8">
        <f t="shared" si="140"/>
        <v>-7.4630346088776181E-2</v>
      </c>
      <c r="AG56" s="8">
        <f t="shared" si="141"/>
        <v>-2.1458756875131012E-2</v>
      </c>
      <c r="AH56" s="8">
        <f t="shared" si="142"/>
        <v>5.494040841404902E-2</v>
      </c>
      <c r="AI56" s="8">
        <f t="shared" si="143"/>
        <v>5.4879124694677692E-2</v>
      </c>
      <c r="AJ56" s="8">
        <f t="shared" si="144"/>
        <v>-2.1542036957816285E-2</v>
      </c>
      <c r="AK56" s="8">
        <f t="shared" si="145"/>
        <v>-7.4606349915168541E-2</v>
      </c>
      <c r="AL56" s="8">
        <f t="shared" si="146"/>
        <v>-1.7231387135983912E-2</v>
      </c>
      <c r="AM56" s="8">
        <f t="shared" si="147"/>
        <v>7.5718201915565456E-2</v>
      </c>
      <c r="AN56" s="8">
        <f t="shared" si="148"/>
        <v>5.1705328638811658E-2</v>
      </c>
      <c r="AO56" s="8">
        <f t="shared" si="149"/>
        <v>-5.7937257393744258E-2</v>
      </c>
      <c r="AP56" s="8">
        <f t="shared" si="150"/>
        <v>-7.3278035981631295E-2</v>
      </c>
      <c r="AQ56" s="8">
        <f t="shared" si="151"/>
        <v>2.5700121529503347E-2</v>
      </c>
      <c r="AR56" s="8">
        <f t="shared" si="152"/>
        <v>7.65668038181678E-2</v>
      </c>
      <c r="AS56" s="8">
        <f t="shared" si="153"/>
        <v>1.2949569762223601E-2</v>
      </c>
      <c r="AT56" s="8">
        <f t="shared" si="154"/>
        <v>-6.07510365720259E-2</v>
      </c>
      <c r="AU56" s="8">
        <f t="shared" si="155"/>
        <v>-4.8368154392956358E-2</v>
      </c>
      <c r="AV56" s="8">
        <f t="shared" si="156"/>
        <v>2.977699900999678E-2</v>
      </c>
      <c r="AW56" s="8">
        <f t="shared" si="157"/>
        <v>7.1718178545715605E-2</v>
      </c>
      <c r="AX56" s="8">
        <f t="shared" si="158"/>
        <v>8.6268344149276928E-3</v>
      </c>
      <c r="AY56" s="8">
        <f t="shared" si="159"/>
        <v>-7.7173470389337237E-2</v>
      </c>
      <c r="AZ56" s="8">
        <f t="shared" si="160"/>
        <v>-4.4878146740450313E-2</v>
      </c>
      <c r="BA56" s="8">
        <f t="shared" si="161"/>
        <v>6.3372854986177646E-2</v>
      </c>
      <c r="BB56" s="8">
        <f t="shared" si="162"/>
        <v>6.9931706435672619E-2</v>
      </c>
      <c r="BC56" s="8">
        <f t="shared" si="163"/>
        <v>-3.375978730607461E-2</v>
      </c>
      <c r="BD56" s="8">
        <f t="shared" si="164"/>
        <v>-7.7536284687649448E-2</v>
      </c>
      <c r="BE56" s="8">
        <f t="shared" si="165"/>
        <v>-4.276840047543271E-3</v>
      </c>
      <c r="BF56" s="8">
        <f t="shared" si="166"/>
        <v>6.5794428229963633E-2</v>
      </c>
      <c r="BG56" s="8">
        <f t="shared" si="167"/>
        <v>4.1246333386722484E-2</v>
      </c>
      <c r="BH56" s="8">
        <f t="shared" si="168"/>
        <v>-3.763590162696083E-2</v>
      </c>
      <c r="BI56" s="8">
        <f t="shared" si="169"/>
        <v>-6.7924264535453152E-2</v>
      </c>
      <c r="BJ56" s="8">
        <f t="shared" si="170"/>
        <v>8.666825359297872E-5</v>
      </c>
      <c r="BK56" s="8">
        <f t="shared" si="171"/>
        <v>7.7654100294641953E-2</v>
      </c>
      <c r="BL56" s="8">
        <f t="shared" si="172"/>
        <v>3.7484190114012945E-2</v>
      </c>
      <c r="BM56" s="8">
        <f t="shared" si="173"/>
        <v>-6.8008104630646979E-2</v>
      </c>
      <c r="BN56" s="8">
        <f t="shared" si="174"/>
        <v>-6.5702195948037126E-2</v>
      </c>
      <c r="BO56" s="8">
        <f t="shared" si="175"/>
        <v>4.1393094249671955E-2</v>
      </c>
      <c r="BP56" s="8">
        <f t="shared" si="176"/>
        <v>7.7526544937260369E-2</v>
      </c>
      <c r="BQ56" s="8">
        <f t="shared" si="177"/>
        <v>-4.4499027008957593E-3</v>
      </c>
      <c r="BR56" s="8">
        <f t="shared" si="178"/>
        <v>-7.0006889426699484E-2</v>
      </c>
      <c r="BS56" s="8">
        <f t="shared" si="179"/>
        <v>-3.3603604520264847E-2</v>
      </c>
      <c r="BT56" s="8">
        <f t="shared" si="180"/>
        <v>4.5019493219299288E-2</v>
      </c>
      <c r="BU56" s="8">
        <f t="shared" si="181"/>
        <v>6.327252195253448E-2</v>
      </c>
      <c r="BV56" s="8">
        <f t="shared" si="182"/>
        <v>-8.7990763721047943E-3</v>
      </c>
      <c r="BW56" s="8">
        <f t="shared" si="183"/>
        <v>-7.7154021664164463E-2</v>
      </c>
      <c r="BX56" s="8">
        <f t="shared" si="184"/>
        <v>-2.9616838456763061E-2</v>
      </c>
      <c r="BY56" s="8">
        <f t="shared" si="185"/>
        <v>7.1784466869807509E-2</v>
      </c>
      <c r="BZ56" s="8">
        <f t="shared" si="186"/>
        <v>6.0642919818389873E-2</v>
      </c>
      <c r="CA56" s="8">
        <f t="shared" si="187"/>
        <v>-4.8503639861940555E-2</v>
      </c>
      <c r="CB56" s="8">
        <f t="shared" si="188"/>
        <v>-7.6537707572177302E-2</v>
      </c>
      <c r="CC56" s="8">
        <f t="shared" si="189"/>
        <v>1.3120446774114282E-2</v>
      </c>
      <c r="CD56" s="8">
        <f t="shared" si="190"/>
        <v>7.3335220181335925E-2</v>
      </c>
      <c r="CE56" s="8">
        <f t="shared" si="191"/>
        <v>2.5536489283209448E-2</v>
      </c>
      <c r="CF56" s="8">
        <f t="shared" si="192"/>
        <v>-5.183452499175311E-2</v>
      </c>
      <c r="CG56" s="8">
        <f t="shared" si="193"/>
        <v>-5.7821698546789632E-2</v>
      </c>
      <c r="CH56" s="8">
        <f t="shared" si="194"/>
        <v>1.7400359266418797E-2</v>
      </c>
      <c r="CI56" s="8">
        <f t="shared" si="195"/>
        <v>7.56795500869029E-2</v>
      </c>
      <c r="CJ56" s="8">
        <f t="shared" si="196"/>
        <v>2.1375450062660558E-2</v>
      </c>
      <c r="CK56" s="8">
        <f t="shared" si="197"/>
        <v>-7.4654249300191849E-2</v>
      </c>
      <c r="CL56" s="8">
        <f t="shared" si="198"/>
        <v>-5.4817772615933243E-2</v>
      </c>
      <c r="CM56" s="8">
        <f t="shared" si="199"/>
        <v>5.5001623697708529E-2</v>
      </c>
      <c r="CN56" s="8">
        <f t="shared" si="200"/>
        <v>7.4582260809259587E-2</v>
      </c>
      <c r="CO56" s="8">
        <f t="shared" si="201"/>
        <v>-2.1625290206979245E-2</v>
      </c>
      <c r="CP56" s="8">
        <f t="shared" si="202"/>
        <v>-7.5737386366008574E-2</v>
      </c>
      <c r="CQ56" s="8">
        <f t="shared" si="203"/>
        <v>-1.7146868822103638E-2</v>
      </c>
      <c r="CR56" s="8">
        <f t="shared" si="204"/>
        <v>5.7994928600147544E-2</v>
      </c>
      <c r="CS56" s="8">
        <f t="shared" si="205"/>
        <v>5.1640633813115434E-2</v>
      </c>
      <c r="CT56" s="8">
        <f t="shared" si="206"/>
        <v>-2.5781889684129214E-2</v>
      </c>
      <c r="CU56" s="8">
        <f t="shared" si="112"/>
        <v>-7.3249306947382686E-2</v>
      </c>
      <c r="DA56" s="20">
        <v>2.6813518549499737E-4</v>
      </c>
    </row>
    <row r="57" spans="1:105">
      <c r="A57" s="15">
        <v>55</v>
      </c>
      <c r="B57" s="16">
        <v>36</v>
      </c>
      <c r="C57" s="8">
        <f t="shared" si="113"/>
        <v>3.5835189384561099</v>
      </c>
      <c r="D57" s="8">
        <f t="shared" si="114"/>
        <v>3.7139784946236563</v>
      </c>
      <c r="E57" s="7">
        <f t="shared" si="115"/>
        <v>1.6909090909090909</v>
      </c>
      <c r="F57" s="8"/>
      <c r="G57" s="8"/>
      <c r="H57" s="8">
        <f t="shared" si="119"/>
        <v>-6.4781630341507579E-2</v>
      </c>
      <c r="I57" s="8">
        <f t="shared" si="116"/>
        <v>-4.1741379830145794E-2</v>
      </c>
      <c r="J57" s="8">
        <f t="shared" si="117"/>
        <v>3.1847392186408585E-2</v>
      </c>
      <c r="K57" s="8">
        <f t="shared" si="118"/>
        <v>7.0176534758801812E-2</v>
      </c>
      <c r="L57" s="8">
        <f t="shared" si="120"/>
        <v>1.1239087334038181E-2</v>
      </c>
      <c r="M57" s="8">
        <f t="shared" si="121"/>
        <v>-7.6240968879770277E-2</v>
      </c>
      <c r="N57" s="8">
        <f t="shared" si="122"/>
        <v>-5.0742795408913584E-2</v>
      </c>
      <c r="O57" s="8">
        <f t="shared" si="123"/>
        <v>5.8001475273628825E-2</v>
      </c>
      <c r="P57" s="8">
        <f t="shared" si="124"/>
        <v>7.4070827198318867E-2</v>
      </c>
      <c r="Q57" s="8">
        <f t="shared" si="125"/>
        <v>-2.1272399441177824E-2</v>
      </c>
      <c r="R57" s="8">
        <f t="shared" si="126"/>
        <v>-7.3786724234373047E-2</v>
      </c>
      <c r="S57" s="8">
        <f t="shared" si="127"/>
        <v>-2.2237844917815709E-2</v>
      </c>
      <c r="T57" s="8">
        <f t="shared" si="128"/>
        <v>4.998105223265193E-2</v>
      </c>
      <c r="U57" s="8">
        <f t="shared" si="129"/>
        <v>5.8659158172830579E-2</v>
      </c>
      <c r="V57" s="8">
        <f t="shared" si="130"/>
        <v>-1.0242530753337181E-2</v>
      </c>
      <c r="W57" s="8">
        <f t="shared" si="131"/>
        <v>-7.6381234499025868E-2</v>
      </c>
      <c r="X57" s="8">
        <f t="shared" si="132"/>
        <v>-3.2761082065049726E-2</v>
      </c>
      <c r="Y57" s="8">
        <f t="shared" si="133"/>
        <v>6.9754669533697272E-2</v>
      </c>
      <c r="Z57" s="8">
        <f t="shared" si="134"/>
        <v>6.5321189475910701E-2</v>
      </c>
      <c r="AA57" s="8">
        <f t="shared" si="135"/>
        <v>-4.0891865025704209E-2</v>
      </c>
      <c r="AB57" s="8">
        <f t="shared" si="136"/>
        <v>-7.7058352328250812E-2</v>
      </c>
      <c r="AC57" s="8">
        <f t="shared" si="137"/>
        <v>-1.0063579300623202E-3</v>
      </c>
      <c r="AD57" s="8">
        <f t="shared" si="138"/>
        <v>6.423102376247472E-2</v>
      </c>
      <c r="AE57" s="8">
        <f t="shared" si="139"/>
        <v>4.2583776326820109E-2</v>
      </c>
      <c r="AF57" s="8">
        <f t="shared" si="140"/>
        <v>-3.0928271257330265E-2</v>
      </c>
      <c r="AG57" s="8">
        <f t="shared" si="141"/>
        <v>-7.0586432526805298E-2</v>
      </c>
      <c r="AH57" s="8">
        <f t="shared" si="142"/>
        <v>-1.2233727272716486E-2</v>
      </c>
      <c r="AI57" s="8">
        <f t="shared" si="143"/>
        <v>7.6087701613631556E-2</v>
      </c>
      <c r="AJ57" s="8">
        <f t="shared" si="144"/>
        <v>5.1495885233605238E-2</v>
      </c>
      <c r="AK57" s="8">
        <f t="shared" si="145"/>
        <v>-5.733390117404881E-2</v>
      </c>
      <c r="AL57" s="8">
        <f t="shared" si="146"/>
        <v>-7.4342298597454864E-2</v>
      </c>
      <c r="AM57" s="8">
        <f t="shared" si="147"/>
        <v>2.0303326305684412E-2</v>
      </c>
      <c r="AN57" s="8">
        <f t="shared" si="148"/>
        <v>7.3490038154718537E-2</v>
      </c>
      <c r="AO57" s="8">
        <f t="shared" si="149"/>
        <v>2.3199498094705683E-2</v>
      </c>
      <c r="AP57" s="8">
        <f t="shared" si="150"/>
        <v>-4.9210785607626019E-2</v>
      </c>
      <c r="AQ57" s="8">
        <f t="shared" si="151"/>
        <v>-5.9306837714621953E-2</v>
      </c>
      <c r="AR57" s="8">
        <f t="shared" si="152"/>
        <v>9.2442274769942955E-3</v>
      </c>
      <c r="AS57" s="8">
        <f t="shared" si="153"/>
        <v>7.6508474551397393E-2</v>
      </c>
      <c r="AT57" s="8">
        <f t="shared" si="154"/>
        <v>3.3669185078429177E-2</v>
      </c>
      <c r="AU57" s="8">
        <f t="shared" si="155"/>
        <v>-6.9320908793687352E-2</v>
      </c>
      <c r="AV57" s="8">
        <f t="shared" si="156"/>
        <v>-6.5849609152722741E-2</v>
      </c>
      <c r="AW57" s="8">
        <f t="shared" si="157"/>
        <v>4.0035376784312793E-2</v>
      </c>
      <c r="AX57" s="8">
        <f t="shared" si="158"/>
        <v>7.7038640210618251E-2</v>
      </c>
      <c r="AY57" s="8">
        <f t="shared" si="159"/>
        <v>2.0125442422840359E-3</v>
      </c>
      <c r="AZ57" s="8">
        <f t="shared" si="160"/>
        <v>-6.3669463635733781E-2</v>
      </c>
      <c r="BA57" s="8">
        <f t="shared" si="161"/>
        <v>-4.3418910858820603E-2</v>
      </c>
      <c r="BB57" s="8">
        <f t="shared" si="162"/>
        <v>3.0003876018816232E-2</v>
      </c>
      <c r="BC57" s="8">
        <f t="shared" si="163"/>
        <v>7.0984292936365448E-2</v>
      </c>
      <c r="BD57" s="8">
        <f t="shared" si="164"/>
        <v>1.3226280949842883E-2</v>
      </c>
      <c r="BE57" s="8">
        <f t="shared" si="165"/>
        <v>-7.5921458837828332E-2</v>
      </c>
      <c r="BF57" s="8">
        <f t="shared" si="166"/>
        <v>-5.224019327960773E-2</v>
      </c>
      <c r="BG57" s="8">
        <f t="shared" si="167"/>
        <v>5.6656549717905215E-2</v>
      </c>
      <c r="BH57" s="8">
        <f t="shared" si="168"/>
        <v>7.4601092136785882E-2</v>
      </c>
      <c r="BI57" s="8">
        <f t="shared" si="169"/>
        <v>-1.9330790770866618E-2</v>
      </c>
      <c r="BJ57" s="8">
        <f t="shared" si="170"/>
        <v>-7.3180819554300419E-2</v>
      </c>
      <c r="BK57" s="8">
        <f t="shared" si="171"/>
        <v>-2.4157194977669889E-2</v>
      </c>
      <c r="BL57" s="8">
        <f t="shared" si="172"/>
        <v>4.8432126890176404E-2</v>
      </c>
      <c r="BM57" s="8">
        <f t="shared" si="173"/>
        <v>5.9944403447879012E-2</v>
      </c>
      <c r="BN57" s="8">
        <f t="shared" si="174"/>
        <v>-8.2443477492617091E-3</v>
      </c>
      <c r="BO57" s="8">
        <f t="shared" si="175"/>
        <v>-7.6622667338180558E-2</v>
      </c>
      <c r="BP57" s="8">
        <f t="shared" si="176"/>
        <v>-3.4571546364471906E-2</v>
      </c>
      <c r="BQ57" s="8">
        <f t="shared" si="177"/>
        <v>6.8875326509552082E-2</v>
      </c>
      <c r="BR57" s="8">
        <f t="shared" si="178"/>
        <v>6.6366799258633785E-2</v>
      </c>
      <c r="BS57" s="8">
        <f t="shared" si="179"/>
        <v>-3.9172061165994893E-2</v>
      </c>
      <c r="BT57" s="8">
        <f t="shared" si="180"/>
        <v>-7.7005790416338954E-2</v>
      </c>
      <c r="BU57" s="8">
        <f t="shared" si="181"/>
        <v>-3.0183873480911522E-3</v>
      </c>
      <c r="BV57" s="8">
        <f t="shared" si="182"/>
        <v>6.3097045726156112E-2</v>
      </c>
      <c r="BW57" s="8">
        <f t="shared" si="183"/>
        <v>4.4246641007647157E-2</v>
      </c>
      <c r="BX57" s="8">
        <f t="shared" si="184"/>
        <v>-2.9074364111313176E-2</v>
      </c>
      <c r="BY57" s="8">
        <f t="shared" si="185"/>
        <v>-7.1370048138914843E-2</v>
      </c>
      <c r="BZ57" s="8">
        <f t="shared" si="186"/>
        <v>-1.4216579101665579E-2</v>
      </c>
      <c r="CA57" s="8">
        <f t="shared" si="187"/>
        <v>7.5742268902339621E-2</v>
      </c>
      <c r="CB57" s="8">
        <f t="shared" si="188"/>
        <v>5.2975592617390641E-2</v>
      </c>
      <c r="CC57" s="8">
        <f t="shared" si="189"/>
        <v>-5.596953641638016E-2</v>
      </c>
      <c r="CD57" s="8">
        <f t="shared" si="190"/>
        <v>-7.4847163683318535E-2</v>
      </c>
      <c r="CE57" s="8">
        <f t="shared" si="191"/>
        <v>1.8354958686708115E-2</v>
      </c>
      <c r="CF57" s="8">
        <f t="shared" si="192"/>
        <v>7.2859121165279525E-2</v>
      </c>
      <c r="CG57" s="8">
        <f t="shared" si="193"/>
        <v>2.5110772247212039E-2</v>
      </c>
      <c r="CH57" s="8">
        <f t="shared" si="194"/>
        <v>-4.7645208867778122E-2</v>
      </c>
      <c r="CI57" s="8">
        <f t="shared" si="195"/>
        <v>-6.0571746646221419E-2</v>
      </c>
      <c r="CJ57" s="8">
        <f t="shared" si="196"/>
        <v>7.2430620832296825E-3</v>
      </c>
      <c r="CK57" s="8">
        <f t="shared" si="197"/>
        <v>7.6723793385668287E-2</v>
      </c>
      <c r="CL57" s="8">
        <f t="shared" si="198"/>
        <v>3.5468012040258901E-2</v>
      </c>
      <c r="CM57" s="8">
        <f t="shared" si="199"/>
        <v>-6.8417998668042657E-2</v>
      </c>
      <c r="CN57" s="8">
        <f t="shared" si="200"/>
        <v>-6.6872671595353234E-2</v>
      </c>
      <c r="CO57" s="8">
        <f t="shared" si="201"/>
        <v>3.8302065395070743E-2</v>
      </c>
      <c r="CP57" s="8">
        <f t="shared" si="202"/>
        <v>7.6959808547406611E-2</v>
      </c>
      <c r="CQ57" s="8">
        <f t="shared" si="203"/>
        <v>4.023715717437897E-3</v>
      </c>
      <c r="CR57" s="8">
        <f t="shared" si="204"/>
        <v>-6.2513867650226262E-2</v>
      </c>
      <c r="CS57" s="8">
        <f t="shared" si="205"/>
        <v>-4.5066825617500868E-2</v>
      </c>
      <c r="CT57" s="8">
        <f t="shared" si="206"/>
        <v>2.813989404783232E-2</v>
      </c>
      <c r="CU57" s="8">
        <f t="shared" si="112"/>
        <v>7.1743632350230277E-2</v>
      </c>
      <c r="CX57">
        <v>9.1614712990263202E-3</v>
      </c>
      <c r="CY57">
        <v>3.6999120492367261E-2</v>
      </c>
      <c r="DA57" s="21"/>
    </row>
    <row r="58" spans="1:105">
      <c r="A58" s="15">
        <v>56</v>
      </c>
      <c r="B58" s="16">
        <v>23</v>
      </c>
      <c r="C58" s="8">
        <f t="shared" si="113"/>
        <v>3.1354942159291497</v>
      </c>
      <c r="D58" s="8">
        <f t="shared" si="114"/>
        <v>3.7815053763440862</v>
      </c>
      <c r="E58" s="7">
        <f t="shared" si="115"/>
        <v>1.6607142857142856</v>
      </c>
      <c r="F58" s="8"/>
      <c r="G58" s="8"/>
      <c r="H58" s="8">
        <f t="shared" si="119"/>
        <v>-5.4088817780218623E-2</v>
      </c>
      <c r="I58" s="8">
        <f t="shared" si="116"/>
        <v>-4.0264157971631638E-2</v>
      </c>
      <c r="J58" s="8">
        <f t="shared" si="117"/>
        <v>1.934447750079657E-2</v>
      </c>
      <c r="K58" s="8">
        <f t="shared" si="118"/>
        <v>6.4595617624165311E-2</v>
      </c>
      <c r="L58" s="8">
        <f t="shared" si="120"/>
        <v>2.305455468545542E-2</v>
      </c>
      <c r="M58" s="8">
        <f t="shared" si="121"/>
        <v>-6.3366317032643976E-2</v>
      </c>
      <c r="N58" s="8">
        <f t="shared" si="122"/>
        <v>-5.6330801665487346E-2</v>
      </c>
      <c r="O58" s="8">
        <f t="shared" si="123"/>
        <v>3.7062695662211757E-2</v>
      </c>
      <c r="P58" s="8">
        <f t="shared" si="124"/>
        <v>6.7316711178596708E-2</v>
      </c>
      <c r="Q58" s="8">
        <f t="shared" si="125"/>
        <v>3.9067917942469206E-3</v>
      </c>
      <c r="R58" s="8">
        <f t="shared" si="126"/>
        <v>-5.1665112171148067E-2</v>
      </c>
      <c r="S58" s="8">
        <f t="shared" si="127"/>
        <v>-4.3330345144816103E-2</v>
      </c>
      <c r="T58" s="8">
        <f t="shared" si="128"/>
        <v>1.5569408845779205E-2</v>
      </c>
      <c r="U58" s="8">
        <f t="shared" si="129"/>
        <v>6.5607896889163977E-2</v>
      </c>
      <c r="V58" s="8">
        <f t="shared" si="130"/>
        <v>2.6687175686177136E-2</v>
      </c>
      <c r="W58" s="8">
        <f t="shared" si="131"/>
        <v>-6.1924125184949663E-2</v>
      </c>
      <c r="X58" s="8">
        <f t="shared" si="132"/>
        <v>-5.8383531453478896E-2</v>
      </c>
      <c r="Y58" s="8">
        <f t="shared" si="133"/>
        <v>3.3736714141226656E-2</v>
      </c>
      <c r="Z58" s="8">
        <f t="shared" si="134"/>
        <v>6.6977275858406293E-2</v>
      </c>
      <c r="AA58" s="8">
        <f t="shared" si="135"/>
        <v>7.8004579745772993E-3</v>
      </c>
      <c r="AB58" s="8">
        <f t="shared" si="136"/>
        <v>-4.906782774062305E-2</v>
      </c>
      <c r="AC58" s="8">
        <f t="shared" si="137"/>
        <v>-4.6250955739776285E-2</v>
      </c>
      <c r="AD58" s="8">
        <f t="shared" si="138"/>
        <v>1.1742031785251305E-2</v>
      </c>
      <c r="AE58" s="8">
        <f t="shared" si="139"/>
        <v>6.6399753881926024E-2</v>
      </c>
      <c r="AF58" s="8">
        <f t="shared" si="140"/>
        <v>3.023013601824099E-2</v>
      </c>
      <c r="AG58" s="8">
        <f t="shared" si="141"/>
        <v>-6.0273887400306689E-2</v>
      </c>
      <c r="AH58" s="8">
        <f t="shared" si="142"/>
        <v>-6.0240110606038136E-2</v>
      </c>
      <c r="AI58" s="8">
        <f t="shared" si="143"/>
        <v>3.029738767944349E-2</v>
      </c>
      <c r="AJ58" s="8">
        <f t="shared" si="144"/>
        <v>6.6412817575540087E-2</v>
      </c>
      <c r="AK58" s="8">
        <f t="shared" si="145"/>
        <v>1.166791702508361E-2</v>
      </c>
      <c r="AL58" s="8">
        <f t="shared" si="146"/>
        <v>-4.6305690562225839E-2</v>
      </c>
      <c r="AM58" s="8">
        <f t="shared" si="147"/>
        <v>-4.9016177406868339E-2</v>
      </c>
      <c r="AN58" s="8">
        <f t="shared" si="148"/>
        <v>7.8752051241491282E-3</v>
      </c>
      <c r="AO58" s="8">
        <f t="shared" si="149"/>
        <v>6.6968528207500405E-2</v>
      </c>
      <c r="AP58" s="8">
        <f t="shared" si="150"/>
        <v>3.3671532429083481E-2</v>
      </c>
      <c r="AQ58" s="8">
        <f t="shared" si="151"/>
        <v>-5.842114796803792E-2</v>
      </c>
      <c r="AR58" s="8">
        <f t="shared" si="152"/>
        <v>-6.1894301590569543E-2</v>
      </c>
      <c r="AS58" s="8">
        <f t="shared" si="153"/>
        <v>2.6756271351625633E-2</v>
      </c>
      <c r="AT58" s="8">
        <f t="shared" si="154"/>
        <v>6.562523273550995E-2</v>
      </c>
      <c r="AU58" s="8">
        <f t="shared" si="155"/>
        <v>1.5496175477722082E-2</v>
      </c>
      <c r="AV58" s="8">
        <f t="shared" si="156"/>
        <v>-4.338798056386034E-2</v>
      </c>
      <c r="AW58" s="8">
        <f t="shared" si="157"/>
        <v>-5.1616719855258904E-2</v>
      </c>
      <c r="AX58" s="8">
        <f t="shared" si="158"/>
        <v>3.9819202058847666E-3</v>
      </c>
      <c r="AY58" s="8">
        <f t="shared" si="159"/>
        <v>6.7312308959804432E-2</v>
      </c>
      <c r="AZ58" s="8">
        <f t="shared" si="160"/>
        <v>3.6999802889550293E-2</v>
      </c>
      <c r="BA58" s="8">
        <f t="shared" si="161"/>
        <v>-5.6372131520465212E-2</v>
      </c>
      <c r="BB58" s="8">
        <f t="shared" si="162"/>
        <v>-6.3340546836219022E-2</v>
      </c>
      <c r="BC58" s="8">
        <f t="shared" si="163"/>
        <v>2.3125262215052754E-2</v>
      </c>
      <c r="BD58" s="8">
        <f t="shared" si="164"/>
        <v>6.4617167380153273E-2</v>
      </c>
      <c r="BE58" s="8">
        <f t="shared" si="165"/>
        <v>1.9272371566350036E-2</v>
      </c>
      <c r="BF58" s="8">
        <f t="shared" si="166"/>
        <v>-4.032450035006211E-2</v>
      </c>
      <c r="BG58" s="8">
        <f t="shared" si="167"/>
        <v>-5.4043846065431382E-2</v>
      </c>
      <c r="BH58" s="8">
        <f t="shared" si="168"/>
        <v>7.525726544223994E-5</v>
      </c>
      <c r="BI58" s="8">
        <f t="shared" si="169"/>
        <v>6.7429941141678301E-2</v>
      </c>
      <c r="BJ58" s="8">
        <f t="shared" si="170"/>
        <v>4.020376543874539E-2</v>
      </c>
      <c r="BK58" s="8">
        <f t="shared" si="171"/>
        <v>-5.4133722120066188E-2</v>
      </c>
      <c r="BL58" s="8">
        <f t="shared" si="172"/>
        <v>-6.4573987405597041E-2</v>
      </c>
      <c r="BM58" s="8">
        <f t="shared" si="173"/>
        <v>1.9416559339079549E-2</v>
      </c>
      <c r="BN58" s="8">
        <f t="shared" si="174"/>
        <v>6.3392008297748922E-2</v>
      </c>
      <c r="BO58" s="8">
        <f t="shared" si="175"/>
        <v>2.2983818438291167E-2</v>
      </c>
      <c r="BP58" s="8">
        <f t="shared" si="176"/>
        <v>-3.712554226827211E-2</v>
      </c>
      <c r="BQ58" s="8">
        <f t="shared" si="177"/>
        <v>-5.6289401642875388E-2</v>
      </c>
      <c r="BR58" s="8">
        <f t="shared" si="178"/>
        <v>-3.8316585161709028E-3</v>
      </c>
      <c r="BS58" s="8">
        <f t="shared" si="179"/>
        <v>6.7321029545318573E-2</v>
      </c>
      <c r="BT58" s="8">
        <f t="shared" si="180"/>
        <v>4.3272655751964879E-2</v>
      </c>
      <c r="BU58" s="8">
        <f t="shared" si="181"/>
        <v>-5.1713440131151048E-2</v>
      </c>
      <c r="BV58" s="8">
        <f t="shared" si="182"/>
        <v>-6.5590479319307074E-2</v>
      </c>
      <c r="BW58" s="8">
        <f t="shared" si="183"/>
        <v>1.5642622820030903E-2</v>
      </c>
      <c r="BX58" s="8">
        <f t="shared" si="184"/>
        <v>6.1953871644454539E-2</v>
      </c>
      <c r="BY58" s="8">
        <f t="shared" si="185"/>
        <v>2.6618046778241505E-2</v>
      </c>
      <c r="BZ58" s="8">
        <f t="shared" si="186"/>
        <v>-3.3801853829728432E-2</v>
      </c>
      <c r="CA58" s="8">
        <f t="shared" si="187"/>
        <v>-5.8345842214333275E-2</v>
      </c>
      <c r="CB58" s="8">
        <f t="shared" si="188"/>
        <v>-7.7257011084798126E-3</v>
      </c>
      <c r="CC58" s="8">
        <f t="shared" si="189"/>
        <v>6.6985940080054387E-2</v>
      </c>
      <c r="CD58" s="8">
        <f t="shared" si="190"/>
        <v>4.6196163305504849E-2</v>
      </c>
      <c r="CE58" s="8">
        <f t="shared" si="191"/>
        <v>-4.9119416953760042E-2</v>
      </c>
      <c r="CF58" s="8">
        <f t="shared" si="192"/>
        <v>-6.6386607478435972E-2</v>
      </c>
      <c r="CG58" s="8">
        <f t="shared" si="193"/>
        <v>1.1816131919129468E-2</v>
      </c>
      <c r="CH58" s="8">
        <f t="shared" si="194"/>
        <v>6.0307589115294401E-2</v>
      </c>
      <c r="CI58" s="8">
        <f t="shared" si="195"/>
        <v>3.0162846701314951E-2</v>
      </c>
      <c r="CJ58" s="8">
        <f t="shared" si="196"/>
        <v>-3.0364601601150551E-2</v>
      </c>
      <c r="CK58" s="8">
        <f t="shared" si="197"/>
        <v>-6.020625877456269E-2</v>
      </c>
      <c r="CL58" s="8">
        <f t="shared" si="198"/>
        <v>-1.1593787730947292E-2</v>
      </c>
      <c r="CM58" s="8">
        <f t="shared" si="199"/>
        <v>6.6425798543005399E-2</v>
      </c>
      <c r="CN58" s="8">
        <f t="shared" si="200"/>
        <v>4.896446601683406E-2</v>
      </c>
      <c r="CO58" s="8">
        <f t="shared" si="201"/>
        <v>-4.636036770467318E-2</v>
      </c>
      <c r="CP58" s="8">
        <f t="shared" si="202"/>
        <v>-6.6959697138233007E-2</v>
      </c>
      <c r="CQ58" s="8">
        <f t="shared" si="203"/>
        <v>7.9499424640880854E-3</v>
      </c>
      <c r="CR58" s="8">
        <f t="shared" si="204"/>
        <v>5.8458691711154143E-2</v>
      </c>
      <c r="CS58" s="8">
        <f t="shared" si="205"/>
        <v>3.3606308774491146E-2</v>
      </c>
      <c r="CT58" s="8">
        <f t="shared" si="206"/>
        <v>-2.6825333688518773E-2</v>
      </c>
      <c r="CU58" s="8">
        <f t="shared" si="112"/>
        <v>-6.1864400898463581E-2</v>
      </c>
      <c r="DA58" s="20">
        <v>8.2505437915050286E-4</v>
      </c>
    </row>
    <row r="59" spans="1:105">
      <c r="A59" s="15">
        <v>57</v>
      </c>
      <c r="B59" s="16">
        <v>56</v>
      </c>
      <c r="C59" s="8">
        <f t="shared" si="113"/>
        <v>4.0253516907351496</v>
      </c>
      <c r="D59" s="8">
        <f t="shared" si="114"/>
        <v>3.8490322580645167</v>
      </c>
      <c r="E59" s="7">
        <f t="shared" si="115"/>
        <v>1.6315789473684208</v>
      </c>
      <c r="F59" s="8"/>
      <c r="G59" s="8"/>
      <c r="H59" s="8">
        <f t="shared" si="119"/>
        <v>-6.5793147658618406E-2</v>
      </c>
      <c r="I59" s="8">
        <f t="shared" si="116"/>
        <v>-5.6258828587700586E-2</v>
      </c>
      <c r="J59" s="8">
        <f t="shared" si="117"/>
        <v>1.3442610658412403E-2</v>
      </c>
      <c r="K59" s="8">
        <f t="shared" si="118"/>
        <v>8.5516608279183864E-2</v>
      </c>
      <c r="L59" s="8">
        <f t="shared" si="120"/>
        <v>4.5359617512625364E-2</v>
      </c>
      <c r="M59" s="8">
        <f t="shared" si="121"/>
        <v>-7.3731263192741883E-2</v>
      </c>
      <c r="N59" s="8">
        <f t="shared" si="122"/>
        <v>-8.2391800321576239E-2</v>
      </c>
      <c r="O59" s="8">
        <f t="shared" si="123"/>
        <v>2.6559090960696499E-2</v>
      </c>
      <c r="P59" s="8">
        <f t="shared" si="124"/>
        <v>7.9880589053946294E-2</v>
      </c>
      <c r="Q59" s="8">
        <f t="shared" si="125"/>
        <v>3.335993952757705E-2</v>
      </c>
      <c r="R59" s="8">
        <f t="shared" si="126"/>
        <v>-3.9031222779374437E-2</v>
      </c>
      <c r="S59" s="8">
        <f t="shared" si="127"/>
        <v>-7.7268089928740208E-2</v>
      </c>
      <c r="T59" s="8">
        <f t="shared" si="128"/>
        <v>-2.0550918087227168E-2</v>
      </c>
      <c r="U59" s="8">
        <f t="shared" si="129"/>
        <v>8.4091936823105229E-2</v>
      </c>
      <c r="V59" s="8">
        <f t="shared" si="130"/>
        <v>7.0269783125567448E-2</v>
      </c>
      <c r="W59" s="8">
        <f t="shared" si="131"/>
        <v>-5.0556420486173252E-2</v>
      </c>
      <c r="X59" s="8">
        <f t="shared" si="132"/>
        <v>-8.6263135249213918E-2</v>
      </c>
      <c r="Y59" s="8">
        <f t="shared" si="133"/>
        <v>-7.2433120783843459E-3</v>
      </c>
      <c r="Z59" s="8">
        <f t="shared" si="134"/>
        <v>6.0855071963470668E-2</v>
      </c>
      <c r="AA59" s="8">
        <f t="shared" si="135"/>
        <v>6.1566665405963374E-2</v>
      </c>
      <c r="AB59" s="8">
        <f t="shared" si="136"/>
        <v>-6.2400234823816172E-3</v>
      </c>
      <c r="AC59" s="8">
        <f t="shared" si="137"/>
        <v>-8.6341509019870435E-2</v>
      </c>
      <c r="AD59" s="8">
        <f t="shared" si="138"/>
        <v>-5.1369882577348702E-2</v>
      </c>
      <c r="AE59" s="8">
        <f t="shared" si="139"/>
        <v>6.9677322256803523E-2</v>
      </c>
      <c r="AF59" s="8">
        <f t="shared" si="140"/>
        <v>8.4325156713811827E-2</v>
      </c>
      <c r="AG59" s="8">
        <f t="shared" si="141"/>
        <v>-1.9571970214572628E-2</v>
      </c>
      <c r="AH59" s="8">
        <f t="shared" si="142"/>
        <v>-7.6809135290655209E-2</v>
      </c>
      <c r="AI59" s="8">
        <f t="shared" si="143"/>
        <v>-3.9926818165123883E-2</v>
      </c>
      <c r="AJ59" s="8">
        <f t="shared" si="144"/>
        <v>3.2429082572816438E-2</v>
      </c>
      <c r="AK59" s="8">
        <f t="shared" si="145"/>
        <v>8.0262996931179276E-2</v>
      </c>
      <c r="AL59" s="8">
        <f t="shared" si="146"/>
        <v>2.7515091656068493E-2</v>
      </c>
      <c r="AM59" s="8">
        <f t="shared" si="147"/>
        <v>-8.2077486584612169E-2</v>
      </c>
      <c r="AN59" s="8">
        <f t="shared" si="148"/>
        <v>-7.4253581482348396E-2</v>
      </c>
      <c r="AO59" s="8">
        <f t="shared" si="149"/>
        <v>4.4499434939483107E-2</v>
      </c>
      <c r="AP59" s="8">
        <f t="shared" si="150"/>
        <v>8.5354560989715472E-2</v>
      </c>
      <c r="AQ59" s="8">
        <f t="shared" si="151"/>
        <v>1.4435823188927707E-2</v>
      </c>
      <c r="AR59" s="8">
        <f t="shared" si="152"/>
        <v>-5.5490189233044301E-2</v>
      </c>
      <c r="AS59" s="8">
        <f t="shared" si="153"/>
        <v>-6.6442704428477148E-2</v>
      </c>
      <c r="AT59" s="8">
        <f t="shared" si="154"/>
        <v>-1.0063280971198021E-3</v>
      </c>
      <c r="AU59" s="8">
        <f t="shared" si="155"/>
        <v>8.6560853603981913E-2</v>
      </c>
      <c r="AV59" s="8">
        <f t="shared" si="156"/>
        <v>5.7019864980692059E-2</v>
      </c>
      <c r="AW59" s="8">
        <f t="shared" si="157"/>
        <v>-6.5134699434884091E-2</v>
      </c>
      <c r="AX59" s="8">
        <f t="shared" si="158"/>
        <v>-8.5667098635975228E-2</v>
      </c>
      <c r="AY59" s="8">
        <f t="shared" si="159"/>
        <v>1.2447581459188461E-2</v>
      </c>
      <c r="AZ59" s="8">
        <f t="shared" si="160"/>
        <v>7.3198980672068523E-2</v>
      </c>
      <c r="BA59" s="8">
        <f t="shared" si="161"/>
        <v>4.6213670071302289E-2</v>
      </c>
      <c r="BB59" s="8">
        <f t="shared" si="162"/>
        <v>-2.5599501001994616E-2</v>
      </c>
      <c r="BC59" s="8">
        <f t="shared" si="163"/>
        <v>-8.2694979420385117E-2</v>
      </c>
      <c r="BD59" s="8">
        <f t="shared" si="164"/>
        <v>-3.4286288134976452E-2</v>
      </c>
      <c r="BE59" s="8">
        <f t="shared" si="165"/>
        <v>7.9487385910057537E-2</v>
      </c>
      <c r="BF59" s="8">
        <f t="shared" si="166"/>
        <v>7.7716602359968232E-2</v>
      </c>
      <c r="BG59" s="8">
        <f t="shared" si="167"/>
        <v>-3.8130352614572323E-2</v>
      </c>
      <c r="BH59" s="8">
        <f t="shared" si="168"/>
        <v>-8.3847352533457958E-2</v>
      </c>
      <c r="BI59" s="8">
        <f t="shared" si="169"/>
        <v>-2.1527088656366492E-2</v>
      </c>
      <c r="BJ59" s="8">
        <f t="shared" si="170"/>
        <v>4.9736126071316347E-2</v>
      </c>
      <c r="BK59" s="8">
        <f t="shared" si="171"/>
        <v>7.0852747556514481E-2</v>
      </c>
      <c r="BL59" s="8">
        <f t="shared" si="172"/>
        <v>8.2456217947082366E-3</v>
      </c>
      <c r="BM59" s="8">
        <f t="shared" si="173"/>
        <v>-8.6173103658320649E-2</v>
      </c>
      <c r="BN59" s="8">
        <f t="shared" si="174"/>
        <v>-6.226993857217724E-2</v>
      </c>
      <c r="BO59" s="8">
        <f t="shared" si="175"/>
        <v>6.0135254411254578E-2</v>
      </c>
      <c r="BP59" s="8">
        <f t="shared" si="176"/>
        <v>8.6408214378658851E-2</v>
      </c>
      <c r="BQ59" s="8">
        <f t="shared" si="177"/>
        <v>-5.235891593680638E-3</v>
      </c>
      <c r="BR59" s="8">
        <f t="shared" si="178"/>
        <v>-6.9075445016896803E-2</v>
      </c>
      <c r="BS59" s="8">
        <f t="shared" si="179"/>
        <v>-5.2176402411499304E-2</v>
      </c>
      <c r="BT59" s="8">
        <f t="shared" si="180"/>
        <v>1.8590377335917205E-2</v>
      </c>
      <c r="BU59" s="8">
        <f t="shared" si="181"/>
        <v>8.4546980687646434E-2</v>
      </c>
      <c r="BV59" s="8">
        <f t="shared" si="182"/>
        <v>4.0817017738774997E-2</v>
      </c>
      <c r="BW59" s="8">
        <f t="shared" si="183"/>
        <v>-7.6339800470014124E-2</v>
      </c>
      <c r="BX59" s="8">
        <f t="shared" si="184"/>
        <v>-8.0634557862180309E-2</v>
      </c>
      <c r="BY59" s="8">
        <f t="shared" si="185"/>
        <v>3.1493843069078396E-2</v>
      </c>
      <c r="BZ59" s="8">
        <f t="shared" si="186"/>
        <v>8.1752080686653239E-2</v>
      </c>
      <c r="CA59" s="8">
        <f t="shared" si="187"/>
        <v>2.8467373891737535E-2</v>
      </c>
      <c r="CB59" s="8">
        <f t="shared" si="188"/>
        <v>-4.3633238599141873E-2</v>
      </c>
      <c r="CC59" s="8">
        <f t="shared" si="189"/>
        <v>-7.4765864953462546E-2</v>
      </c>
      <c r="CD59" s="8">
        <f t="shared" si="190"/>
        <v>-1.5427084825456856E-2</v>
      </c>
      <c r="CE59" s="8">
        <f t="shared" si="191"/>
        <v>8.5180978667054541E-2</v>
      </c>
      <c r="CF59" s="8">
        <f t="shared" si="192"/>
        <v>6.7083281961700686E-2</v>
      </c>
      <c r="CG59" s="8">
        <f t="shared" si="193"/>
        <v>-5.4714050792607251E-2</v>
      </c>
      <c r="CH59" s="8">
        <f t="shared" si="194"/>
        <v>-8.6543306126746461E-2</v>
      </c>
      <c r="CI59" s="8">
        <f t="shared" si="195"/>
        <v>-2.0125201964924606E-3</v>
      </c>
      <c r="CJ59" s="8">
        <f t="shared" si="196"/>
        <v>6.4467448741647337E-2</v>
      </c>
      <c r="CK59" s="8">
        <f t="shared" si="197"/>
        <v>5.7773195563618547E-2</v>
      </c>
      <c r="CL59" s="8">
        <f t="shared" si="198"/>
        <v>-1.1450870062039611E-2</v>
      </c>
      <c r="CM59" s="8">
        <f t="shared" si="199"/>
        <v>-8.580601172243893E-2</v>
      </c>
      <c r="CN59" s="8">
        <f t="shared" si="200"/>
        <v>-4.7061477196669907E-2</v>
      </c>
      <c r="CO59" s="8">
        <f t="shared" si="201"/>
        <v>7.2656805854347611E-2</v>
      </c>
      <c r="CP59" s="8">
        <f t="shared" si="202"/>
        <v>8.2986982908641524E-2</v>
      </c>
      <c r="CQ59" s="8">
        <f t="shared" si="203"/>
        <v>-2.463645146139927E-2</v>
      </c>
      <c r="CR59" s="8">
        <f t="shared" si="204"/>
        <v>-7.9083440637989111E-2</v>
      </c>
      <c r="CS59" s="8">
        <f t="shared" si="205"/>
        <v>-3.5208003205900416E-2</v>
      </c>
      <c r="CT59" s="8">
        <f t="shared" si="206"/>
        <v>3.7224329416610843E-2</v>
      </c>
      <c r="CU59" s="8">
        <f t="shared" si="112"/>
        <v>7.81546119712246E-2</v>
      </c>
      <c r="CX59">
        <v>1.3592459142900434E-2</v>
      </c>
      <c r="CY59">
        <v>5.4915753662768213E-2</v>
      </c>
      <c r="DA59" s="21"/>
    </row>
    <row r="60" spans="1:105">
      <c r="A60" s="15">
        <v>58</v>
      </c>
      <c r="B60" s="16">
        <v>55</v>
      </c>
      <c r="C60" s="8">
        <f t="shared" si="113"/>
        <v>4.0073331852324712</v>
      </c>
      <c r="D60" s="8">
        <f t="shared" si="114"/>
        <v>3.9165591397849462</v>
      </c>
      <c r="E60" s="7">
        <f t="shared" si="115"/>
        <v>1.603448275862069</v>
      </c>
      <c r="F60" s="8"/>
      <c r="G60" s="8"/>
      <c r="H60" s="8">
        <f t="shared" si="119"/>
        <v>-6.1570259977395722E-2</v>
      </c>
      <c r="I60" s="8">
        <f t="shared" si="116"/>
        <v>-6.0298913977542556E-2</v>
      </c>
      <c r="J60" s="8">
        <f t="shared" si="117"/>
        <v>1.797856929729554E-3</v>
      </c>
      <c r="K60" s="8">
        <f t="shared" si="118"/>
        <v>8.616045294109935E-2</v>
      </c>
      <c r="L60" s="8">
        <f t="shared" si="120"/>
        <v>5.9001322045172222E-2</v>
      </c>
      <c r="M60" s="8">
        <f t="shared" si="121"/>
        <v>-6.2814806673881035E-2</v>
      </c>
      <c r="N60" s="8">
        <f t="shared" si="122"/>
        <v>-8.610419507421109E-2</v>
      </c>
      <c r="O60" s="8">
        <f t="shared" si="123"/>
        <v>3.5949313174771596E-3</v>
      </c>
      <c r="P60" s="8">
        <f t="shared" si="124"/>
        <v>6.403201236091377E-2</v>
      </c>
      <c r="Q60" s="8">
        <f t="shared" si="125"/>
        <v>5.7678048975038664E-2</v>
      </c>
      <c r="R60" s="8">
        <f t="shared" si="126"/>
        <v>-5.3904409618729665E-3</v>
      </c>
      <c r="S60" s="8">
        <f t="shared" si="127"/>
        <v>-8.6010459170915585E-2</v>
      </c>
      <c r="T60" s="8">
        <f t="shared" si="128"/>
        <v>-5.6329670739964872E-2</v>
      </c>
      <c r="U60" s="8">
        <f t="shared" si="129"/>
        <v>6.5221347232959845E-2</v>
      </c>
      <c r="V60" s="8">
        <f t="shared" si="130"/>
        <v>8.5879286031055324E-2</v>
      </c>
      <c r="W60" s="8">
        <f t="shared" si="131"/>
        <v>-7.1836043426235117E-3</v>
      </c>
      <c r="X60" s="8">
        <f t="shared" si="132"/>
        <v>-6.638229361564095E-2</v>
      </c>
      <c r="Y60" s="8">
        <f t="shared" si="133"/>
        <v>-5.4956774240142676E-2</v>
      </c>
      <c r="Z60" s="8">
        <f t="shared" si="134"/>
        <v>8.9736409606785139E-3</v>
      </c>
      <c r="AA60" s="8">
        <f t="shared" si="135"/>
        <v>8.5710732749545465E-2</v>
      </c>
      <c r="AB60" s="8">
        <f t="shared" si="136"/>
        <v>5.3559957047675216E-2</v>
      </c>
      <c r="AC60" s="8">
        <f t="shared" si="137"/>
        <v>-6.7514346191060476E-2</v>
      </c>
      <c r="AD60" s="8">
        <f t="shared" si="138"/>
        <v>-8.5504872691522515E-2</v>
      </c>
      <c r="AE60" s="8">
        <f t="shared" si="139"/>
        <v>1.0759771677954045E-2</v>
      </c>
      <c r="AF60" s="8">
        <f t="shared" si="140"/>
        <v>6.8617012217747811E-2</v>
      </c>
      <c r="AG60" s="8">
        <f t="shared" si="141"/>
        <v>5.2139827146478163E-2</v>
      </c>
      <c r="AH60" s="8">
        <f t="shared" si="142"/>
        <v>-1.2541219056464496E-2</v>
      </c>
      <c r="AI60" s="8">
        <f t="shared" si="143"/>
        <v>-8.5261795460410905E-2</v>
      </c>
      <c r="AJ60" s="8">
        <f t="shared" si="144"/>
        <v>-5.0697002667643196E-2</v>
      </c>
      <c r="AK60" s="8">
        <f t="shared" si="145"/>
        <v>6.9689811745133542E-2</v>
      </c>
      <c r="AL60" s="8">
        <f t="shared" si="146"/>
        <v>8.4981606858922407E-2</v>
      </c>
      <c r="AM60" s="8">
        <f t="shared" si="147"/>
        <v>-1.4317207696709792E-2</v>
      </c>
      <c r="AN60" s="8">
        <f t="shared" si="148"/>
        <v>-7.0732277822453157E-2</v>
      </c>
      <c r="AO60" s="8">
        <f t="shared" si="149"/>
        <v>-4.9232111620389339E-2</v>
      </c>
      <c r="AP60" s="8">
        <f t="shared" si="150"/>
        <v>1.6086964575182688E-2</v>
      </c>
      <c r="AQ60" s="8">
        <f t="shared" si="151"/>
        <v>8.4664428843003431E-2</v>
      </c>
      <c r="AR60" s="8">
        <f t="shared" si="152"/>
        <v>4.7745791618714346E-2</v>
      </c>
      <c r="AS60" s="8">
        <f t="shared" si="153"/>
        <v>-7.1743956701993253E-2</v>
      </c>
      <c r="AT60" s="8">
        <f t="shared" si="154"/>
        <v>-8.4310399468752267E-2</v>
      </c>
      <c r="AU60" s="8">
        <f t="shared" si="155"/>
        <v>1.7849719380836033E-2</v>
      </c>
      <c r="AV60" s="8">
        <f t="shared" si="156"/>
        <v>7.2724408036591803E-2</v>
      </c>
      <c r="AW60" s="8">
        <f t="shared" si="157"/>
        <v>4.6238689603863944E-2</v>
      </c>
      <c r="AX60" s="8">
        <f t="shared" si="158"/>
        <v>-1.9604704850370063E-2</v>
      </c>
      <c r="AY60" s="8">
        <f t="shared" si="159"/>
        <v>-8.3919672832328471E-2</v>
      </c>
      <c r="AZ60" s="8">
        <f t="shared" si="160"/>
        <v>-4.471146156273817E-2</v>
      </c>
      <c r="BA60" s="8">
        <f t="shared" si="161"/>
        <v>7.3673205071307729E-2</v>
      </c>
      <c r="BB60" s="8">
        <f t="shared" si="162"/>
        <v>8.3492419002880514E-2</v>
      </c>
      <c r="BC60" s="8">
        <f t="shared" si="163"/>
        <v>-2.1351157102194963E-2</v>
      </c>
      <c r="BD60" s="8">
        <f t="shared" si="164"/>
        <v>-7.4589934829167731E-2</v>
      </c>
      <c r="BE60" s="8">
        <f t="shared" si="165"/>
        <v>-4.3164772242370114E-2</v>
      </c>
      <c r="BF60" s="8">
        <f t="shared" si="166"/>
        <v>2.3088315968924977E-2</v>
      </c>
      <c r="BG60" s="8">
        <f t="shared" si="167"/>
        <v>8.3028823948519584E-2</v>
      </c>
      <c r="BH60" s="8">
        <f t="shared" si="168"/>
        <v>4.1599294860582725E-2</v>
      </c>
      <c r="BI60" s="8">
        <f t="shared" si="169"/>
        <v>-7.5474198290922376E-2</v>
      </c>
      <c r="BJ60" s="8">
        <f t="shared" si="170"/>
        <v>-8.2529089455376223E-2</v>
      </c>
      <c r="BK60" s="8">
        <f t="shared" si="171"/>
        <v>2.481542532824459E-2</v>
      </c>
      <c r="BL60" s="8">
        <f t="shared" si="172"/>
        <v>7.6325610568726415E-2</v>
      </c>
      <c r="BM60" s="8">
        <f t="shared" si="173"/>
        <v>4.0015710812958113E-2</v>
      </c>
      <c r="BN60" s="8">
        <f t="shared" si="174"/>
        <v>-2.6531733432024762E-2</v>
      </c>
      <c r="BO60" s="8">
        <f t="shared" si="175"/>
        <v>-8.1993433039769428E-2</v>
      </c>
      <c r="BP60" s="8">
        <f t="shared" si="176"/>
        <v>-3.841470937625719E-2</v>
      </c>
      <c r="BQ60" s="8">
        <f t="shared" si="177"/>
        <v>7.7143801073662893E-2</v>
      </c>
      <c r="BR60" s="8">
        <f t="shared" si="178"/>
        <v>8.1422087853528405E-2</v>
      </c>
      <c r="BS60" s="8">
        <f t="shared" si="179"/>
        <v>-2.8236493233535179E-2</v>
      </c>
      <c r="BT60" s="8">
        <f t="shared" si="180"/>
        <v>-7.7928413677048988E-2</v>
      </c>
      <c r="BU60" s="8">
        <f t="shared" si="181"/>
        <v>-3.6796987408399318E-2</v>
      </c>
      <c r="BV60" s="8">
        <f t="shared" si="182"/>
        <v>2.9928962712599545E-2</v>
      </c>
      <c r="BW60" s="8">
        <f t="shared" si="183"/>
        <v>8.0815302582512183E-2</v>
      </c>
      <c r="BX60" s="8">
        <f t="shared" si="184"/>
        <v>3.516324904514085E-2</v>
      </c>
      <c r="BY60" s="8">
        <f t="shared" si="185"/>
        <v>-7.867910686544792E-2</v>
      </c>
      <c r="BZ60" s="8">
        <f t="shared" si="186"/>
        <v>-8.0173341338364804E-2</v>
      </c>
      <c r="CA60" s="8">
        <f t="shared" si="187"/>
        <v>3.1608405198573677E-2</v>
      </c>
      <c r="CB60" s="8">
        <f t="shared" si="188"/>
        <v>7.9395553889311715E-2</v>
      </c>
      <c r="CC60" s="8">
        <f t="shared" si="189"/>
        <v>3.3514205393602496E-2</v>
      </c>
      <c r="CD60" s="8">
        <f t="shared" si="190"/>
        <v>-3.3274089690996052E-2</v>
      </c>
      <c r="CE60" s="8">
        <f t="shared" si="191"/>
        <v>-7.9496483543555096E-2</v>
      </c>
      <c r="CF60" s="8">
        <f t="shared" si="192"/>
        <v>-3.185057422273576E-2</v>
      </c>
      <c r="CG60" s="8">
        <f t="shared" si="193"/>
        <v>8.0077442905210044E-2</v>
      </c>
      <c r="CH60" s="8">
        <f t="shared" si="194"/>
        <v>7.87850238097592E-2</v>
      </c>
      <c r="CI60" s="8">
        <f t="shared" si="195"/>
        <v>-3.4925291177753275E-2</v>
      </c>
      <c r="CJ60" s="8">
        <f t="shared" si="196"/>
        <v>-8.0724477111561221E-2</v>
      </c>
      <c r="CK60" s="8">
        <f t="shared" si="197"/>
        <v>-3.0173079650910706E-2</v>
      </c>
      <c r="CL60" s="8">
        <f t="shared" si="198"/>
        <v>3.6561290950666452E-2</v>
      </c>
      <c r="CM60" s="8">
        <f t="shared" si="199"/>
        <v>7.8039271809620891E-2</v>
      </c>
      <c r="CN60" s="8">
        <f t="shared" si="200"/>
        <v>2.8482451830740396E-2</v>
      </c>
      <c r="CO60" s="8">
        <f t="shared" si="201"/>
        <v>-8.133637487781667E-2</v>
      </c>
      <c r="CP60" s="8">
        <f t="shared" si="202"/>
        <v>-7.7259552141964824E-2</v>
      </c>
      <c r="CQ60" s="8">
        <f t="shared" si="203"/>
        <v>3.8181376918311791E-2</v>
      </c>
      <c r="CR60" s="8">
        <f t="shared" si="204"/>
        <v>8.1912869867049792E-2</v>
      </c>
      <c r="CS60" s="8">
        <f t="shared" si="205"/>
        <v>2.6779426631258211E-2</v>
      </c>
      <c r="CT60" s="8">
        <f t="shared" si="206"/>
        <v>-3.9784843915961786E-2</v>
      </c>
      <c r="CU60" s="8">
        <f t="shared" si="112"/>
        <v>-7.6446204190513831E-2</v>
      </c>
      <c r="DA60" s="20">
        <v>4.6410774354306464E-4</v>
      </c>
    </row>
    <row r="61" spans="1:105">
      <c r="A61" s="15">
        <v>59</v>
      </c>
      <c r="B61" s="16">
        <v>55</v>
      </c>
      <c r="C61" s="8">
        <f t="shared" si="113"/>
        <v>4.0073331852324712</v>
      </c>
      <c r="D61" s="8">
        <f t="shared" si="114"/>
        <v>3.9840860215053766</v>
      </c>
      <c r="E61" s="7">
        <f t="shared" si="115"/>
        <v>1.576271186440678</v>
      </c>
      <c r="F61" s="8"/>
      <c r="G61" s="8"/>
      <c r="H61" s="8">
        <f t="shared" si="119"/>
        <v>-5.7361232967080469E-2</v>
      </c>
      <c r="I61" s="8">
        <f t="shared" si="116"/>
        <v>-6.4315976965692551E-2</v>
      </c>
      <c r="J61" s="8">
        <f t="shared" si="117"/>
        <v>-9.8194664628792772E-3</v>
      </c>
      <c r="K61" s="8">
        <f t="shared" si="118"/>
        <v>8.561795383527665E-2</v>
      </c>
      <c r="L61" s="8">
        <f t="shared" si="120"/>
        <v>7.0432986922622551E-2</v>
      </c>
      <c r="M61" s="8">
        <f t="shared" si="121"/>
        <v>-4.9659342461543472E-2</v>
      </c>
      <c r="N61" s="8">
        <f t="shared" si="122"/>
        <v>-8.3941500987532641E-2</v>
      </c>
      <c r="O61" s="8">
        <f t="shared" si="123"/>
        <v>-1.9511031559485328E-2</v>
      </c>
      <c r="P61" s="8">
        <f t="shared" si="124"/>
        <v>4.1310624781325224E-2</v>
      </c>
      <c r="Q61" s="8">
        <f t="shared" si="125"/>
        <v>7.5632587029214673E-2</v>
      </c>
      <c r="R61" s="8">
        <f t="shared" si="126"/>
        <v>2.8948459875514549E-2</v>
      </c>
      <c r="S61" s="8">
        <f t="shared" si="127"/>
        <v>-8.1171686020378428E-2</v>
      </c>
      <c r="T61" s="8">
        <f t="shared" si="128"/>
        <v>-7.9847051003168204E-2</v>
      </c>
      <c r="U61" s="8">
        <f t="shared" si="129"/>
        <v>3.242382436808821E-2</v>
      </c>
      <c r="V61" s="8">
        <f t="shared" si="130"/>
        <v>7.7344586567966792E-2</v>
      </c>
      <c r="W61" s="8">
        <f t="shared" si="131"/>
        <v>3.8008826201100521E-2</v>
      </c>
      <c r="X61" s="8">
        <f t="shared" si="132"/>
        <v>-2.3114694345380164E-2</v>
      </c>
      <c r="Y61" s="8">
        <f t="shared" si="133"/>
        <v>-8.3021484242783952E-2</v>
      </c>
      <c r="Z61" s="8">
        <f t="shared" si="134"/>
        <v>-4.6574116666919567E-2</v>
      </c>
      <c r="AA61" s="8">
        <f t="shared" si="135"/>
        <v>7.2510051698032457E-2</v>
      </c>
      <c r="AB61" s="8">
        <f t="shared" si="136"/>
        <v>8.5114538844891771E-2</v>
      </c>
      <c r="AC61" s="8">
        <f t="shared" si="137"/>
        <v>-1.3504488801009277E-2</v>
      </c>
      <c r="AD61" s="8">
        <f t="shared" si="138"/>
        <v>-6.673105261349134E-2</v>
      </c>
      <c r="AE61" s="8">
        <f t="shared" si="139"/>
        <v>-5.4532765908677547E-2</v>
      </c>
      <c r="AF61" s="8">
        <f t="shared" si="140"/>
        <v>3.7183834177825681E-3</v>
      </c>
      <c r="AG61" s="8">
        <f t="shared" si="141"/>
        <v>8.609895217314513E-2</v>
      </c>
      <c r="AH61" s="8">
        <f t="shared" si="142"/>
        <v>6.178111023796954E-2</v>
      </c>
      <c r="AI61" s="8">
        <f t="shared" si="143"/>
        <v>-6.0082862434466533E-2</v>
      </c>
      <c r="AJ61" s="8">
        <f t="shared" si="144"/>
        <v>-8.596190196167687E-2</v>
      </c>
      <c r="AK61" s="8">
        <f t="shared" si="145"/>
        <v>-6.1161549756550285E-3</v>
      </c>
      <c r="AL61" s="8">
        <f t="shared" si="146"/>
        <v>5.2652075744315033E-2</v>
      </c>
      <c r="AM61" s="8">
        <f t="shared" si="147"/>
        <v>6.8224737891545525E-2</v>
      </c>
      <c r="AN61" s="8">
        <f t="shared" si="148"/>
        <v>1.5871028696813099E-2</v>
      </c>
      <c r="AO61" s="8">
        <f t="shared" si="149"/>
        <v>-8.4705173328788533E-2</v>
      </c>
      <c r="AP61" s="8">
        <f t="shared" si="150"/>
        <v>-7.3779718771597821E-2</v>
      </c>
      <c r="AQ61" s="8">
        <f t="shared" si="151"/>
        <v>4.4535480670349903E-2</v>
      </c>
      <c r="AR61" s="8">
        <f t="shared" si="152"/>
        <v>8.2345135525272839E-2</v>
      </c>
      <c r="AS61" s="8">
        <f t="shared" si="153"/>
        <v>2.5419177718400392E-2</v>
      </c>
      <c r="AT61" s="8">
        <f t="shared" si="154"/>
        <v>-3.5838798190729292E-2</v>
      </c>
      <c r="AU61" s="8">
        <f t="shared" si="155"/>
        <v>-7.8373697659350955E-2</v>
      </c>
      <c r="AV61" s="8">
        <f t="shared" si="156"/>
        <v>-3.4636234661612988E-2</v>
      </c>
      <c r="AW61" s="8">
        <f t="shared" si="157"/>
        <v>7.8912528720228275E-2</v>
      </c>
      <c r="AX61" s="8">
        <f t="shared" si="158"/>
        <v>8.194683666253294E-2</v>
      </c>
      <c r="AY61" s="8">
        <f t="shared" si="159"/>
        <v>-2.6675305088401921E-2</v>
      </c>
      <c r="AZ61" s="8">
        <f t="shared" si="160"/>
        <v>-7.4452063601542398E-2</v>
      </c>
      <c r="BA61" s="8">
        <f t="shared" si="161"/>
        <v>-4.3402144716903776E-2</v>
      </c>
      <c r="BB61" s="8">
        <f t="shared" si="162"/>
        <v>1.716435848852868E-2</v>
      </c>
      <c r="BC61" s="8">
        <f t="shared" si="163"/>
        <v>8.445259462107986E-2</v>
      </c>
      <c r="BD61" s="8">
        <f t="shared" si="164"/>
        <v>5.1602729392300907E-2</v>
      </c>
      <c r="BE61" s="8">
        <f t="shared" si="165"/>
        <v>-6.9021839006361885E-2</v>
      </c>
      <c r="BF61" s="8">
        <f t="shared" si="166"/>
        <v>-8.5858333319090721E-2</v>
      </c>
      <c r="BG61" s="8">
        <f t="shared" si="167"/>
        <v>7.4298411977033966E-3</v>
      </c>
      <c r="BH61" s="8">
        <f t="shared" si="168"/>
        <v>6.2692585167079651E-2</v>
      </c>
      <c r="BI61" s="8">
        <f t="shared" si="169"/>
        <v>5.9131173721004723E-2</v>
      </c>
      <c r="BJ61" s="8">
        <f t="shared" si="170"/>
        <v>2.4014519051246846E-3</v>
      </c>
      <c r="BK61" s="8">
        <f t="shared" si="171"/>
        <v>-8.6145742606948059E-2</v>
      </c>
      <c r="BL61" s="8">
        <f t="shared" si="172"/>
        <v>-6.5889417556958096E-2</v>
      </c>
      <c r="BM61" s="8">
        <f t="shared" si="173"/>
        <v>5.5546742429777071E-2</v>
      </c>
      <c r="BN61" s="8">
        <f t="shared" si="174"/>
        <v>8.531107889626699E-2</v>
      </c>
      <c r="BO61" s="8">
        <f t="shared" si="175"/>
        <v>1.2201465408305879E-2</v>
      </c>
      <c r="BP61" s="8">
        <f t="shared" si="176"/>
        <v>-4.7677387445077678E-2</v>
      </c>
      <c r="BQ61" s="8">
        <f t="shared" si="177"/>
        <v>-7.1789432836366143E-2</v>
      </c>
      <c r="BR61" s="8">
        <f t="shared" si="178"/>
        <v>-2.1842551325944887E-2</v>
      </c>
      <c r="BS61" s="8">
        <f t="shared" si="179"/>
        <v>8.3365213921207187E-2</v>
      </c>
      <c r="BT61" s="8">
        <f t="shared" si="180"/>
        <v>7.6754370168468505E-2</v>
      </c>
      <c r="BU61" s="8">
        <f t="shared" si="181"/>
        <v>-3.9187020818083181E-2</v>
      </c>
      <c r="BV61" s="8">
        <f t="shared" si="182"/>
        <v>-8.0333493131018341E-2</v>
      </c>
      <c r="BW61" s="8">
        <f t="shared" si="183"/>
        <v>-3.1199131749518355E-2</v>
      </c>
      <c r="BX61" s="8">
        <f t="shared" si="184"/>
        <v>3.0186232008608111E-2</v>
      </c>
      <c r="BY61" s="8">
        <f t="shared" si="185"/>
        <v>8.0719559820886397E-2</v>
      </c>
      <c r="BZ61" s="8">
        <f t="shared" si="186"/>
        <v>4.0149334536141099E-2</v>
      </c>
      <c r="CA61" s="8">
        <f t="shared" si="187"/>
        <v>-7.6255405558296019E-2</v>
      </c>
      <c r="CB61" s="8">
        <f t="shared" si="188"/>
        <v>-8.3633354061437779E-2</v>
      </c>
      <c r="CC61" s="8">
        <f t="shared" si="189"/>
        <v>2.0792258871737888E-2</v>
      </c>
      <c r="CD61" s="8">
        <f t="shared" si="190"/>
        <v>7.1184069463009328E-2</v>
      </c>
      <c r="CE61" s="8">
        <f t="shared" si="191"/>
        <v>4.8576580728172267E-2</v>
      </c>
      <c r="CF61" s="8">
        <f t="shared" si="192"/>
        <v>-1.112746060117952E-2</v>
      </c>
      <c r="CG61" s="8">
        <f t="shared" si="193"/>
        <v>-8.5457799884646996E-2</v>
      </c>
      <c r="CH61" s="8">
        <f t="shared" si="194"/>
        <v>-5.6371103027566094E-2</v>
      </c>
      <c r="CI61" s="8">
        <f t="shared" si="195"/>
        <v>6.5185540451933852E-2</v>
      </c>
      <c r="CJ61" s="8">
        <f t="shared" si="196"/>
        <v>8.6169133360534306E-2</v>
      </c>
      <c r="CK61" s="8">
        <f t="shared" si="197"/>
        <v>-1.3177239656427709E-3</v>
      </c>
      <c r="CL61" s="8">
        <f t="shared" si="198"/>
        <v>-5.8337951085432854E-2</v>
      </c>
      <c r="CM61" s="8">
        <f t="shared" si="199"/>
        <v>-6.3431375546403046E-2</v>
      </c>
      <c r="CN61" s="8">
        <f t="shared" si="200"/>
        <v>-8.509176402380466E-3</v>
      </c>
      <c r="CO61" s="8">
        <f t="shared" si="201"/>
        <v>8.5758089166610665E-2</v>
      </c>
      <c r="CP61" s="8">
        <f t="shared" si="202"/>
        <v>6.9665436210691184E-2</v>
      </c>
      <c r="CQ61" s="8">
        <f t="shared" si="203"/>
        <v>-5.0730493178455197E-2</v>
      </c>
      <c r="CR61" s="8">
        <f t="shared" si="204"/>
        <v>-8.4230021271362698E-2</v>
      </c>
      <c r="CS61" s="8">
        <f t="shared" si="205"/>
        <v>-1.8225242307880606E-2</v>
      </c>
      <c r="CT61" s="8">
        <f t="shared" si="206"/>
        <v>4.2462256051571091E-2</v>
      </c>
      <c r="CU61" s="8">
        <f t="shared" si="112"/>
        <v>7.4992084592748781E-2</v>
      </c>
      <c r="CX61">
        <v>5.4625956478107727E-3</v>
      </c>
      <c r="CY61">
        <v>2.2053680873294412E-2</v>
      </c>
      <c r="DA61" s="21"/>
    </row>
    <row r="62" spans="1:105">
      <c r="A62" s="15">
        <v>60</v>
      </c>
      <c r="B62" s="16">
        <v>33</v>
      </c>
      <c r="C62" s="8">
        <f t="shared" si="113"/>
        <v>3.4965075614664802</v>
      </c>
      <c r="D62" s="8">
        <f t="shared" si="114"/>
        <v>4.0516129032258066</v>
      </c>
      <c r="E62" s="7">
        <f t="shared" si="115"/>
        <v>1.55</v>
      </c>
      <c r="F62" s="8"/>
      <c r="G62" s="8"/>
      <c r="H62" s="8">
        <f t="shared" si="119"/>
        <v>-4.6148618370494554E-2</v>
      </c>
      <c r="I62" s="8">
        <f t="shared" si="116"/>
        <v>-5.9366650539992287E-2</v>
      </c>
      <c r="J62" s="8">
        <f t="shared" si="117"/>
        <v>-1.8548149842549849E-2</v>
      </c>
      <c r="K62" s="8">
        <f t="shared" si="118"/>
        <v>7.2870160636994835E-2</v>
      </c>
      <c r="L62" s="8">
        <f t="shared" si="120"/>
        <v>6.8915721554716661E-2</v>
      </c>
      <c r="M62" s="8">
        <f t="shared" si="121"/>
        <v>-3.0078522178389591E-2</v>
      </c>
      <c r="N62" s="8">
        <f t="shared" si="122"/>
        <v>-6.6043108960633132E-2</v>
      </c>
      <c r="O62" s="8">
        <f t="shared" si="123"/>
        <v>-3.5949992109276671E-2</v>
      </c>
      <c r="P62" s="8">
        <f t="shared" si="124"/>
        <v>1.214952155994937E-2</v>
      </c>
      <c r="Q62" s="8">
        <f t="shared" si="125"/>
        <v>7.4205682394998834E-2</v>
      </c>
      <c r="R62" s="8">
        <f t="shared" si="126"/>
        <v>5.1130063004979534E-2</v>
      </c>
      <c r="S62" s="8">
        <f t="shared" si="127"/>
        <v>-5.5134479511009603E-2</v>
      </c>
      <c r="T62" s="8">
        <f t="shared" si="128"/>
        <v>-7.4909604378544561E-2</v>
      </c>
      <c r="U62" s="8">
        <f t="shared" si="129"/>
        <v>-6.5303403964152859E-3</v>
      </c>
      <c r="V62" s="8">
        <f t="shared" si="130"/>
        <v>4.0818444358444124E-2</v>
      </c>
      <c r="W62" s="8">
        <f t="shared" si="131"/>
        <v>6.3150208028158669E-2</v>
      </c>
      <c r="X62" s="8">
        <f t="shared" si="132"/>
        <v>2.4806616079612064E-2</v>
      </c>
      <c r="Y62" s="8">
        <f t="shared" si="133"/>
        <v>-7.0983983915541449E-2</v>
      </c>
      <c r="Z62" s="8">
        <f t="shared" si="134"/>
        <v>-7.1267561533479018E-2</v>
      </c>
      <c r="AA62" s="8">
        <f t="shared" si="135"/>
        <v>2.3979759108775377E-2</v>
      </c>
      <c r="AB62" s="8">
        <f t="shared" si="136"/>
        <v>6.267143110536591E-2</v>
      </c>
      <c r="AC62" s="8">
        <f t="shared" si="137"/>
        <v>4.1549800204675955E-2</v>
      </c>
      <c r="AD62" s="8">
        <f t="shared" si="138"/>
        <v>-5.6590834845329091E-3</v>
      </c>
      <c r="AE62" s="8">
        <f t="shared" si="139"/>
        <v>-7.4980457106890191E-2</v>
      </c>
      <c r="AF62" s="8">
        <f t="shared" si="140"/>
        <v>-5.5725135182905214E-2</v>
      </c>
      <c r="AG62" s="8">
        <f t="shared" si="141"/>
        <v>5.0485676014985222E-2</v>
      </c>
      <c r="AH62" s="8">
        <f t="shared" si="142"/>
        <v>7.4059431413225421E-2</v>
      </c>
      <c r="AI62" s="8">
        <f t="shared" si="143"/>
        <v>1.3011333236562467E-2</v>
      </c>
      <c r="AJ62" s="8">
        <f t="shared" si="144"/>
        <v>-3.5179819276850779E-2</v>
      </c>
      <c r="AK62" s="8">
        <f t="shared" si="145"/>
        <v>-6.6456560921335922E-2</v>
      </c>
      <c r="AL62" s="8">
        <f t="shared" si="146"/>
        <v>-3.0877627175211159E-2</v>
      </c>
      <c r="AM62" s="8">
        <f t="shared" si="147"/>
        <v>6.8561405425149907E-2</v>
      </c>
      <c r="AN62" s="8">
        <f t="shared" si="148"/>
        <v>7.3080856843912273E-2</v>
      </c>
      <c r="AO62" s="8">
        <f t="shared" si="149"/>
        <v>-1.7699789173962324E-2</v>
      </c>
      <c r="AP62" s="8">
        <f t="shared" si="150"/>
        <v>-5.882616660910623E-2</v>
      </c>
      <c r="AQ62" s="8">
        <f t="shared" si="151"/>
        <v>-4.6835630623712009E-2</v>
      </c>
      <c r="AR62" s="8">
        <f t="shared" si="152"/>
        <v>-8.7411835566811172E-4</v>
      </c>
      <c r="AS62" s="8">
        <f t="shared" si="153"/>
        <v>7.5188630064281656E-2</v>
      </c>
      <c r="AT62" s="8">
        <f t="shared" si="154"/>
        <v>5.9899111510223264E-2</v>
      </c>
      <c r="AU62" s="8">
        <f t="shared" si="155"/>
        <v>-4.5455369475222107E-2</v>
      </c>
      <c r="AV62" s="8">
        <f t="shared" si="156"/>
        <v>-7.2649616570607756E-2</v>
      </c>
      <c r="AW62" s="8">
        <f t="shared" si="157"/>
        <v>-1.9394003866834486E-2</v>
      </c>
      <c r="AX62" s="8">
        <f t="shared" si="158"/>
        <v>2.9275352293321958E-2</v>
      </c>
      <c r="AY62" s="8">
        <f t="shared" si="159"/>
        <v>6.9260724237803079E-2</v>
      </c>
      <c r="AZ62" s="8">
        <f t="shared" si="160"/>
        <v>3.6715306568026358E-2</v>
      </c>
      <c r="BA62" s="8">
        <f t="shared" si="161"/>
        <v>-6.5620731765646714E-2</v>
      </c>
      <c r="BB62" s="8">
        <f t="shared" si="162"/>
        <v>-7.4341905031484315E-2</v>
      </c>
      <c r="BC62" s="8">
        <f t="shared" si="163"/>
        <v>1.1286067965987162E-2</v>
      </c>
      <c r="BD62" s="8">
        <f t="shared" si="164"/>
        <v>5.4536372824852471E-2</v>
      </c>
      <c r="BE62" s="8">
        <f t="shared" si="165"/>
        <v>5.1767540147778006E-2</v>
      </c>
      <c r="BF62" s="8">
        <f t="shared" si="166"/>
        <v>7.4007147814308611E-3</v>
      </c>
      <c r="BG62" s="8">
        <f t="shared" si="167"/>
        <v>-7.4828628175097694E-2</v>
      </c>
      <c r="BH62" s="8">
        <f t="shared" si="168"/>
        <v>-6.3620450670682061E-2</v>
      </c>
      <c r="BI62" s="8">
        <f t="shared" si="169"/>
        <v>4.0081572203475545E-2</v>
      </c>
      <c r="BJ62" s="8">
        <f t="shared" si="170"/>
        <v>7.0690813340869976E-2</v>
      </c>
      <c r="BK62" s="8">
        <f t="shared" si="171"/>
        <v>2.5630120621046519E-2</v>
      </c>
      <c r="BL62" s="8">
        <f t="shared" si="172"/>
        <v>-2.314966145209759E-2</v>
      </c>
      <c r="BM62" s="8">
        <f t="shared" si="173"/>
        <v>-7.1541507871279733E-2</v>
      </c>
      <c r="BN62" s="8">
        <f t="shared" si="174"/>
        <v>-4.2275540904874676E-2</v>
      </c>
      <c r="BO62" s="8">
        <f t="shared" si="175"/>
        <v>6.2184184605439528E-2</v>
      </c>
      <c r="BP62" s="8">
        <f t="shared" si="176"/>
        <v>7.504117678491605E-2</v>
      </c>
      <c r="BQ62" s="8">
        <f t="shared" si="177"/>
        <v>-4.7870617896670015E-3</v>
      </c>
      <c r="BR62" s="8">
        <f t="shared" si="178"/>
        <v>-4.9834466261897345E-2</v>
      </c>
      <c r="BS62" s="8">
        <f t="shared" si="179"/>
        <v>-5.6308260017824463E-2</v>
      </c>
      <c r="BT62" s="8">
        <f t="shared" si="180"/>
        <v>-1.3871386528398238E-2</v>
      </c>
      <c r="BU62" s="8">
        <f t="shared" si="181"/>
        <v>7.3903171850894775E-2</v>
      </c>
      <c r="BV62" s="8">
        <f t="shared" si="182"/>
        <v>6.6861031772801893E-2</v>
      </c>
      <c r="BW62" s="8">
        <f t="shared" si="183"/>
        <v>-3.4404892153870936E-2</v>
      </c>
      <c r="BX62" s="8">
        <f t="shared" si="184"/>
        <v>-6.8197823732288748E-2</v>
      </c>
      <c r="BY62" s="8">
        <f t="shared" si="185"/>
        <v>-3.1672559290698128E-2</v>
      </c>
      <c r="BZ62" s="8">
        <f t="shared" si="186"/>
        <v>1.6849036510695428E-2</v>
      </c>
      <c r="CA62" s="8">
        <f t="shared" si="187"/>
        <v>7.3281676717337513E-2</v>
      </c>
      <c r="CB62" s="8">
        <f t="shared" si="188"/>
        <v>4.7516313390283706E-2</v>
      </c>
      <c r="CC62" s="8">
        <f t="shared" si="189"/>
        <v>-5.8277732759944086E-2</v>
      </c>
      <c r="CD62" s="8">
        <f t="shared" si="190"/>
        <v>-7.5173387945939668E-2</v>
      </c>
      <c r="CE62" s="8">
        <f t="shared" si="191"/>
        <v>-1.7481185807509323E-3</v>
      </c>
      <c r="CF62" s="8">
        <f t="shared" si="192"/>
        <v>4.4755977625317842E-2</v>
      </c>
      <c r="CG62" s="8">
        <f t="shared" si="193"/>
        <v>6.0423477561666078E-2</v>
      </c>
      <c r="CH62" s="8">
        <f t="shared" si="194"/>
        <v>2.0237236935942621E-2</v>
      </c>
      <c r="CI62" s="8">
        <f t="shared" si="195"/>
        <v>-7.2419254449639522E-2</v>
      </c>
      <c r="CJ62" s="8">
        <f t="shared" si="196"/>
        <v>-6.9596366849866115E-2</v>
      </c>
      <c r="CK62" s="8">
        <f t="shared" si="197"/>
        <v>2.8468226062436187E-2</v>
      </c>
      <c r="CL62" s="8">
        <f t="shared" si="198"/>
        <v>6.5189486417508033E-2</v>
      </c>
      <c r="CM62" s="8">
        <f t="shared" si="199"/>
        <v>3.747565922655198E-2</v>
      </c>
      <c r="CN62" s="8">
        <f t="shared" si="200"/>
        <v>-1.0421089144000143E-2</v>
      </c>
      <c r="CO62" s="8">
        <f t="shared" si="201"/>
        <v>-7.4468080913206808E-2</v>
      </c>
      <c r="CP62" s="8">
        <f t="shared" si="202"/>
        <v>-5.2398021293092754E-2</v>
      </c>
      <c r="CQ62" s="8">
        <f t="shared" si="203"/>
        <v>5.3930895954097703E-2</v>
      </c>
      <c r="CR62" s="8">
        <f t="shared" si="204"/>
        <v>7.4737539439880235E-2</v>
      </c>
      <c r="CS62" s="8">
        <f t="shared" si="205"/>
        <v>8.2700890149659499E-3</v>
      </c>
      <c r="CT62" s="8">
        <f t="shared" si="206"/>
        <v>-3.9339283322552779E-2</v>
      </c>
      <c r="CU62" s="8">
        <f t="shared" si="112"/>
        <v>-6.4082095483145946E-2</v>
      </c>
      <c r="DA62" s="20">
        <v>3.0965290214464581E-3</v>
      </c>
    </row>
    <row r="63" spans="1:105">
      <c r="A63" s="15">
        <v>61</v>
      </c>
      <c r="B63" s="16">
        <v>32</v>
      </c>
      <c r="C63" s="8">
        <f t="shared" si="113"/>
        <v>3.4657359027997265</v>
      </c>
      <c r="D63" s="8">
        <f t="shared" si="114"/>
        <v>4.1191397849462366</v>
      </c>
      <c r="E63" s="7">
        <f t="shared" si="115"/>
        <v>1.5245901639344264</v>
      </c>
      <c r="F63" s="8"/>
      <c r="G63" s="8"/>
      <c r="H63" s="8">
        <f t="shared" si="119"/>
        <v>-4.166768340606318E-2</v>
      </c>
      <c r="I63" s="8">
        <f t="shared" si="116"/>
        <v>-6.1796573211032997E-2</v>
      </c>
      <c r="J63" s="8">
        <f t="shared" si="117"/>
        <v>-2.794265389956729E-2</v>
      </c>
      <c r="K63" s="8">
        <f t="shared" si="118"/>
        <v>6.9095733544868532E-2</v>
      </c>
      <c r="L63" s="8">
        <f t="shared" si="120"/>
        <v>7.2910810137179038E-2</v>
      </c>
      <c r="M63" s="8">
        <f t="shared" si="121"/>
        <v>-1.5460467851740598E-2</v>
      </c>
      <c r="N63" s="8">
        <f t="shared" si="122"/>
        <v>-5.3580085113404098E-2</v>
      </c>
      <c r="O63" s="8">
        <f t="shared" si="123"/>
        <v>-5.1809137999920887E-2</v>
      </c>
      <c r="P63" s="8">
        <f t="shared" si="124"/>
        <v>-1.3002062905120838E-2</v>
      </c>
      <c r="Q63" s="8">
        <f t="shared" si="125"/>
        <v>7.3389090887309369E-2</v>
      </c>
      <c r="R63" s="8">
        <f t="shared" si="126"/>
        <v>6.8117898900552129E-2</v>
      </c>
      <c r="S63" s="8">
        <f t="shared" si="127"/>
        <v>-3.0248374343568186E-2</v>
      </c>
      <c r="T63" s="8">
        <f t="shared" si="128"/>
        <v>-6.3161645655154433E-2</v>
      </c>
      <c r="U63" s="8">
        <f t="shared" si="129"/>
        <v>-3.9567901374563529E-2</v>
      </c>
      <c r="V63" s="8">
        <f t="shared" si="130"/>
        <v>2.5041439033486163E-3</v>
      </c>
      <c r="W63" s="8">
        <f t="shared" si="131"/>
        <v>7.4489875582966283E-2</v>
      </c>
      <c r="X63" s="8">
        <f t="shared" si="132"/>
        <v>6.0361722440756965E-2</v>
      </c>
      <c r="Y63" s="8">
        <f t="shared" si="133"/>
        <v>-4.3720415883652018E-2</v>
      </c>
      <c r="Z63" s="8">
        <f t="shared" si="134"/>
        <v>-6.9995547930444948E-2</v>
      </c>
      <c r="AA63" s="8">
        <f t="shared" si="135"/>
        <v>-2.5605381679858989E-2</v>
      </c>
      <c r="AB63" s="8">
        <f t="shared" si="136"/>
        <v>1.7901415429574047E-2</v>
      </c>
      <c r="AC63" s="8">
        <f t="shared" si="137"/>
        <v>7.2350201289784144E-2</v>
      </c>
      <c r="AD63" s="8">
        <f t="shared" si="138"/>
        <v>4.9979689990007785E-2</v>
      </c>
      <c r="AE63" s="8">
        <f t="shared" si="139"/>
        <v>-5.5290531644732709E-2</v>
      </c>
      <c r="AF63" s="8">
        <f t="shared" si="140"/>
        <v>-7.378450348385085E-2</v>
      </c>
      <c r="AG63" s="8">
        <f t="shared" si="141"/>
        <v>-1.0528976526523154E-2</v>
      </c>
      <c r="AH63" s="8">
        <f t="shared" si="142"/>
        <v>3.251993948055238E-2</v>
      </c>
      <c r="AI63" s="8">
        <f t="shared" si="143"/>
        <v>6.7063148130964478E-2</v>
      </c>
      <c r="AJ63" s="8">
        <f t="shared" si="144"/>
        <v>3.7423440782685786E-2</v>
      </c>
      <c r="AK63" s="8">
        <f t="shared" si="145"/>
        <v>-6.4455398385544746E-2</v>
      </c>
      <c r="AL63" s="8">
        <f t="shared" si="146"/>
        <v>-7.4363685149462191E-2</v>
      </c>
      <c r="AM63" s="8">
        <f t="shared" si="147"/>
        <v>5.0054602232092477E-3</v>
      </c>
      <c r="AN63" s="8">
        <f t="shared" si="148"/>
        <v>4.572378094035244E-2</v>
      </c>
      <c r="AO63" s="8">
        <f t="shared" si="149"/>
        <v>5.885871352291977E-2</v>
      </c>
      <c r="AP63" s="8">
        <f t="shared" si="150"/>
        <v>2.3239196842811054E-2</v>
      </c>
      <c r="AQ63" s="8">
        <f t="shared" si="151"/>
        <v>-7.0816326021303555E-2</v>
      </c>
      <c r="AR63" s="8">
        <f t="shared" si="152"/>
        <v>-7.1707897363186363E-2</v>
      </c>
      <c r="AS63" s="8">
        <f t="shared" si="153"/>
        <v>2.032214941400649E-2</v>
      </c>
      <c r="AT63" s="8">
        <f t="shared" si="154"/>
        <v>5.6938546223124976E-2</v>
      </c>
      <c r="AU63" s="8">
        <f t="shared" si="155"/>
        <v>4.8093806826363147E-2</v>
      </c>
      <c r="AV63" s="8">
        <f t="shared" si="156"/>
        <v>8.0440012304667068E-3</v>
      </c>
      <c r="AW63" s="8">
        <f t="shared" si="157"/>
        <v>-7.4096601442027871E-2</v>
      </c>
      <c r="AX63" s="8">
        <f t="shared" si="158"/>
        <v>-6.5932672220319996E-2</v>
      </c>
      <c r="AY63" s="8">
        <f t="shared" si="159"/>
        <v>3.475478434607697E-2</v>
      </c>
      <c r="AZ63" s="8">
        <f t="shared" si="160"/>
        <v>6.5676370546119522E-2</v>
      </c>
      <c r="BA63" s="8">
        <f t="shared" si="161"/>
        <v>3.523672307328362E-2</v>
      </c>
      <c r="BB63" s="8">
        <f t="shared" si="162"/>
        <v>-7.5011245688930018E-3</v>
      </c>
      <c r="BC63" s="8">
        <f t="shared" si="163"/>
        <v>-7.4153526087816113E-2</v>
      </c>
      <c r="BD63" s="8">
        <f t="shared" si="164"/>
        <v>-5.7289243597686113E-2</v>
      </c>
      <c r="BE63" s="8">
        <f t="shared" si="165"/>
        <v>4.7675516452991416E-2</v>
      </c>
      <c r="BF63" s="8">
        <f t="shared" si="166"/>
        <v>7.1557141026226956E-2</v>
      </c>
      <c r="BG63" s="8">
        <f t="shared" si="167"/>
        <v>2.0846771193811814E-2</v>
      </c>
      <c r="BH63" s="8">
        <f t="shared" si="168"/>
        <v>-2.2719936404839009E-2</v>
      </c>
      <c r="BI63" s="8">
        <f t="shared" si="169"/>
        <v>-7.0984623622405332E-2</v>
      </c>
      <c r="BJ63" s="8">
        <f t="shared" si="170"/>
        <v>-4.6153617976103754E-2</v>
      </c>
      <c r="BK63" s="8">
        <f t="shared" si="171"/>
        <v>5.8522267973570088E-2</v>
      </c>
      <c r="BL63" s="8">
        <f t="shared" si="172"/>
        <v>7.4325032352766759E-2</v>
      </c>
      <c r="BM63" s="8">
        <f t="shared" si="173"/>
        <v>5.5499429559815096E-3</v>
      </c>
      <c r="BN63" s="8">
        <f t="shared" si="174"/>
        <v>-3.6950385438823952E-2</v>
      </c>
      <c r="BO63" s="8">
        <f t="shared" si="175"/>
        <v>-6.4727747658765489E-2</v>
      </c>
      <c r="BP63" s="8">
        <f t="shared" si="176"/>
        <v>-3.3010217404332333E-2</v>
      </c>
      <c r="BQ63" s="8">
        <f t="shared" si="177"/>
        <v>6.68231834618285E-2</v>
      </c>
      <c r="BR63" s="8">
        <f t="shared" si="178"/>
        <v>7.3859635701599827E-2</v>
      </c>
      <c r="BS63" s="8">
        <f t="shared" si="179"/>
        <v>-9.9883189317039826E-3</v>
      </c>
      <c r="BT63" s="8">
        <f t="shared" si="180"/>
        <v>-4.9573418596500392E-2</v>
      </c>
      <c r="BU63" s="8">
        <f t="shared" si="181"/>
        <v>-5.5655084850448518E-2</v>
      </c>
      <c r="BV63" s="8">
        <f t="shared" si="182"/>
        <v>-1.8430806168371776E-2</v>
      </c>
      <c r="BW63" s="8">
        <f t="shared" si="183"/>
        <v>7.2217156445254629E-2</v>
      </c>
      <c r="BX63" s="8">
        <f t="shared" si="184"/>
        <v>7.0181196760476572E-2</v>
      </c>
      <c r="BY63" s="8">
        <f t="shared" si="185"/>
        <v>-2.5092068912741065E-2</v>
      </c>
      <c r="BZ63" s="8">
        <f t="shared" si="186"/>
        <v>-6.0039908618062396E-2</v>
      </c>
      <c r="CA63" s="8">
        <f t="shared" si="187"/>
        <v>-4.4161314226245474E-2</v>
      </c>
      <c r="CB63" s="8">
        <f t="shared" si="188"/>
        <v>-3.0496178982493084E-3</v>
      </c>
      <c r="CC63" s="8">
        <f t="shared" si="189"/>
        <v>7.4469538280622846E-2</v>
      </c>
      <c r="CD63" s="8">
        <f t="shared" si="190"/>
        <v>6.3449735001015847E-2</v>
      </c>
      <c r="CE63" s="8">
        <f t="shared" si="191"/>
        <v>-3.9104263570042326E-2</v>
      </c>
      <c r="CF63" s="8">
        <f t="shared" si="192"/>
        <v>-6.7894542195403723E-2</v>
      </c>
      <c r="CG63" s="8">
        <f t="shared" si="193"/>
        <v>-3.0746437860848505E-2</v>
      </c>
      <c r="CH63" s="8">
        <f t="shared" si="194"/>
        <v>1.2464234866927942E-2</v>
      </c>
      <c r="CI63" s="8">
        <f t="shared" si="195"/>
        <v>7.3482345840593113E-2</v>
      </c>
      <c r="CJ63" s="8">
        <f t="shared" si="196"/>
        <v>5.3958082510741287E-2</v>
      </c>
      <c r="CK63" s="8">
        <f t="shared" si="197"/>
        <v>-5.141534433239274E-2</v>
      </c>
      <c r="CL63" s="8">
        <f t="shared" si="198"/>
        <v>-7.279562701422819E-2</v>
      </c>
      <c r="CM63" s="8">
        <f t="shared" si="199"/>
        <v>-1.5994029781760604E-2</v>
      </c>
      <c r="CN63" s="8">
        <f t="shared" si="200"/>
        <v>2.7435868416438709E-2</v>
      </c>
      <c r="CO63" s="8">
        <f t="shared" si="201"/>
        <v>6.9298523976274826E-2</v>
      </c>
      <c r="CP63" s="8">
        <f t="shared" si="202"/>
        <v>4.2119145209961177E-2</v>
      </c>
      <c r="CQ63" s="8">
        <f t="shared" si="203"/>
        <v>-6.1489754494847983E-2</v>
      </c>
      <c r="CR63" s="8">
        <f t="shared" si="204"/>
        <v>-7.4529956055031127E-2</v>
      </c>
      <c r="CS63" s="8">
        <f t="shared" si="205"/>
        <v>-5.4584932866478587E-4</v>
      </c>
      <c r="CT63" s="8">
        <f t="shared" si="206"/>
        <v>4.1213986662953839E-2</v>
      </c>
      <c r="CU63" s="8">
        <f t="shared" si="112"/>
        <v>6.210007733006729E-2</v>
      </c>
      <c r="CX63">
        <v>1.7312508924073166E-2</v>
      </c>
      <c r="CY63">
        <v>6.9968730957363875E-2</v>
      </c>
      <c r="DA63" s="21"/>
    </row>
    <row r="64" spans="1:105">
      <c r="A64" s="15">
        <v>62</v>
      </c>
      <c r="B64" s="16">
        <v>43</v>
      </c>
      <c r="C64" s="8">
        <f t="shared" si="113"/>
        <v>3.7612001156935624</v>
      </c>
      <c r="D64" s="8">
        <f t="shared" si="114"/>
        <v>4.1866666666666665</v>
      </c>
      <c r="E64" s="7">
        <f t="shared" si="115"/>
        <v>1.5</v>
      </c>
      <c r="F64" s="8"/>
      <c r="G64" s="8"/>
      <c r="H64" s="8">
        <f t="shared" si="119"/>
        <v>-4.0591673166158415E-2</v>
      </c>
      <c r="I64" s="8">
        <f t="shared" si="116"/>
        <v>-6.9963311435596476E-2</v>
      </c>
      <c r="J64" s="8">
        <f t="shared" si="117"/>
        <v>-4.0145143206329427E-2</v>
      </c>
      <c r="K64" s="8">
        <f t="shared" si="118"/>
        <v>7.022048386621807E-2</v>
      </c>
      <c r="L64" s="8">
        <f t="shared" si="120"/>
        <v>8.0884382630347543E-2</v>
      </c>
      <c r="M64" s="8">
        <f t="shared" si="121"/>
        <v>-5.1529018040718231E-4</v>
      </c>
      <c r="N64" s="8">
        <f t="shared" si="122"/>
        <v>-4.1036555729572363E-2</v>
      </c>
      <c r="O64" s="8">
        <f t="shared" si="123"/>
        <v>-6.9703299572661484E-2</v>
      </c>
      <c r="P64" s="8">
        <f t="shared" si="124"/>
        <v>-3.9696983972320826E-2</v>
      </c>
      <c r="Q64" s="8">
        <f t="shared" si="125"/>
        <v>7.0474806427288567E-2</v>
      </c>
      <c r="R64" s="8">
        <f t="shared" si="126"/>
        <v>8.0879458607774346E-2</v>
      </c>
      <c r="S64" s="8">
        <f t="shared" si="127"/>
        <v>-1.0305594479736342E-3</v>
      </c>
      <c r="T64" s="8">
        <f t="shared" si="128"/>
        <v>-4.147977284119489E-2</v>
      </c>
      <c r="U64" s="8">
        <f t="shared" si="129"/>
        <v>-6.9440458829887933E-2</v>
      </c>
      <c r="V64" s="8">
        <f t="shared" si="130"/>
        <v>-3.9247213652491238E-2</v>
      </c>
      <c r="W64" s="8">
        <f t="shared" si="131"/>
        <v>7.0726268797231165E-2</v>
      </c>
      <c r="X64" s="8">
        <f t="shared" si="132"/>
        <v>8.0871252125529799E-2</v>
      </c>
      <c r="Y64" s="8">
        <f t="shared" si="133"/>
        <v>-1.5457868907070768E-3</v>
      </c>
      <c r="Z64" s="8">
        <f t="shared" si="134"/>
        <v>-4.1921306513240907E-2</v>
      </c>
      <c r="AA64" s="8">
        <f t="shared" si="135"/>
        <v>-6.9174799874559795E-2</v>
      </c>
      <c r="AB64" s="8">
        <f t="shared" si="136"/>
        <v>-3.8795850500585066E-2</v>
      </c>
      <c r="AC64" s="8">
        <f t="shared" si="137"/>
        <v>7.0974860770548501E-2</v>
      </c>
      <c r="AD64" s="8">
        <f t="shared" si="138"/>
        <v>8.0859763516670624E-2</v>
      </c>
      <c r="AE64" s="8">
        <f t="shared" si="139"/>
        <v>-2.0609515983138252E-3</v>
      </c>
      <c r="AF64" s="8">
        <f t="shared" si="140"/>
        <v>-4.2361138826248049E-2</v>
      </c>
      <c r="AG64" s="8">
        <f t="shared" si="141"/>
        <v>-6.8906333488336399E-2</v>
      </c>
      <c r="AH64" s="8">
        <f t="shared" si="142"/>
        <v>-3.8342912834990049E-2</v>
      </c>
      <c r="AI64" s="8">
        <f t="shared" si="143"/>
        <v>7.1220572258237622E-2</v>
      </c>
      <c r="AJ64" s="8">
        <f t="shared" si="144"/>
        <v>8.0844993247457322E-2</v>
      </c>
      <c r="AK64" s="8">
        <f t="shared" si="145"/>
        <v>-2.5760326630442608E-3</v>
      </c>
      <c r="AL64" s="8">
        <f t="shared" si="146"/>
        <v>-4.2799251929801253E-2</v>
      </c>
      <c r="AM64" s="8">
        <f t="shared" si="147"/>
        <v>-6.86350705668166E-2</v>
      </c>
      <c r="AN64" s="8">
        <f t="shared" si="148"/>
        <v>-3.7888419037996675E-2</v>
      </c>
      <c r="AO64" s="8">
        <f t="shared" si="149"/>
        <v>7.1463393288197993E-2</v>
      </c>
      <c r="AP64" s="8">
        <f t="shared" si="150"/>
        <v>8.0826941917335193E-2</v>
      </c>
      <c r="AQ64" s="8">
        <f t="shared" si="151"/>
        <v>-3.0910091805451032E-3</v>
      </c>
      <c r="AR64" s="8">
        <f t="shared" si="152"/>
        <v>-4.3235628043260282E-2</v>
      </c>
      <c r="AS64" s="8">
        <f t="shared" si="153"/>
        <v>-6.8361022119094561E-2</v>
      </c>
      <c r="AT64" s="8">
        <f t="shared" si="154"/>
        <v>-3.7432387555048866E-2</v>
      </c>
      <c r="AU64" s="8">
        <f t="shared" si="155"/>
        <v>7.1703314005637939E-2</v>
      </c>
      <c r="AV64" s="8">
        <f t="shared" si="156"/>
        <v>8.080561025891006E-2</v>
      </c>
      <c r="AW64" s="8">
        <f t="shared" si="157"/>
        <v>-3.6058602507055009E-3</v>
      </c>
      <c r="AX64" s="8">
        <f t="shared" si="158"/>
        <v>-4.367024945647948E-2</v>
      </c>
      <c r="AY64" s="8">
        <f t="shared" si="159"/>
        <v>-6.8084199267314183E-2</v>
      </c>
      <c r="AZ64" s="8">
        <f t="shared" si="160"/>
        <v>-3.6974836893997415E-2</v>
      </c>
      <c r="BA64" s="8">
        <f t="shared" si="161"/>
        <v>7.1940324673473485E-2</v>
      </c>
      <c r="BB64" s="8">
        <f t="shared" si="162"/>
        <v>8.0780999137918516E-2</v>
      </c>
      <c r="BC64" s="8">
        <f t="shared" si="163"/>
        <v>-4.1205649785069822E-3</v>
      </c>
      <c r="BD64" s="8">
        <f t="shared" si="164"/>
        <v>-4.4103098530527914E-2</v>
      </c>
      <c r="BE64" s="8">
        <f t="shared" si="165"/>
        <v>-6.7804613246216783E-2</v>
      </c>
      <c r="BF64" s="8">
        <f t="shared" si="166"/>
        <v>-3.6515785624347305E-2</v>
      </c>
      <c r="BG64" s="8">
        <f t="shared" si="167"/>
        <v>7.2174415672724368E-2</v>
      </c>
      <c r="BH64" s="8">
        <f t="shared" si="168"/>
        <v>8.0753109553192884E-2</v>
      </c>
      <c r="BI64" s="8">
        <f t="shared" si="169"/>
        <v>-4.6351024748668736E-3</v>
      </c>
      <c r="BJ64" s="8">
        <f t="shared" si="170"/>
        <v>-4.4534157698401439E-2</v>
      </c>
      <c r="BK64" s="8">
        <f t="shared" si="171"/>
        <v>-6.7522275402687681E-2</v>
      </c>
      <c r="BL64" s="8">
        <f t="shared" si="172"/>
        <v>-3.6055252376508168E-2</v>
      </c>
      <c r="BM64" s="8">
        <f t="shared" si="173"/>
        <v>7.2405577502902302E-2</v>
      </c>
      <c r="BN64" s="8">
        <f t="shared" si="174"/>
        <v>8.0721942636620511E-2</v>
      </c>
      <c r="BO64" s="8">
        <f t="shared" si="175"/>
        <v>-5.1494518574929666E-3</v>
      </c>
      <c r="BP64" s="8">
        <f t="shared" si="176"/>
        <v>-4.4963409465741386E-2</v>
      </c>
      <c r="BQ64" s="8">
        <f t="shared" si="177"/>
        <v>-6.7237197195291892E-2</v>
      </c>
      <c r="BR64" s="8">
        <f t="shared" si="178"/>
        <v>-3.5593255841032061E-2</v>
      </c>
      <c r="BS64" s="8">
        <f t="shared" si="179"/>
        <v>7.2633800782399699E-2</v>
      </c>
      <c r="BT64" s="8">
        <f t="shared" si="180"/>
        <v>8.0687499653097905E-2</v>
      </c>
      <c r="BU64" s="8">
        <f t="shared" si="181"/>
        <v>-5.6635922517264238E-3</v>
      </c>
      <c r="BV64" s="8">
        <f t="shared" si="182"/>
        <v>-4.5390836411540771E-2</v>
      </c>
      <c r="BW64" s="8">
        <f t="shared" si="183"/>
        <v>-6.6949390193811589E-2</v>
      </c>
      <c r="BX64" s="8">
        <f t="shared" si="184"/>
        <v>-3.512981476785898E-2</v>
      </c>
      <c r="BY64" s="8">
        <f t="shared" si="185"/>
        <v>7.2859076248868324E-2</v>
      </c>
      <c r="BZ64" s="8">
        <f t="shared" si="186"/>
        <v>8.0649782000479439E-2</v>
      </c>
      <c r="CA64" s="8">
        <f t="shared" si="187"/>
        <v>-6.1775027913901154E-3</v>
      </c>
      <c r="CB64" s="8">
        <f t="shared" si="188"/>
        <v>-4.5816421188852208E-2</v>
      </c>
      <c r="CC64" s="8">
        <f t="shared" si="189"/>
        <v>-6.6658866078775927E-2</v>
      </c>
      <c r="CD64" s="8">
        <f t="shared" si="190"/>
        <v>-3.4664947965554888E-2</v>
      </c>
      <c r="CE64" s="8">
        <f t="shared" si="191"/>
        <v>7.30813947595957E-2</v>
      </c>
      <c r="CF64" s="8">
        <f t="shared" si="192"/>
        <v>8.0608791209520594E-2</v>
      </c>
      <c r="CG64" s="8">
        <f t="shared" si="193"/>
        <v>-6.6911626196354632E-3</v>
      </c>
      <c r="CH64" s="8">
        <f t="shared" si="194"/>
        <v>-4.6240146525491972E-2</v>
      </c>
      <c r="CI64" s="8">
        <f t="shared" si="195"/>
        <v>-6.6365636640987047E-2</v>
      </c>
      <c r="CJ64" s="8">
        <f t="shared" si="196"/>
        <v>-3.419867430054839E-2</v>
      </c>
      <c r="CK64" s="8">
        <f t="shared" si="197"/>
        <v>7.3300747291876231E-2</v>
      </c>
      <c r="CL64" s="8">
        <f t="shared" si="198"/>
        <v>8.0564528943815786E-2</v>
      </c>
      <c r="CM64" s="8">
        <f t="shared" si="199"/>
        <v>-7.2045508897889124E-3</v>
      </c>
      <c r="CN64" s="8">
        <f t="shared" si="200"/>
        <v>-4.6661995224740994E-2</v>
      </c>
      <c r="CO64" s="8">
        <f t="shared" si="201"/>
        <v>-6.6069713781041456E-2</v>
      </c>
      <c r="CP64" s="8">
        <f t="shared" si="202"/>
        <v>-3.3731012696365033E-2</v>
      </c>
      <c r="CQ64" s="8">
        <f t="shared" si="203"/>
        <v>7.3517124943377324E-2</v>
      </c>
      <c r="CR64" s="8">
        <f t="shared" si="204"/>
        <v>8.0516996999730958E-2</v>
      </c>
      <c r="CS64" s="8">
        <f t="shared" si="205"/>
        <v>-7.7176467661979791E-3</v>
      </c>
      <c r="CT64" s="8">
        <f t="shared" si="206"/>
        <v>-4.7081950166042746E-2</v>
      </c>
      <c r="CU64" s="8">
        <f t="shared" si="112"/>
        <v>-6.5771109508847098E-2</v>
      </c>
      <c r="DA64" s="20">
        <v>1.9702088815110367E-4</v>
      </c>
    </row>
    <row r="65" spans="1:105">
      <c r="A65" s="15">
        <v>63</v>
      </c>
      <c r="B65" s="16">
        <v>48</v>
      </c>
      <c r="C65" s="8">
        <f t="shared" si="113"/>
        <v>3.8712010109078911</v>
      </c>
      <c r="D65" s="8">
        <f t="shared" si="114"/>
        <v>4.2541935483870974</v>
      </c>
      <c r="E65" s="7">
        <f t="shared" si="115"/>
        <v>1.4761904761904761</v>
      </c>
      <c r="F65" s="8"/>
      <c r="G65" s="8"/>
      <c r="H65" s="8">
        <f t="shared" si="119"/>
        <v>-3.6824728629834318E-2</v>
      </c>
      <c r="I65" s="8">
        <f t="shared" si="116"/>
        <v>-7.4664409407030508E-2</v>
      </c>
      <c r="J65" s="8">
        <f t="shared" si="117"/>
        <v>-5.0674240950598581E-2</v>
      </c>
      <c r="K65" s="8">
        <f t="shared" si="118"/>
        <v>6.6052675758384541E-2</v>
      </c>
      <c r="L65" s="8">
        <f t="shared" si="120"/>
        <v>8.1654242897671883E-2</v>
      </c>
      <c r="M65" s="8">
        <f t="shared" si="121"/>
        <v>1.6230196781604523E-2</v>
      </c>
      <c r="N65" s="8">
        <f t="shared" si="122"/>
        <v>-2.1562066458114929E-2</v>
      </c>
      <c r="O65" s="8">
        <f t="shared" si="123"/>
        <v>-8.0410894540587224E-2</v>
      </c>
      <c r="P65" s="8">
        <f t="shared" si="124"/>
        <v>-6.2579128050456609E-2</v>
      </c>
      <c r="Q65" s="8">
        <f t="shared" si="125"/>
        <v>5.4906169081499021E-2</v>
      </c>
      <c r="R65" s="8">
        <f t="shared" si="126"/>
        <v>7.6923367607977355E-2</v>
      </c>
      <c r="S65" s="8">
        <f t="shared" si="127"/>
        <v>3.1837559369549434E-2</v>
      </c>
      <c r="T65" s="8">
        <f t="shared" si="128"/>
        <v>-5.4719594650673537E-3</v>
      </c>
      <c r="U65" s="8">
        <f t="shared" si="129"/>
        <v>-8.3071609653203815E-2</v>
      </c>
      <c r="V65" s="8">
        <f t="shared" si="130"/>
        <v>-7.2082539599297168E-2</v>
      </c>
      <c r="W65" s="8">
        <f t="shared" si="131"/>
        <v>4.1652636839429033E-2</v>
      </c>
      <c r="X65" s="8">
        <f t="shared" si="132"/>
        <v>6.9240556227649686E-2</v>
      </c>
      <c r="Y65" s="8">
        <f t="shared" si="133"/>
        <v>4.6223154847406168E-2</v>
      </c>
      <c r="Z65" s="8">
        <f t="shared" si="134"/>
        <v>1.0828134104669254E-2</v>
      </c>
      <c r="AA65" s="8">
        <f t="shared" si="135"/>
        <v>-8.2544449738143524E-2</v>
      </c>
      <c r="AB65" s="8">
        <f t="shared" si="136"/>
        <v>-7.8819781949305195E-2</v>
      </c>
      <c r="AC65" s="8">
        <f t="shared" si="137"/>
        <v>2.6800683652205372E-2</v>
      </c>
      <c r="AD65" s="8">
        <f t="shared" si="138"/>
        <v>5.8900636829046463E-2</v>
      </c>
      <c r="AE65" s="8">
        <f t="shared" si="139"/>
        <v>5.8834935641117012E-2</v>
      </c>
      <c r="AF65" s="8">
        <f t="shared" si="140"/>
        <v>2.6712697766502411E-2</v>
      </c>
      <c r="AG65" s="8">
        <f t="shared" si="141"/>
        <v>-7.8849644569884414E-2</v>
      </c>
      <c r="AH65" s="8">
        <f t="shared" si="142"/>
        <v>-8.2532313262509094E-2</v>
      </c>
      <c r="AI65" s="8">
        <f t="shared" si="143"/>
        <v>1.0920253582251184E-2</v>
      </c>
      <c r="AJ65" s="8">
        <f t="shared" si="144"/>
        <v>4.6300404068930073E-2</v>
      </c>
      <c r="AK65" s="8">
        <f t="shared" si="145"/>
        <v>6.9188924357988166E-2</v>
      </c>
      <c r="AL65" s="8">
        <f t="shared" si="146"/>
        <v>4.1572161006094871E-2</v>
      </c>
      <c r="AM65" s="8">
        <f t="shared" si="147"/>
        <v>-7.2128982386034879E-2</v>
      </c>
      <c r="AN65" s="8">
        <f t="shared" si="148"/>
        <v>-8.307766506005991E-2</v>
      </c>
      <c r="AO65" s="8">
        <f t="shared" si="149"/>
        <v>-5.3792414827842222E-3</v>
      </c>
      <c r="AP65" s="8">
        <f t="shared" si="150"/>
        <v>3.1923392183924294E-2</v>
      </c>
      <c r="AQ65" s="8">
        <f t="shared" si="151"/>
        <v>7.688778643083026E-2</v>
      </c>
      <c r="AR65" s="8">
        <f t="shared" si="152"/>
        <v>5.4836291562582365E-2</v>
      </c>
      <c r="AS65" s="8">
        <f t="shared" si="153"/>
        <v>-6.2640368760289583E-2</v>
      </c>
      <c r="AT65" s="8">
        <f t="shared" si="154"/>
        <v>-8.0434909453549475E-2</v>
      </c>
      <c r="AU65" s="8">
        <f t="shared" si="155"/>
        <v>-2.1472308025941318E-2</v>
      </c>
      <c r="AV65" s="8">
        <f t="shared" si="156"/>
        <v>1.6321319352505245E-2</v>
      </c>
      <c r="AW65" s="8">
        <f t="shared" si="157"/>
        <v>8.1636077841571633E-2</v>
      </c>
      <c r="AX65" s="8">
        <f t="shared" si="158"/>
        <v>6.5996078105362357E-2</v>
      </c>
      <c r="AY65" s="8">
        <f t="shared" si="159"/>
        <v>-5.0747929469807107E-2</v>
      </c>
      <c r="AZ65" s="8">
        <f t="shared" si="160"/>
        <v>-7.4705462253233684E-2</v>
      </c>
      <c r="BA65" s="8">
        <f t="shared" si="161"/>
        <v>-3.6741374229773763E-2</v>
      </c>
      <c r="BB65" s="8">
        <f t="shared" si="162"/>
        <v>9.2915496566502477E-5</v>
      </c>
      <c r="BC65" s="8">
        <f t="shared" si="163"/>
        <v>8.3251582792593828E-2</v>
      </c>
      <c r="BD65" s="8">
        <f t="shared" si="164"/>
        <v>7.462326355620498E-2</v>
      </c>
      <c r="BE65" s="8">
        <f t="shared" si="165"/>
        <v>-3.6908037159713275E-2</v>
      </c>
      <c r="BF65" s="8">
        <f t="shared" si="166"/>
        <v>-6.6109191133863626E-2</v>
      </c>
      <c r="BG65" s="8">
        <f t="shared" si="167"/>
        <v>-5.0600489309767474E-2</v>
      </c>
      <c r="BH65" s="8">
        <f t="shared" si="168"/>
        <v>-1.613905399379691E-2</v>
      </c>
      <c r="BI65" s="8">
        <f t="shared" si="169"/>
        <v>8.1672306242366585E-2</v>
      </c>
      <c r="BJ65" s="8">
        <f t="shared" si="170"/>
        <v>8.0386779464977937E-2</v>
      </c>
      <c r="BK65" s="8">
        <f t="shared" si="171"/>
        <v>-2.1651798031817261E-2</v>
      </c>
      <c r="BL65" s="8">
        <f t="shared" si="172"/>
        <v>-5.4975978207354344E-2</v>
      </c>
      <c r="BM65" s="8">
        <f t="shared" si="173"/>
        <v>-6.2517809389853921E-2</v>
      </c>
      <c r="BN65" s="8">
        <f t="shared" si="174"/>
        <v>-3.1751686897186271E-2</v>
      </c>
      <c r="BO65" s="8">
        <f t="shared" si="175"/>
        <v>7.6958852966664298E-2</v>
      </c>
      <c r="BP65" s="8">
        <f t="shared" si="176"/>
        <v>8.3065450769419943E-2</v>
      </c>
      <c r="BQ65" s="8">
        <f t="shared" si="177"/>
        <v>-5.5646706312841307E-3</v>
      </c>
      <c r="BR65" s="8">
        <f t="shared" si="178"/>
        <v>-4.1733060788769219E-2</v>
      </c>
      <c r="BS65" s="8">
        <f t="shared" si="179"/>
        <v>-7.2036007024005005E-2</v>
      </c>
      <c r="BT65" s="8">
        <f t="shared" si="180"/>
        <v>-4.6145848048689299E-2</v>
      </c>
      <c r="BU65" s="8">
        <f t="shared" si="181"/>
        <v>6.9292101848831819E-2</v>
      </c>
      <c r="BV65" s="8">
        <f t="shared" si="182"/>
        <v>8.2556483393499219E-2</v>
      </c>
      <c r="BW65" s="8">
        <f t="shared" si="183"/>
        <v>1.0736001139180872E-2</v>
      </c>
      <c r="BX65" s="8">
        <f t="shared" si="184"/>
        <v>-2.6888636154032353E-2</v>
      </c>
      <c r="BY65" s="8">
        <f t="shared" si="185"/>
        <v>-7.878982114802438E-2</v>
      </c>
      <c r="BZ65" s="8">
        <f t="shared" si="186"/>
        <v>-5.8769161166315982E-2</v>
      </c>
      <c r="CA65" s="8">
        <f t="shared" si="187"/>
        <v>5.896626464826462E-2</v>
      </c>
      <c r="CB65" s="8">
        <f t="shared" si="188"/>
        <v>7.8879408972564291E-2</v>
      </c>
      <c r="CC65" s="8">
        <f t="shared" si="189"/>
        <v>2.6624678606521228E-2</v>
      </c>
      <c r="CD65" s="8">
        <f t="shared" si="190"/>
        <v>-1.1012359457179979E-2</v>
      </c>
      <c r="CE65" s="8">
        <f t="shared" si="191"/>
        <v>-8.252007398171346E-2</v>
      </c>
      <c r="CF65" s="8">
        <f t="shared" si="192"/>
        <v>-6.9137206304161439E-2</v>
      </c>
      <c r="CG65" s="8">
        <f t="shared" si="193"/>
        <v>4.6377595617037158E-2</v>
      </c>
      <c r="CH65" s="8">
        <f t="shared" si="194"/>
        <v>7.2175335326367676E-2</v>
      </c>
      <c r="CI65" s="8">
        <f t="shared" si="195"/>
        <v>4.1491633389009748E-2</v>
      </c>
      <c r="CJ65" s="8">
        <f t="shared" si="196"/>
        <v>5.2865167999278208E-3</v>
      </c>
      <c r="CK65" s="8">
        <f t="shared" si="197"/>
        <v>-8.3083616982445374E-2</v>
      </c>
      <c r="CL65" s="8">
        <f t="shared" si="198"/>
        <v>-7.6852109479543726E-2</v>
      </c>
      <c r="CM65" s="8">
        <f t="shared" si="199"/>
        <v>3.2009185233395583E-2</v>
      </c>
      <c r="CN65" s="8">
        <f t="shared" si="200"/>
        <v>6.2701531443068836E-2</v>
      </c>
      <c r="CO65" s="8">
        <f t="shared" si="201"/>
        <v>5.4766345737646722E-2</v>
      </c>
      <c r="CP65" s="8">
        <f t="shared" si="202"/>
        <v>2.1382522847104131E-2</v>
      </c>
      <c r="CQ65" s="8">
        <f t="shared" si="203"/>
        <v>-8.0458824173950463E-2</v>
      </c>
      <c r="CR65" s="8">
        <f t="shared" si="204"/>
        <v>-8.1617811096692416E-2</v>
      </c>
      <c r="CS65" s="8">
        <f t="shared" si="205"/>
        <v>1.6412421592995916E-2</v>
      </c>
      <c r="CT65" s="8">
        <f t="shared" si="206"/>
        <v>5.0821554775604835E-2</v>
      </c>
      <c r="CU65" s="8">
        <f t="shared" si="112"/>
        <v>6.5939398245296432E-2</v>
      </c>
      <c r="CX65">
        <v>5.5228683964771005E-3</v>
      </c>
      <c r="CY65">
        <v>2.2297135574290302E-2</v>
      </c>
      <c r="DA65" s="21"/>
    </row>
    <row r="66" spans="1:105">
      <c r="A66" s="15">
        <v>64</v>
      </c>
      <c r="B66" s="16">
        <v>47</v>
      </c>
      <c r="C66" s="8">
        <f t="shared" si="113"/>
        <v>3.8501476017100584</v>
      </c>
      <c r="D66" s="8">
        <f t="shared" si="114"/>
        <v>4.3217204301075274</v>
      </c>
      <c r="E66" s="7">
        <f t="shared" si="115"/>
        <v>1.453125</v>
      </c>
      <c r="F66" s="8"/>
      <c r="G66" s="8"/>
      <c r="H66" s="8">
        <f t="shared" si="119"/>
        <v>-3.1530363854899372E-2</v>
      </c>
      <c r="I66" s="8">
        <f t="shared" si="116"/>
        <v>-7.6560365404852573E-2</v>
      </c>
      <c r="J66" s="8">
        <f t="shared" si="117"/>
        <v>-5.8784926903380726E-2</v>
      </c>
      <c r="K66" s="8">
        <f t="shared" si="118"/>
        <v>5.8309396881729765E-2</v>
      </c>
      <c r="L66" s="8">
        <f t="shared" si="120"/>
        <v>7.6301749353739262E-2</v>
      </c>
      <c r="M66" s="8">
        <f t="shared" si="121"/>
        <v>3.2151149921986324E-2</v>
      </c>
      <c r="N66" s="8">
        <f t="shared" si="122"/>
        <v>6.7249546042087455E-4</v>
      </c>
      <c r="O66" s="8">
        <f t="shared" si="123"/>
        <v>-8.2796142093714761E-2</v>
      </c>
      <c r="P66" s="8">
        <f t="shared" si="124"/>
        <v>-7.6813930878676884E-2</v>
      </c>
      <c r="Q66" s="8">
        <f t="shared" si="125"/>
        <v>3.0907497775018E-2</v>
      </c>
      <c r="R66" s="8">
        <f t="shared" si="126"/>
        <v>5.7830020272956785E-2</v>
      </c>
      <c r="S66" s="8">
        <f t="shared" si="127"/>
        <v>5.9256578967877477E-2</v>
      </c>
      <c r="T66" s="8">
        <f t="shared" si="128"/>
        <v>3.276981502391408E-2</v>
      </c>
      <c r="U66" s="8">
        <f t="shared" si="129"/>
        <v>-7.6038099785866203E-2</v>
      </c>
      <c r="V66" s="8">
        <f t="shared" si="130"/>
        <v>-8.2787949089858148E-2</v>
      </c>
      <c r="W66" s="8">
        <f t="shared" si="131"/>
        <v>-1.3449465572825975E-3</v>
      </c>
      <c r="X66" s="8">
        <f t="shared" si="132"/>
        <v>3.0282592771922169E-2</v>
      </c>
      <c r="Y66" s="8">
        <f t="shared" si="133"/>
        <v>7.7062429047862355E-2</v>
      </c>
      <c r="Z66" s="8">
        <f t="shared" si="134"/>
        <v>5.9724321961010872E-2</v>
      </c>
      <c r="AA66" s="8">
        <f t="shared" si="135"/>
        <v>-5.7346828700848021E-2</v>
      </c>
      <c r="AB66" s="8">
        <f t="shared" si="136"/>
        <v>-7.5769434093816646E-2</v>
      </c>
      <c r="AC66" s="8">
        <f t="shared" si="137"/>
        <v>-3.3386318348234606E-2</v>
      </c>
      <c r="AD66" s="8">
        <f t="shared" si="138"/>
        <v>-2.0173089299526169E-3</v>
      </c>
      <c r="AE66" s="8">
        <f t="shared" si="139"/>
        <v>8.2774294683965896E-2</v>
      </c>
      <c r="AF66" s="8">
        <f t="shared" si="140"/>
        <v>7.7305843519341805E-2</v>
      </c>
      <c r="AG66" s="8">
        <f t="shared" si="141"/>
        <v>-2.965569006969709E-2</v>
      </c>
      <c r="AH66" s="8">
        <f t="shared" si="142"/>
        <v>-5.6859854040856278E-2</v>
      </c>
      <c r="AI66" s="8">
        <f t="shared" si="143"/>
        <v>-6.018812502644863E-2</v>
      </c>
      <c r="AJ66" s="8">
        <f t="shared" si="144"/>
        <v>-3.4000619225109108E-2</v>
      </c>
      <c r="AK66" s="8">
        <f t="shared" si="145"/>
        <v>7.5495770001080403E-2</v>
      </c>
      <c r="AL66" s="8">
        <f t="shared" si="146"/>
        <v>8.2755179776799526E-2</v>
      </c>
      <c r="AM66" s="8">
        <f t="shared" si="147"/>
        <v>2.6895382236513886E-3</v>
      </c>
      <c r="AN66" s="8">
        <f t="shared" si="148"/>
        <v>-2.9026831024212621E-2</v>
      </c>
      <c r="AO66" s="8">
        <f t="shared" si="149"/>
        <v>-7.7544158235412552E-2</v>
      </c>
      <c r="AP66" s="8">
        <f t="shared" si="150"/>
        <v>-6.0647957567767558E-2</v>
      </c>
      <c r="AQ66" s="8">
        <f t="shared" si="151"/>
        <v>5.6369128418001617E-2</v>
      </c>
      <c r="AR66" s="8">
        <f t="shared" si="152"/>
        <v>7.5217125560883696E-2</v>
      </c>
      <c r="AS66" s="8">
        <f t="shared" si="153"/>
        <v>3.4612677129993101E-2</v>
      </c>
      <c r="AT66" s="8">
        <f t="shared" si="154"/>
        <v>3.3615900923778096E-3</v>
      </c>
      <c r="AU66" s="8">
        <f t="shared" si="155"/>
        <v>-8.2730605629342036E-2</v>
      </c>
      <c r="AV66" s="8">
        <f t="shared" si="156"/>
        <v>-7.7777357474794598E-2</v>
      </c>
      <c r="AW66" s="8">
        <f t="shared" si="157"/>
        <v>2.8396057120397972E-2</v>
      </c>
      <c r="AX66" s="8">
        <f t="shared" si="158"/>
        <v>5.5874684204746457E-2</v>
      </c>
      <c r="AY66" s="8">
        <f t="shared" si="159"/>
        <v>6.1103789250477325E-2</v>
      </c>
      <c r="AZ66" s="8">
        <f t="shared" si="160"/>
        <v>3.5222451686303981E-2</v>
      </c>
      <c r="BA66" s="8">
        <f t="shared" si="161"/>
        <v>-7.4933519155000808E-2</v>
      </c>
      <c r="BB66" s="8">
        <f t="shared" si="162"/>
        <v>-8.2700573862714524E-2</v>
      </c>
      <c r="BC66" s="8">
        <f t="shared" si="163"/>
        <v>-4.0334202018375972E-3</v>
      </c>
      <c r="BD66" s="8">
        <f t="shared" si="164"/>
        <v>2.7763409969498963E-2</v>
      </c>
      <c r="BE66" s="8">
        <f t="shared" si="165"/>
        <v>7.8005425853670068E-2</v>
      </c>
      <c r="BF66" s="8">
        <f t="shared" si="166"/>
        <v>6.1555590004015233E-2</v>
      </c>
      <c r="BG66" s="8">
        <f t="shared" si="167"/>
        <v>-5.5376554018866785E-2</v>
      </c>
      <c r="BH66" s="8">
        <f t="shared" si="168"/>
        <v>-7.4644969492537808E-2</v>
      </c>
      <c r="BI66" s="8">
        <f t="shared" si="169"/>
        <v>-3.5829902668092641E-2</v>
      </c>
      <c r="BJ66" s="8">
        <f t="shared" si="170"/>
        <v>-4.7049842323626714E-3</v>
      </c>
      <c r="BK66" s="8">
        <f t="shared" si="171"/>
        <v>8.2665086458069525E-2</v>
      </c>
      <c r="BL66" s="8">
        <f t="shared" si="172"/>
        <v>7.822834832669491E-2</v>
      </c>
      <c r="BM66" s="8">
        <f t="shared" si="173"/>
        <v>-2.7128931306341229E-2</v>
      </c>
      <c r="BN66" s="8">
        <f t="shared" si="174"/>
        <v>-5.4874770721294291E-2</v>
      </c>
      <c r="BO66" s="8">
        <f t="shared" si="175"/>
        <v>-6.200333002373562E-2</v>
      </c>
      <c r="BP66" s="8">
        <f t="shared" si="176"/>
        <v>-3.6434990002689648E-2</v>
      </c>
      <c r="BQ66" s="8">
        <f t="shared" si="177"/>
        <v>7.4351495608701759E-2</v>
      </c>
      <c r="BR66" s="8">
        <f t="shared" si="178"/>
        <v>8.2624145756460224E-2</v>
      </c>
      <c r="BS66" s="8">
        <f t="shared" si="179"/>
        <v>5.3762378818377971E-3</v>
      </c>
      <c r="BT66" s="8">
        <f t="shared" si="180"/>
        <v>-2.649266298656934E-2</v>
      </c>
      <c r="BU66" s="8">
        <f t="shared" si="181"/>
        <v>-7.8446110187994356E-2</v>
      </c>
      <c r="BV66" s="8">
        <f t="shared" si="182"/>
        <v>-6.2446979772874313E-2</v>
      </c>
      <c r="BW66" s="8">
        <f t="shared" si="183"/>
        <v>5.4369367413950272E-2</v>
      </c>
      <c r="BX66" s="8">
        <f t="shared" si="184"/>
        <v>7.40531168635436E-2</v>
      </c>
      <c r="BY66" s="8">
        <f t="shared" si="185"/>
        <v>3.7037673773351987E-2</v>
      </c>
      <c r="BZ66" s="8">
        <f t="shared" si="186"/>
        <v>6.0471368686254821E-3</v>
      </c>
      <c r="CA66" s="8">
        <f t="shared" si="187"/>
        <v>-8.2577754458685801E-2</v>
      </c>
      <c r="CB66" s="8">
        <f t="shared" si="188"/>
        <v>-7.8658697072132036E-2</v>
      </c>
      <c r="CC66" s="8">
        <f t="shared" si="189"/>
        <v>2.5854646983887803E-2</v>
      </c>
      <c r="CD66" s="8">
        <f t="shared" si="190"/>
        <v>5.3860377437568191E-2</v>
      </c>
      <c r="CE66" s="8">
        <f t="shared" si="191"/>
        <v>6.2886509984491801E-2</v>
      </c>
      <c r="CF66" s="8">
        <f t="shared" si="192"/>
        <v>3.7637914221898432E-2</v>
      </c>
      <c r="CG66" s="8">
        <f t="shared" si="193"/>
        <v>-7.3749852940679872E-2</v>
      </c>
      <c r="CH66" s="8">
        <f t="shared" si="194"/>
        <v>-8.2525915625113508E-2</v>
      </c>
      <c r="CI66" s="8">
        <f t="shared" si="195"/>
        <v>-6.7176369344836449E-3</v>
      </c>
      <c r="CJ66" s="8">
        <f t="shared" si="196"/>
        <v>2.5214925387299948E-2</v>
      </c>
      <c r="CK66" s="8">
        <f t="shared" si="197"/>
        <v>7.8866094955055227E-2</v>
      </c>
      <c r="CL66" s="8">
        <f t="shared" si="198"/>
        <v>6.3321891663413163E-2</v>
      </c>
      <c r="CM66" s="8">
        <f t="shared" si="199"/>
        <v>-5.3347834369483628E-2</v>
      </c>
      <c r="CN66" s="8">
        <f t="shared" si="200"/>
        <v>-7.344172384599576E-2</v>
      </c>
      <c r="CO66" s="8">
        <f t="shared" si="201"/>
        <v>-3.823567175132913E-2</v>
      </c>
      <c r="CP66" s="8">
        <f t="shared" si="202"/>
        <v>-7.3876938474887899E-3</v>
      </c>
      <c r="CQ66" s="8">
        <f t="shared" si="203"/>
        <v>8.2468632675476494E-2</v>
      </c>
      <c r="CR66" s="8">
        <f t="shared" si="204"/>
        <v>7.9068290155024382E-2</v>
      </c>
      <c r="CS66" s="8">
        <f t="shared" si="205"/>
        <v>-2.4573540398317998E-2</v>
      </c>
      <c r="CT66" s="8">
        <f t="shared" si="206"/>
        <v>-5.2831772021426242E-2</v>
      </c>
      <c r="CU66" s="8">
        <f t="shared" si="112"/>
        <v>-6.3753096088134703E-2</v>
      </c>
      <c r="DA66" s="20">
        <v>2.9231094930968674E-4</v>
      </c>
    </row>
    <row r="67" spans="1:105">
      <c r="A67" s="15">
        <v>65</v>
      </c>
      <c r="B67" s="16">
        <v>35</v>
      </c>
      <c r="C67" s="8">
        <f t="shared" si="113"/>
        <v>3.5553480614894135</v>
      </c>
      <c r="D67" s="8">
        <f t="shared" si="114"/>
        <v>4.3892473118279565</v>
      </c>
      <c r="E67" s="7">
        <f t="shared" si="115"/>
        <v>1.430769230769231</v>
      </c>
      <c r="F67" s="8"/>
      <c r="G67" s="8"/>
      <c r="H67" s="8">
        <f t="shared" si="119"/>
        <v>-2.4279371473620987E-2</v>
      </c>
      <c r="I67" s="8">
        <f t="shared" si="116"/>
        <v>-7.2501764134283289E-2</v>
      </c>
      <c r="J67" s="8">
        <f t="shared" si="117"/>
        <v>-6.1039405899557198E-2</v>
      </c>
      <c r="K67" s="8">
        <f t="shared" si="118"/>
        <v>4.6045462416685834E-2</v>
      </c>
      <c r="L67" s="8">
        <f t="shared" si="120"/>
        <v>6.3045154676899959E-2</v>
      </c>
      <c r="M67" s="8">
        <f t="shared" si="121"/>
        <v>4.3258550062422164E-2</v>
      </c>
      <c r="N67" s="8">
        <f t="shared" si="122"/>
        <v>2.0999782934622291E-2</v>
      </c>
      <c r="O67" s="8">
        <f t="shared" si="123"/>
        <v>-7.3518724134985322E-2</v>
      </c>
      <c r="P67" s="8">
        <f t="shared" si="124"/>
        <v>-7.6381998647810756E-2</v>
      </c>
      <c r="Q67" s="8">
        <f t="shared" si="125"/>
        <v>3.4327779280290162E-3</v>
      </c>
      <c r="R67" s="8">
        <f t="shared" si="126"/>
        <v>2.7509994586584863E-2</v>
      </c>
      <c r="S67" s="8">
        <f t="shared" si="127"/>
        <v>7.1338586189967329E-2</v>
      </c>
      <c r="T67" s="8">
        <f t="shared" si="128"/>
        <v>5.8910555891277146E-2</v>
      </c>
      <c r="U67" s="8">
        <f t="shared" si="129"/>
        <v>-4.8739512577764224E-2</v>
      </c>
      <c r="V67" s="8">
        <f t="shared" si="130"/>
        <v>-6.492375712916014E-2</v>
      </c>
      <c r="W67" s="8">
        <f t="shared" si="131"/>
        <v>-4.0384396020878559E-2</v>
      </c>
      <c r="X67" s="8">
        <f t="shared" si="132"/>
        <v>-1.7677843080263291E-2</v>
      </c>
      <c r="Y67" s="8">
        <f t="shared" si="133"/>
        <v>7.4387415237840565E-2</v>
      </c>
      <c r="Z67" s="8">
        <f t="shared" si="134"/>
        <v>7.6150855791928096E-2</v>
      </c>
      <c r="AA67" s="8">
        <f t="shared" si="135"/>
        <v>-6.8586328006605126E-3</v>
      </c>
      <c r="AB67" s="8">
        <f t="shared" si="136"/>
        <v>-3.0685136913869909E-2</v>
      </c>
      <c r="AC67" s="8">
        <f t="shared" si="137"/>
        <v>-7.0031536141329814E-2</v>
      </c>
      <c r="AD67" s="8">
        <f t="shared" si="138"/>
        <v>-5.6662898010631284E-2</v>
      </c>
      <c r="AE67" s="8">
        <f t="shared" si="139"/>
        <v>5.1335267319593481E-2</v>
      </c>
      <c r="AF67" s="8">
        <f t="shared" si="140"/>
        <v>6.6671424584562378E-2</v>
      </c>
      <c r="AG67" s="8">
        <f t="shared" si="141"/>
        <v>3.7428796742646396E-2</v>
      </c>
      <c r="AH67" s="8">
        <f t="shared" si="142"/>
        <v>1.4320251433239263E-2</v>
      </c>
      <c r="AI67" s="8">
        <f t="shared" si="143"/>
        <v>-7.5106085509938095E-2</v>
      </c>
      <c r="AJ67" s="8">
        <f t="shared" si="144"/>
        <v>-7.5766135686287553E-2</v>
      </c>
      <c r="AK67" s="8">
        <f t="shared" si="145"/>
        <v>1.027065552457051E-2</v>
      </c>
      <c r="AL67" s="8">
        <f t="shared" si="146"/>
        <v>3.3798394986714386E-2</v>
      </c>
      <c r="AM67" s="8">
        <f t="shared" si="147"/>
        <v>6.8583249981751124E-2</v>
      </c>
      <c r="AN67" s="8">
        <f t="shared" si="148"/>
        <v>5.4300965221984937E-2</v>
      </c>
      <c r="AO67" s="8">
        <f t="shared" si="149"/>
        <v>-5.3827491653411726E-2</v>
      </c>
      <c r="AP67" s="8">
        <f t="shared" si="150"/>
        <v>-6.8284632434505776E-2</v>
      </c>
      <c r="AQ67" s="8">
        <f t="shared" si="151"/>
        <v>-3.4397712933010055E-2</v>
      </c>
      <c r="AR67" s="8">
        <f t="shared" si="152"/>
        <v>-1.0933779417005919E-2</v>
      </c>
      <c r="AS67" s="8">
        <f t="shared" si="153"/>
        <v>7.5673285572899388E-2</v>
      </c>
      <c r="AT67" s="8">
        <f t="shared" si="154"/>
        <v>7.5228614215219633E-2</v>
      </c>
      <c r="AU67" s="8">
        <f t="shared" si="155"/>
        <v>-1.3661964902420873E-2</v>
      </c>
      <c r="AV67" s="8">
        <f t="shared" si="156"/>
        <v>-3.6843490141437042E-2</v>
      </c>
      <c r="AW67" s="8">
        <f t="shared" si="157"/>
        <v>-6.6996648542558879E-2</v>
      </c>
      <c r="AX67" s="8">
        <f t="shared" si="158"/>
        <v>-5.1829520953640885E-2</v>
      </c>
      <c r="AY67" s="8">
        <f t="shared" si="159"/>
        <v>5.6211159385422982E-2</v>
      </c>
      <c r="AZ67" s="8">
        <f t="shared" si="160"/>
        <v>6.9760127241818987E-2</v>
      </c>
      <c r="BA67" s="8">
        <f t="shared" si="161"/>
        <v>3.1297257530693484E-2</v>
      </c>
      <c r="BB67" s="8">
        <f t="shared" si="162"/>
        <v>7.5252566995041292E-3</v>
      </c>
      <c r="BC67" s="8">
        <f t="shared" si="163"/>
        <v>-7.6087871525913342E-2</v>
      </c>
      <c r="BD67" s="8">
        <f t="shared" si="164"/>
        <v>-7.4539375425230855E-2</v>
      </c>
      <c r="BE67" s="8">
        <f t="shared" si="165"/>
        <v>1.702572151052097E-2</v>
      </c>
      <c r="BF67" s="8">
        <f t="shared" si="166"/>
        <v>3.9814281181929714E-2</v>
      </c>
      <c r="BG67" s="8">
        <f t="shared" si="167"/>
        <v>6.5274931602442618E-2</v>
      </c>
      <c r="BH67" s="8">
        <f t="shared" si="168"/>
        <v>4.9253549491196563E-2</v>
      </c>
      <c r="BI67" s="8">
        <f t="shared" si="169"/>
        <v>-5.8481463253372661E-2</v>
      </c>
      <c r="BJ67" s="8">
        <f t="shared" si="170"/>
        <v>-7.1094933302129376E-2</v>
      </c>
      <c r="BK67" s="8">
        <f t="shared" si="171"/>
        <v>-2.8133683379591452E-2</v>
      </c>
      <c r="BL67" s="8">
        <f t="shared" si="172"/>
        <v>-4.1015574194330382E-3</v>
      </c>
      <c r="BM67" s="8">
        <f t="shared" si="173"/>
        <v>7.6349007252697262E-2</v>
      </c>
      <c r="BN67" s="8">
        <f t="shared" si="174"/>
        <v>7.3699809338753683E-2</v>
      </c>
      <c r="BO67" s="8">
        <f t="shared" si="175"/>
        <v>-2.0355141492229448E-2</v>
      </c>
      <c r="BP67" s="8">
        <f t="shared" si="176"/>
        <v>-4.2704776764920099E-2</v>
      </c>
      <c r="BQ67" s="8">
        <f t="shared" si="177"/>
        <v>-6.3421571434297233E-2</v>
      </c>
      <c r="BR67" s="8">
        <f t="shared" si="178"/>
        <v>-4.6578245925480793E-2</v>
      </c>
      <c r="BS67" s="8">
        <f t="shared" si="179"/>
        <v>6.0633824621598435E-2</v>
      </c>
      <c r="BT67" s="8">
        <f t="shared" si="180"/>
        <v>7.2286358645116067E-2</v>
      </c>
      <c r="BU67" s="8">
        <f t="shared" si="181"/>
        <v>2.4913370618344286E-2</v>
      </c>
      <c r="BV67" s="8">
        <f t="shared" si="182"/>
        <v>6.6958632282663457E-4</v>
      </c>
      <c r="BW67" s="8">
        <f t="shared" si="183"/>
        <v>-7.6456166107735285E-2</v>
      </c>
      <c r="BX67" s="8">
        <f t="shared" si="184"/>
        <v>-7.2711609150818049E-2</v>
      </c>
      <c r="BY67" s="8">
        <f t="shared" si="185"/>
        <v>2.3643510239302421E-2</v>
      </c>
      <c r="BZ67" s="8">
        <f t="shared" si="186"/>
        <v>4.5509147483011637E-2</v>
      </c>
      <c r="CA67" s="8">
        <f t="shared" si="187"/>
        <v>6.1440305802517137E-2</v>
      </c>
      <c r="CB67" s="8">
        <f t="shared" si="188"/>
        <v>4.380900567535892E-2</v>
      </c>
      <c r="CC67" s="8">
        <f t="shared" si="189"/>
        <v>-6.2663902714989728E-2</v>
      </c>
      <c r="CD67" s="8">
        <f t="shared" si="190"/>
        <v>-7.3332000463540534E-2</v>
      </c>
      <c r="CE67" s="8">
        <f t="shared" si="191"/>
        <v>-2.1642813813194849E-2</v>
      </c>
      <c r="CF67" s="8">
        <f t="shared" si="192"/>
        <v>2.7637351620971216E-3</v>
      </c>
      <c r="CG67" s="8">
        <f t="shared" si="193"/>
        <v>7.640913197839061E-2</v>
      </c>
      <c r="CH67" s="8">
        <f t="shared" si="194"/>
        <v>7.157676781430089E-2</v>
      </c>
      <c r="CI67" s="8">
        <f t="shared" si="195"/>
        <v>-2.688419593357752E-2</v>
      </c>
      <c r="CJ67" s="8">
        <f t="shared" si="196"/>
        <v>-4.8221737621140126E-2</v>
      </c>
      <c r="CK67" s="8">
        <f t="shared" si="197"/>
        <v>-5.9335130424860827E-2</v>
      </c>
      <c r="CL67" s="8">
        <f t="shared" si="198"/>
        <v>-4.0951413606517717E-2</v>
      </c>
      <c r="CM67" s="8">
        <f t="shared" si="199"/>
        <v>6.4567603373249349E-2</v>
      </c>
      <c r="CN67" s="8">
        <f t="shared" si="200"/>
        <v>7.4229749959111094E-2</v>
      </c>
      <c r="CO67" s="8">
        <f t="shared" si="201"/>
        <v>1.8328608860062788E-2</v>
      </c>
      <c r="CP67" s="8">
        <f t="shared" si="202"/>
        <v>-6.1914828837211743E-3</v>
      </c>
      <c r="CQ67" s="8">
        <f t="shared" si="203"/>
        <v>-7.6207999720750541E-2</v>
      </c>
      <c r="CR67" s="8">
        <f t="shared" si="204"/>
        <v>-7.0297574020635162E-2</v>
      </c>
      <c r="CS67" s="8">
        <f t="shared" si="205"/>
        <v>3.0070662921702362E-2</v>
      </c>
      <c r="CT67" s="8">
        <f t="shared" si="206"/>
        <v>5.0837076562740544E-2</v>
      </c>
      <c r="CU67" s="8">
        <f t="shared" ref="CU67:CU94" si="207">(2/93)*($C67*SIN(CU$1*$D67))</f>
        <v>5.7110290914084663E-2</v>
      </c>
      <c r="CX67">
        <v>6.1593980690241766E-2</v>
      </c>
      <c r="CY67">
        <v>0.24992683178708794</v>
      </c>
      <c r="DA67" s="21"/>
    </row>
    <row r="68" spans="1:105">
      <c r="A68" s="15">
        <v>66</v>
      </c>
      <c r="B68" s="16">
        <v>39</v>
      </c>
      <c r="C68" s="8">
        <f t="shared" ref="C68:C95" si="208">LN(B68)</f>
        <v>3.6635616461296463</v>
      </c>
      <c r="D68" s="8">
        <f t="shared" ref="D68:D93" si="209">(2*3.14*A68)/93</f>
        <v>4.4567741935483873</v>
      </c>
      <c r="E68" s="7">
        <f t="shared" ref="E68:E94" si="210">2*3.14/D68</f>
        <v>1.4090909090909092</v>
      </c>
      <c r="F68" s="8"/>
      <c r="G68" s="8"/>
      <c r="H68" s="8">
        <f t="shared" ref="H68:H95" si="211">(2/93)*(C68*COS(D68))</f>
        <v>-1.9920342084206212E-2</v>
      </c>
      <c r="I68" s="8">
        <f t="shared" ref="I68:I95" si="212">(2/93)*(C68*SIN(D68))</f>
        <v>-7.6226351221662186E-2</v>
      </c>
      <c r="J68" s="8">
        <f t="shared" ref="J68:J95" si="213">(2/93)*($C68*COS(J$1*$D68))</f>
        <v>-6.8712942713931441E-2</v>
      </c>
      <c r="K68" s="8">
        <f t="shared" ref="K68:K95" si="214">(2/93)*($C68*SIN(K$1*$D68))</f>
        <v>3.8546182079577919E-2</v>
      </c>
      <c r="L68" s="8">
        <f t="shared" si="120"/>
        <v>5.4667139728668511E-2</v>
      </c>
      <c r="M68" s="8">
        <f t="shared" si="121"/>
        <v>5.673429723902669E-2</v>
      </c>
      <c r="N68" s="8">
        <f t="shared" si="122"/>
        <v>4.1068834239903478E-2</v>
      </c>
      <c r="O68" s="8">
        <f t="shared" si="123"/>
        <v>-6.7235611869717743E-2</v>
      </c>
      <c r="P68" s="8">
        <f t="shared" si="124"/>
        <v>-7.5434849805776971E-2</v>
      </c>
      <c r="Q68" s="8">
        <f t="shared" si="125"/>
        <v>-2.2734557046484694E-2</v>
      </c>
      <c r="R68" s="8">
        <f t="shared" si="126"/>
        <v>-2.9228990198956264E-3</v>
      </c>
      <c r="S68" s="8">
        <f t="shared" si="127"/>
        <v>7.8732034843762871E-2</v>
      </c>
      <c r="T68" s="8">
        <f t="shared" si="128"/>
        <v>7.6912902946396133E-2</v>
      </c>
      <c r="U68" s="8">
        <f t="shared" si="129"/>
        <v>-1.7078700468075629E-2</v>
      </c>
      <c r="V68" s="8">
        <f t="shared" si="130"/>
        <v>-3.5970458903265397E-2</v>
      </c>
      <c r="W68" s="8">
        <f t="shared" si="131"/>
        <v>-7.0095668451113965E-2</v>
      </c>
      <c r="X68" s="8">
        <f t="shared" si="132"/>
        <v>-5.8723342037999525E-2</v>
      </c>
      <c r="Y68" s="8">
        <f t="shared" si="133"/>
        <v>5.2524715603305412E-2</v>
      </c>
      <c r="Z68" s="8">
        <f t="shared" si="134"/>
        <v>6.5665709931820526E-2</v>
      </c>
      <c r="AA68" s="8">
        <f t="shared" si="135"/>
        <v>4.3534942155353841E-2</v>
      </c>
      <c r="AB68" s="8">
        <f t="shared" si="136"/>
        <v>2.5517470697573156E-2</v>
      </c>
      <c r="AC68" s="8">
        <f t="shared" si="137"/>
        <v>-7.4539488450877461E-2</v>
      </c>
      <c r="AD68" s="8">
        <f t="shared" si="138"/>
        <v>-7.8569398170270754E-2</v>
      </c>
      <c r="AE68" s="8">
        <f t="shared" si="139"/>
        <v>-5.8417737444591521E-3</v>
      </c>
      <c r="AF68" s="8">
        <f t="shared" si="140"/>
        <v>1.4213544616898475E-2</v>
      </c>
      <c r="AG68" s="8">
        <f t="shared" si="141"/>
        <v>7.7493559724298597E-2</v>
      </c>
      <c r="AH68" s="8">
        <f t="shared" si="142"/>
        <v>7.1381885321781358E-2</v>
      </c>
      <c r="AI68" s="8">
        <f t="shared" si="143"/>
        <v>-3.3345211008899811E-2</v>
      </c>
      <c r="AJ68" s="8">
        <f t="shared" si="144"/>
        <v>-5.0309974587627142E-2</v>
      </c>
      <c r="AK68" s="8">
        <f t="shared" si="145"/>
        <v>-6.0631535576070546E-2</v>
      </c>
      <c r="AL68" s="8">
        <f t="shared" si="146"/>
        <v>-4.5941110448084937E-2</v>
      </c>
      <c r="AM68" s="8">
        <f t="shared" si="147"/>
        <v>6.4005398366988223E-2</v>
      </c>
      <c r="AN68" s="8">
        <f t="shared" si="148"/>
        <v>7.3541499905169297E-2</v>
      </c>
      <c r="AO68" s="8">
        <f t="shared" si="149"/>
        <v>2.8265251476291213E-2</v>
      </c>
      <c r="AP68" s="8">
        <f t="shared" si="150"/>
        <v>8.7526054190737671E-3</v>
      </c>
      <c r="AQ68" s="8">
        <f t="shared" si="151"/>
        <v>-7.8298585860141809E-2</v>
      </c>
      <c r="AR68" s="8">
        <f t="shared" si="152"/>
        <v>-7.7967522097590031E-2</v>
      </c>
      <c r="AS68" s="8">
        <f t="shared" si="153"/>
        <v>1.1328819324263559E-2</v>
      </c>
      <c r="AT68" s="8">
        <f t="shared" si="154"/>
        <v>3.06740528808595E-2</v>
      </c>
      <c r="AU68" s="8">
        <f t="shared" si="155"/>
        <v>7.2569822441440709E-2</v>
      </c>
      <c r="AV68" s="8">
        <f t="shared" si="156"/>
        <v>6.2456250621063962E-2</v>
      </c>
      <c r="AW68" s="8">
        <f t="shared" si="157"/>
        <v>-4.8025965973406991E-2</v>
      </c>
      <c r="AX68" s="8">
        <f t="shared" si="158"/>
        <v>-6.2256963119426814E-2</v>
      </c>
      <c r="AY68" s="8">
        <f t="shared" si="159"/>
        <v>-4.8284026266109253E-2</v>
      </c>
      <c r="AZ68" s="8">
        <f t="shared" si="160"/>
        <v>-3.0974116192976551E-2</v>
      </c>
      <c r="BA68" s="8">
        <f t="shared" si="161"/>
        <v>7.2442258215657418E-2</v>
      </c>
      <c r="BB68" s="8">
        <f t="shared" si="162"/>
        <v>7.791997077220815E-2</v>
      </c>
      <c r="BC68" s="8">
        <f t="shared" si="163"/>
        <v>1.1651386362928038E-2</v>
      </c>
      <c r="BD68" s="8">
        <f t="shared" si="164"/>
        <v>-8.4284963272908305E-3</v>
      </c>
      <c r="BE68" s="8">
        <f t="shared" si="165"/>
        <v>-7.833413750709739E-2</v>
      </c>
      <c r="BF68" s="8">
        <f t="shared" si="166"/>
        <v>-7.3657844238772779E-2</v>
      </c>
      <c r="BG68" s="8">
        <f t="shared" si="167"/>
        <v>2.7960662213486403E-2</v>
      </c>
      <c r="BH68" s="8">
        <f t="shared" si="168"/>
        <v>4.5675834421181311E-2</v>
      </c>
      <c r="BI68" s="8">
        <f t="shared" si="169"/>
        <v>6.4194974875365643E-2</v>
      </c>
      <c r="BJ68" s="8">
        <f t="shared" si="170"/>
        <v>5.0560463844482553E-2</v>
      </c>
      <c r="BK68" s="8">
        <f t="shared" si="171"/>
        <v>-6.0422811463476035E-2</v>
      </c>
      <c r="BL68" s="8">
        <f t="shared" si="172"/>
        <v>-7.1243276836338132E-2</v>
      </c>
      <c r="BM68" s="8">
        <f t="shared" si="173"/>
        <v>-3.3640335238235723E-2</v>
      </c>
      <c r="BN68" s="8">
        <f t="shared" si="174"/>
        <v>-1.4534125486851584E-2</v>
      </c>
      <c r="BO68" s="8">
        <f t="shared" si="175"/>
        <v>7.7434074189935587E-2</v>
      </c>
      <c r="BP68" s="8">
        <f t="shared" si="176"/>
        <v>7.8592901190709316E-2</v>
      </c>
      <c r="BQ68" s="8">
        <f t="shared" si="177"/>
        <v>-5.5165688382724839E-3</v>
      </c>
      <c r="BR68" s="8">
        <f t="shared" si="178"/>
        <v>-2.5208774847573494E-2</v>
      </c>
      <c r="BS68" s="8">
        <f t="shared" si="179"/>
        <v>-7.4644452707514339E-2</v>
      </c>
      <c r="BT68" s="8">
        <f t="shared" si="180"/>
        <v>-6.584531443489107E-2</v>
      </c>
      <c r="BU68" s="8">
        <f t="shared" si="181"/>
        <v>4.3262815630635096E-2</v>
      </c>
      <c r="BV68" s="8">
        <f t="shared" si="182"/>
        <v>5.8505468689231517E-2</v>
      </c>
      <c r="BW68" s="8">
        <f t="shared" si="183"/>
        <v>5.2767288946594063E-2</v>
      </c>
      <c r="BX68" s="8">
        <f t="shared" si="184"/>
        <v>3.6260237717939577E-2</v>
      </c>
      <c r="BY68" s="8">
        <f t="shared" si="185"/>
        <v>-6.9946206544447498E-2</v>
      </c>
      <c r="BZ68" s="8">
        <f t="shared" si="186"/>
        <v>-7.6841565103712123E-2</v>
      </c>
      <c r="CA68" s="8">
        <f t="shared" si="187"/>
        <v>-1.7396853788313876E-2</v>
      </c>
      <c r="CB68" s="8">
        <f t="shared" si="188"/>
        <v>2.5970460467557542E-3</v>
      </c>
      <c r="CC68" s="8">
        <f t="shared" si="189"/>
        <v>7.8743456878340237E-2</v>
      </c>
      <c r="CD68" s="8">
        <f t="shared" si="190"/>
        <v>7.5528289468936055E-2</v>
      </c>
      <c r="CE68" s="8">
        <f t="shared" si="191"/>
        <v>-2.2422179626802593E-2</v>
      </c>
      <c r="CF68" s="8">
        <f t="shared" si="192"/>
        <v>-4.0790231885636047E-2</v>
      </c>
      <c r="CG68" s="8">
        <f t="shared" si="193"/>
        <v>-6.7404997085053264E-2</v>
      </c>
      <c r="CH68" s="8">
        <f t="shared" si="194"/>
        <v>-5.490146317943246E-2</v>
      </c>
      <c r="CI68" s="8">
        <f t="shared" si="195"/>
        <v>5.6507574625685529E-2</v>
      </c>
      <c r="CJ68" s="8">
        <f t="shared" si="196"/>
        <v>6.8552833167647306E-2</v>
      </c>
      <c r="CK68" s="8">
        <f t="shared" si="197"/>
        <v>3.8830216507363347E-2</v>
      </c>
      <c r="CL68" s="8">
        <f t="shared" si="198"/>
        <v>2.0235629816019673E-2</v>
      </c>
      <c r="CM68" s="8">
        <f t="shared" si="199"/>
        <v>-7.614325928976913E-2</v>
      </c>
      <c r="CN68" s="8">
        <f t="shared" si="200"/>
        <v>-7.8785597282448827E-2</v>
      </c>
      <c r="CO68" s="8">
        <f t="shared" si="201"/>
        <v>-3.2605240037277488E-4</v>
      </c>
      <c r="CP68" s="8">
        <f t="shared" si="202"/>
        <v>1.9604713181198573E-2</v>
      </c>
      <c r="CQ68" s="8">
        <f t="shared" si="203"/>
        <v>7.6308137642082025E-2</v>
      </c>
      <c r="CR68" s="8">
        <f t="shared" si="204"/>
        <v>6.8871875429189239E-2</v>
      </c>
      <c r="CS68" s="8">
        <f t="shared" si="205"/>
        <v>-3.82614874800528E-2</v>
      </c>
      <c r="CT68" s="8">
        <f t="shared" si="206"/>
        <v>-5.4431880006168692E-2</v>
      </c>
      <c r="CU68" s="8">
        <f t="shared" si="207"/>
        <v>-5.69600481768937E-2</v>
      </c>
      <c r="DA68" s="20">
        <v>1.1747517522173705E-4</v>
      </c>
    </row>
    <row r="69" spans="1:105">
      <c r="A69" s="15">
        <v>67</v>
      </c>
      <c r="B69" s="16">
        <v>37</v>
      </c>
      <c r="C69" s="8">
        <f t="shared" si="208"/>
        <v>3.6109179126442243</v>
      </c>
      <c r="D69" s="8">
        <f t="shared" si="209"/>
        <v>4.5243010752688173</v>
      </c>
      <c r="E69" s="7">
        <f t="shared" si="210"/>
        <v>1.3880597014925373</v>
      </c>
      <c r="F69" s="8"/>
      <c r="G69" s="8"/>
      <c r="H69" s="8">
        <f t="shared" si="211"/>
        <v>-1.4519839933885352E-2</v>
      </c>
      <c r="I69" s="8">
        <f t="shared" si="212"/>
        <v>-7.6284605604609632E-2</v>
      </c>
      <c r="J69" s="8">
        <f t="shared" si="213"/>
        <v>-7.2224284180521306E-2</v>
      </c>
      <c r="K69" s="8">
        <f t="shared" si="214"/>
        <v>2.8527523176185367E-2</v>
      </c>
      <c r="L69" s="8">
        <f t="shared" si="120"/>
        <v>4.1528958281070102E-2</v>
      </c>
      <c r="M69" s="8">
        <f t="shared" si="121"/>
        <v>6.5616403650654548E-2</v>
      </c>
      <c r="N69" s="8">
        <f t="shared" si="122"/>
        <v>5.6694043046594846E-2</v>
      </c>
      <c r="O69" s="8">
        <f t="shared" si="123"/>
        <v>-5.3065547080825823E-2</v>
      </c>
      <c r="P69" s="8">
        <f t="shared" si="124"/>
        <v>-6.2730360767781823E-2</v>
      </c>
      <c r="Q69" s="8">
        <f t="shared" si="125"/>
        <v>-4.5771919796971934E-2</v>
      </c>
      <c r="R69" s="8">
        <f t="shared" si="126"/>
        <v>-3.3235288734765285E-2</v>
      </c>
      <c r="S69" s="8">
        <f t="shared" si="127"/>
        <v>7.0182493448674763E-2</v>
      </c>
      <c r="T69" s="8">
        <f t="shared" si="128"/>
        <v>7.5159086880130357E-2</v>
      </c>
      <c r="U69" s="8">
        <f t="shared" si="129"/>
        <v>1.952635304662674E-2</v>
      </c>
      <c r="V69" s="8">
        <f t="shared" si="130"/>
        <v>5.1286664892896249E-3</v>
      </c>
      <c r="W69" s="8">
        <f t="shared" si="131"/>
        <v>-7.7484602238110045E-2</v>
      </c>
      <c r="X69" s="8">
        <f t="shared" si="132"/>
        <v>-7.7077011879237822E-2</v>
      </c>
      <c r="Y69" s="8">
        <f t="shared" si="133"/>
        <v>9.4499229480626678E-3</v>
      </c>
      <c r="Z69" s="8">
        <f t="shared" si="134"/>
        <v>2.3695186309173489E-2</v>
      </c>
      <c r="AA69" s="8">
        <f t="shared" si="135"/>
        <v>7.3950692692699299E-2</v>
      </c>
      <c r="AB69" s="8">
        <f t="shared" si="136"/>
        <v>6.8215918985835844E-2</v>
      </c>
      <c r="AC69" s="8">
        <f t="shared" si="137"/>
        <v>-3.7104652011228631E-2</v>
      </c>
      <c r="AD69" s="8">
        <f t="shared" si="138"/>
        <v>-4.9205329468851818E-2</v>
      </c>
      <c r="AE69" s="8">
        <f t="shared" si="139"/>
        <v>-6.0074972790823918E-2</v>
      </c>
      <c r="AF69" s="8">
        <f t="shared" si="140"/>
        <v>-4.9815008793155077E-2</v>
      </c>
      <c r="AG69" s="8">
        <f t="shared" si="141"/>
        <v>5.9570392838174009E-2</v>
      </c>
      <c r="AH69" s="8">
        <f t="shared" si="142"/>
        <v>6.7834236397129155E-2</v>
      </c>
      <c r="AI69" s="8">
        <f t="shared" si="143"/>
        <v>3.7797925556502306E-2</v>
      </c>
      <c r="AJ69" s="8">
        <f t="shared" si="144"/>
        <v>2.4447600315119333E-2</v>
      </c>
      <c r="AK69" s="8">
        <f t="shared" si="145"/>
        <v>-7.3705370515239052E-2</v>
      </c>
      <c r="AL69" s="8">
        <f t="shared" si="146"/>
        <v>-7.6976703334777685E-2</v>
      </c>
      <c r="AM69" s="8">
        <f t="shared" si="147"/>
        <v>-1.0234937599522417E-2</v>
      </c>
      <c r="AN69" s="8">
        <f t="shared" si="148"/>
        <v>4.3387409264017424E-3</v>
      </c>
      <c r="AO69" s="8">
        <f t="shared" si="149"/>
        <v>7.7532845498730782E-2</v>
      </c>
      <c r="AP69" s="8">
        <f t="shared" si="150"/>
        <v>7.5354180266690579E-2</v>
      </c>
      <c r="AQ69" s="8">
        <f t="shared" si="151"/>
        <v>-1.875937952842768E-2</v>
      </c>
      <c r="AR69" s="8">
        <f t="shared" si="152"/>
        <v>-3.2518320632462148E-2</v>
      </c>
      <c r="AS69" s="8">
        <f t="shared" si="153"/>
        <v>-7.0517555453949748E-2</v>
      </c>
      <c r="AT69" s="8">
        <f t="shared" si="154"/>
        <v>-6.3193572787097696E-2</v>
      </c>
      <c r="AU69" s="8">
        <f t="shared" si="155"/>
        <v>4.5130246646326644E-2</v>
      </c>
      <c r="AV69" s="8">
        <f t="shared" si="156"/>
        <v>5.6150298512950378E-2</v>
      </c>
      <c r="AW69" s="8">
        <f t="shared" si="157"/>
        <v>5.3640570288383906E-2</v>
      </c>
      <c r="AX69" s="8">
        <f t="shared" si="158"/>
        <v>4.2195509947520748E-2</v>
      </c>
      <c r="AY69" s="8">
        <f t="shared" si="159"/>
        <v>-6.5189767174190533E-2</v>
      </c>
      <c r="AZ69" s="8">
        <f t="shared" si="160"/>
        <v>-7.1929804462000466E-2</v>
      </c>
      <c r="BA69" s="8">
        <f t="shared" si="161"/>
        <v>-2.9262092099077087E-2</v>
      </c>
      <c r="BB69" s="8">
        <f t="shared" si="162"/>
        <v>-1.5296515745679603E-2</v>
      </c>
      <c r="BC69" s="8">
        <f t="shared" si="163"/>
        <v>7.6132669794239244E-2</v>
      </c>
      <c r="BD69" s="8">
        <f t="shared" si="164"/>
        <v>7.7650115971658162E-2</v>
      </c>
      <c r="BE69" s="8">
        <f t="shared" si="165"/>
        <v>7.9138710156968198E-4</v>
      </c>
      <c r="BF69" s="8">
        <f t="shared" si="166"/>
        <v>-1.3741656051345644E-2</v>
      </c>
      <c r="BG69" s="8">
        <f t="shared" si="167"/>
        <v>-7.6428618284795705E-2</v>
      </c>
      <c r="BH69" s="8">
        <f t="shared" si="168"/>
        <v>-7.251126248507396E-2</v>
      </c>
      <c r="BI69" s="8">
        <f t="shared" si="169"/>
        <v>2.7789991305813624E-2</v>
      </c>
      <c r="BJ69" s="8">
        <f t="shared" si="170"/>
        <v>4.0858093302119425E-2</v>
      </c>
      <c r="BK69" s="8">
        <f t="shared" si="171"/>
        <v>6.6036225025903741E-2</v>
      </c>
      <c r="BL69" s="8">
        <f t="shared" si="172"/>
        <v>5.7231899180081196E-2</v>
      </c>
      <c r="BM69" s="8">
        <f t="shared" si="173"/>
        <v>-5.2485012338738313E-2</v>
      </c>
      <c r="BN69" s="8">
        <f t="shared" si="174"/>
        <v>-6.2260633399649414E-2</v>
      </c>
      <c r="BO69" s="8">
        <f t="shared" si="175"/>
        <v>-4.6408838949395757E-2</v>
      </c>
      <c r="BP69" s="8">
        <f t="shared" si="176"/>
        <v>-3.3948804928031887E-2</v>
      </c>
      <c r="BQ69" s="8">
        <f t="shared" si="177"/>
        <v>6.9840142095466337E-2</v>
      </c>
      <c r="BR69" s="8">
        <f t="shared" si="178"/>
        <v>7.4956187262874369E-2</v>
      </c>
      <c r="BS69" s="8">
        <f t="shared" si="179"/>
        <v>2.0291298503777484E-2</v>
      </c>
      <c r="BT69" s="8">
        <f t="shared" si="180"/>
        <v>5.9180593746871483E-3</v>
      </c>
      <c r="BU69" s="8">
        <f t="shared" si="181"/>
        <v>-7.7428311212334788E-2</v>
      </c>
      <c r="BV69" s="8">
        <f t="shared" si="182"/>
        <v>-7.7169314992005883E-2</v>
      </c>
      <c r="BW69" s="8">
        <f t="shared" si="183"/>
        <v>8.6639268014606224E-3</v>
      </c>
      <c r="BX69" s="8">
        <f t="shared" si="184"/>
        <v>2.2940311255623336E-2</v>
      </c>
      <c r="BY69" s="8">
        <f t="shared" si="185"/>
        <v>7.4188334146627205E-2</v>
      </c>
      <c r="BZ69" s="8">
        <f t="shared" si="186"/>
        <v>6.8590516480472999E-2</v>
      </c>
      <c r="CA69" s="8">
        <f t="shared" si="187"/>
        <v>-3.6407524674144681E-2</v>
      </c>
      <c r="CB69" s="8">
        <f t="shared" si="188"/>
        <v>-4.8590539542900678E-2</v>
      </c>
      <c r="CC69" s="8">
        <f t="shared" si="189"/>
        <v>-6.0573313190598187E-2</v>
      </c>
      <c r="CD69" s="8">
        <f t="shared" si="190"/>
        <v>-5.0419514192828696E-2</v>
      </c>
      <c r="CE69" s="8">
        <f t="shared" si="191"/>
        <v>5.9059625739718652E-2</v>
      </c>
      <c r="CF69" s="8">
        <f t="shared" si="192"/>
        <v>6.7445508356963071E-2</v>
      </c>
      <c r="CG69" s="8">
        <f t="shared" si="193"/>
        <v>3.8487273304656379E-2</v>
      </c>
      <c r="CH69" s="8">
        <f t="shared" si="194"/>
        <v>2.5197475125661138E-2</v>
      </c>
      <c r="CI69" s="8">
        <f t="shared" si="195"/>
        <v>-7.3452393094086327E-2</v>
      </c>
      <c r="CJ69" s="8">
        <f t="shared" si="196"/>
        <v>-7.686839977694826E-2</v>
      </c>
      <c r="CK69" s="8">
        <f t="shared" si="197"/>
        <v>-1.1018889222047475E-2</v>
      </c>
      <c r="CL69" s="8">
        <f t="shared" si="198"/>
        <v>3.5483647298783913E-3</v>
      </c>
      <c r="CM69" s="8">
        <f t="shared" si="199"/>
        <v>7.7573035983518446E-2</v>
      </c>
      <c r="CN69" s="8">
        <f t="shared" si="200"/>
        <v>7.5541447159616443E-2</v>
      </c>
      <c r="CO69" s="8">
        <f t="shared" si="201"/>
        <v>-1.7990457609170708E-2</v>
      </c>
      <c r="CP69" s="8">
        <f t="shared" si="202"/>
        <v>-3.1797975087415629E-2</v>
      </c>
      <c r="CQ69" s="8">
        <f t="shared" si="203"/>
        <v>-7.0845293310823315E-2</v>
      </c>
      <c r="CR69" s="8">
        <f t="shared" si="204"/>
        <v>-6.3650221347115038E-2</v>
      </c>
      <c r="CS69" s="8">
        <f t="shared" si="205"/>
        <v>4.4483886143408757E-2</v>
      </c>
      <c r="CT69" s="8">
        <f t="shared" si="206"/>
        <v>5.5600722053959183E-2</v>
      </c>
      <c r="CU69" s="8">
        <f t="shared" si="207"/>
        <v>5.421002223791159E-2</v>
      </c>
      <c r="CX69">
        <v>5.0226730671463361E-2</v>
      </c>
      <c r="CY69">
        <v>0.20359382617040092</v>
      </c>
      <c r="DA69" s="21"/>
    </row>
    <row r="70" spans="1:105">
      <c r="A70" s="15">
        <v>68</v>
      </c>
      <c r="B70" s="16">
        <v>53</v>
      </c>
      <c r="C70" s="8">
        <f t="shared" si="208"/>
        <v>3.970291913552122</v>
      </c>
      <c r="D70" s="8">
        <f t="shared" si="209"/>
        <v>4.5918279569892473</v>
      </c>
      <c r="E70" s="7">
        <f t="shared" si="210"/>
        <v>1.3676470588235294</v>
      </c>
      <c r="F70" s="8"/>
      <c r="G70" s="8"/>
      <c r="H70" s="8">
        <f t="shared" si="211"/>
        <v>-1.0268897678543384E-2</v>
      </c>
      <c r="I70" s="8">
        <f t="shared" si="212"/>
        <v>-8.4762856519624077E-2</v>
      </c>
      <c r="J70" s="8">
        <f t="shared" si="213"/>
        <v>-8.2912558045830129E-2</v>
      </c>
      <c r="K70" s="8">
        <f t="shared" si="214"/>
        <v>2.038871803708172E-2</v>
      </c>
      <c r="L70" s="8">
        <f t="shared" si="120"/>
        <v>3.0212547965249168E-2</v>
      </c>
      <c r="M70" s="8">
        <f t="shared" si="121"/>
        <v>7.9858587830904521E-2</v>
      </c>
      <c r="N70" s="8">
        <f t="shared" si="122"/>
        <v>7.5645281470474765E-2</v>
      </c>
      <c r="O70" s="8">
        <f t="shared" si="123"/>
        <v>-3.9597771353340326E-2</v>
      </c>
      <c r="P70" s="8">
        <f t="shared" si="124"/>
        <v>-4.8408139502210991E-2</v>
      </c>
      <c r="Q70" s="8">
        <f t="shared" si="125"/>
        <v>-7.0333805064373228E-2</v>
      </c>
      <c r="R70" s="8">
        <f t="shared" si="126"/>
        <v>-6.4001267246133517E-2</v>
      </c>
      <c r="S70" s="8">
        <f t="shared" si="127"/>
        <v>5.6515749095166136E-2</v>
      </c>
      <c r="T70" s="8">
        <f t="shared" si="128"/>
        <v>6.3802899016895842E-2</v>
      </c>
      <c r="U70" s="8">
        <f t="shared" si="129"/>
        <v>5.6739599768931795E-2</v>
      </c>
      <c r="V70" s="8">
        <f t="shared" si="130"/>
        <v>4.8654222898911512E-2</v>
      </c>
      <c r="W70" s="8">
        <f t="shared" si="131"/>
        <v>-7.0163799063347534E-2</v>
      </c>
      <c r="X70" s="8">
        <f t="shared" si="132"/>
        <v>-7.5506105736569712E-2</v>
      </c>
      <c r="Y70" s="8">
        <f t="shared" si="133"/>
        <v>-3.9862514990862373E-2</v>
      </c>
      <c r="Z70" s="8">
        <f t="shared" si="134"/>
        <v>-3.0492108463981388E-2</v>
      </c>
      <c r="AA70" s="8">
        <f t="shared" si="135"/>
        <v>7.9752262828834949E-2</v>
      </c>
      <c r="AB70" s="8">
        <f t="shared" si="136"/>
        <v>8.2840627334296896E-2</v>
      </c>
      <c r="AC70" s="8">
        <f t="shared" si="137"/>
        <v>2.0679036915652427E-2</v>
      </c>
      <c r="AD70" s="8">
        <f t="shared" si="138"/>
        <v>1.0565760272271602E-2</v>
      </c>
      <c r="AE70" s="8">
        <f t="shared" si="139"/>
        <v>-8.4726364342910768E-2</v>
      </c>
      <c r="AF70" s="8">
        <f t="shared" si="140"/>
        <v>-8.5382097925119527E-2</v>
      </c>
      <c r="AG70" s="8">
        <f t="shared" si="141"/>
        <v>-2.9909664671282039E-4</v>
      </c>
      <c r="AH70" s="8">
        <f t="shared" si="142"/>
        <v>9.9719090735786598E-3</v>
      </c>
      <c r="AI70" s="8">
        <f t="shared" si="143"/>
        <v>8.4798308558172636E-2</v>
      </c>
      <c r="AJ70" s="8">
        <f t="shared" si="144"/>
        <v>8.298347132449832E-2</v>
      </c>
      <c r="AK70" s="8">
        <f t="shared" si="145"/>
        <v>-2.0098148965388328E-2</v>
      </c>
      <c r="AL70" s="8">
        <f t="shared" si="146"/>
        <v>-2.993261672365316E-2</v>
      </c>
      <c r="AM70" s="8">
        <f t="shared" si="147"/>
        <v>-7.996393287585131E-2</v>
      </c>
      <c r="AN70" s="8">
        <f t="shared" si="148"/>
        <v>-7.5783528949393247E-2</v>
      </c>
      <c r="AO70" s="8">
        <f t="shared" si="149"/>
        <v>3.9332541805421742E-2</v>
      </c>
      <c r="AP70" s="8">
        <f t="shared" si="150"/>
        <v>4.8161462081719307E-2</v>
      </c>
      <c r="AQ70" s="8">
        <f t="shared" si="151"/>
        <v>7.0502947988363499E-2</v>
      </c>
      <c r="AR70" s="8">
        <f t="shared" si="152"/>
        <v>6.4198850105890312E-2</v>
      </c>
      <c r="AS70" s="8">
        <f t="shared" si="153"/>
        <v>-5.6291204907873489E-2</v>
      </c>
      <c r="AT70" s="8">
        <f t="shared" si="154"/>
        <v>-6.3603747852383624E-2</v>
      </c>
      <c r="AU70" s="8">
        <f t="shared" si="155"/>
        <v>-5.696275418226527E-2</v>
      </c>
      <c r="AV70" s="8">
        <f t="shared" si="156"/>
        <v>-4.8899709252092811E-2</v>
      </c>
      <c r="AW70" s="8">
        <f t="shared" si="157"/>
        <v>6.9992932071456765E-2</v>
      </c>
      <c r="AX70" s="8">
        <f t="shared" si="158"/>
        <v>7.536600345552541E-2</v>
      </c>
      <c r="AY70" s="8">
        <f t="shared" si="159"/>
        <v>4.0126769469277075E-2</v>
      </c>
      <c r="AZ70" s="8">
        <f t="shared" si="160"/>
        <v>3.0771294789318573E-2</v>
      </c>
      <c r="BA70" s="8">
        <f t="shared" si="161"/>
        <v>-7.9644959174373545E-2</v>
      </c>
      <c r="BB70" s="8">
        <f t="shared" si="162"/>
        <v>-8.2767680072571431E-2</v>
      </c>
      <c r="BC70" s="8">
        <f t="shared" si="163"/>
        <v>-2.096910203855273E-2</v>
      </c>
      <c r="BD70" s="8">
        <f t="shared" si="164"/>
        <v>-1.0862493211916211E-2</v>
      </c>
      <c r="BE70" s="8">
        <f t="shared" si="165"/>
        <v>8.4688832475833836E-2</v>
      </c>
      <c r="BF70" s="8">
        <f t="shared" si="166"/>
        <v>8.5380526316447075E-2</v>
      </c>
      <c r="BG70" s="8">
        <f t="shared" si="167"/>
        <v>5.9818962316427902E-4</v>
      </c>
      <c r="BH70" s="8">
        <f t="shared" si="168"/>
        <v>-9.6747981017693274E-3</v>
      </c>
      <c r="BI70" s="8">
        <f t="shared" si="169"/>
        <v>-8.4832720023519076E-2</v>
      </c>
      <c r="BJ70" s="8">
        <f t="shared" si="170"/>
        <v>-8.3053366300113493E-2</v>
      </c>
      <c r="BK70" s="8">
        <f t="shared" si="171"/>
        <v>1.9807333266190705E-2</v>
      </c>
      <c r="BL70" s="8">
        <f t="shared" si="172"/>
        <v>2.9652318174273207E-2</v>
      </c>
      <c r="BM70" s="8">
        <f t="shared" si="173"/>
        <v>8.0068296670969846E-2</v>
      </c>
      <c r="BN70" s="8">
        <f t="shared" si="174"/>
        <v>7.59208464768686E-2</v>
      </c>
      <c r="BO70" s="8">
        <f t="shared" si="175"/>
        <v>-3.9066829601780095E-2</v>
      </c>
      <c r="BP70" s="8">
        <f t="shared" si="176"/>
        <v>-4.791419366445384E-2</v>
      </c>
      <c r="BQ70" s="8">
        <f t="shared" si="177"/>
        <v>-7.0671225759738929E-2</v>
      </c>
      <c r="BR70" s="8">
        <f t="shared" si="178"/>
        <v>-6.4395645171595337E-2</v>
      </c>
      <c r="BS70" s="8">
        <f t="shared" si="179"/>
        <v>5.6065969962471568E-2</v>
      </c>
      <c r="BT70" s="8">
        <f t="shared" si="180"/>
        <v>6.340381619641311E-2</v>
      </c>
      <c r="BU70" s="8">
        <f t="shared" si="181"/>
        <v>5.7185209596802525E-2</v>
      </c>
      <c r="BV70" s="8">
        <f t="shared" si="182"/>
        <v>4.9144595549355248E-2</v>
      </c>
      <c r="BW70" s="8">
        <f t="shared" si="183"/>
        <v>-6.9821206185435275E-2</v>
      </c>
      <c r="BX70" s="8">
        <f t="shared" si="184"/>
        <v>-7.5224976346557781E-2</v>
      </c>
      <c r="BY70" s="8">
        <f t="shared" si="185"/>
        <v>-4.039053154587835E-2</v>
      </c>
      <c r="BZ70" s="8">
        <f t="shared" si="186"/>
        <v>-3.1050103515323835E-2</v>
      </c>
      <c r="CA70" s="8">
        <f t="shared" si="187"/>
        <v>7.9536678184259413E-2</v>
      </c>
      <c r="CB70" s="8">
        <f t="shared" si="188"/>
        <v>8.269371715580083E-2</v>
      </c>
      <c r="CC70" s="8">
        <f t="shared" si="189"/>
        <v>2.1258909846348793E-2</v>
      </c>
      <c r="CD70" s="8">
        <f t="shared" si="190"/>
        <v>1.1159092856221719E-2</v>
      </c>
      <c r="CE70" s="8">
        <f t="shared" si="191"/>
        <v>-8.4650261378952596E-2</v>
      </c>
      <c r="CF70" s="8">
        <f t="shared" si="192"/>
        <v>-8.5377906990087959E-2</v>
      </c>
      <c r="CG70" s="8">
        <f t="shared" si="193"/>
        <v>-8.9727525913865921E-4</v>
      </c>
      <c r="CH70" s="8">
        <f t="shared" si="194"/>
        <v>9.3775684090112808E-3</v>
      </c>
      <c r="CI70" s="8">
        <f t="shared" si="195"/>
        <v>8.4866090493394872E-2</v>
      </c>
      <c r="CJ70" s="8">
        <f t="shared" si="196"/>
        <v>8.3122242114983688E-2</v>
      </c>
      <c r="CK70" s="8">
        <f t="shared" si="197"/>
        <v>-1.9516274508133129E-2</v>
      </c>
      <c r="CL70" s="8">
        <f t="shared" si="198"/>
        <v>-2.937165575669588E-2</v>
      </c>
      <c r="CM70" s="8">
        <f t="shared" si="199"/>
        <v>-8.0171677935595972E-2</v>
      </c>
      <c r="CN70" s="8">
        <f t="shared" si="200"/>
        <v>-7.6057232367856442E-2</v>
      </c>
      <c r="CO70" s="8">
        <f t="shared" si="201"/>
        <v>3.8800638003010514E-2</v>
      </c>
      <c r="CP70" s="8">
        <f t="shared" si="202"/>
        <v>4.7666337284683218E-2</v>
      </c>
      <c r="CQ70" s="8">
        <f t="shared" si="203"/>
        <v>7.0838636313537207E-2</v>
      </c>
      <c r="CR70" s="8">
        <f t="shared" si="204"/>
        <v>6.4591650028346367E-2</v>
      </c>
      <c r="CS70" s="8">
        <f t="shared" si="205"/>
        <v>-5.5840047022852647E-2</v>
      </c>
      <c r="CT70" s="8">
        <f t="shared" si="206"/>
        <v>-6.3203106502375886E-2</v>
      </c>
      <c r="CU70" s="8">
        <f t="shared" si="207"/>
        <v>-5.7406963282759543E-2</v>
      </c>
      <c r="DA70" s="20">
        <v>3.7231201987254119E-4</v>
      </c>
    </row>
    <row r="71" spans="1:105">
      <c r="A71" s="15">
        <v>69</v>
      </c>
      <c r="B71" s="16">
        <v>52</v>
      </c>
      <c r="C71" s="8">
        <f t="shared" si="208"/>
        <v>3.9512437185814275</v>
      </c>
      <c r="D71" s="8">
        <f t="shared" si="209"/>
        <v>4.6593548387096773</v>
      </c>
      <c r="E71" s="7">
        <f t="shared" si="210"/>
        <v>1.3478260869565217</v>
      </c>
      <c r="F71" s="8"/>
      <c r="G71" s="8"/>
      <c r="H71" s="8">
        <f t="shared" si="211"/>
        <v>-4.5043570286725379E-3</v>
      </c>
      <c r="I71" s="8">
        <f t="shared" si="212"/>
        <v>-8.4853512837518422E-2</v>
      </c>
      <c r="J71" s="8">
        <f t="shared" si="213"/>
        <v>-8.4495437710162921E-2</v>
      </c>
      <c r="K71" s="8">
        <f t="shared" si="214"/>
        <v>8.9960479810099088E-3</v>
      </c>
      <c r="L71" s="8">
        <f t="shared" si="120"/>
        <v>1.3462442397189803E-2</v>
      </c>
      <c r="M71" s="8">
        <f t="shared" si="121"/>
        <v>8.3899764706529434E-2</v>
      </c>
      <c r="N71" s="8">
        <f t="shared" si="122"/>
        <v>8.3068168835878295E-2</v>
      </c>
      <c r="O71" s="8">
        <f t="shared" si="123"/>
        <v>-1.7890980950262966E-2</v>
      </c>
      <c r="P71" s="8">
        <f t="shared" si="124"/>
        <v>-2.2269210762491526E-2</v>
      </c>
      <c r="Q71" s="8">
        <f t="shared" si="125"/>
        <v>-8.2002988513373024E-2</v>
      </c>
      <c r="R71" s="8">
        <f t="shared" si="126"/>
        <v>-8.0707218984547899E-2</v>
      </c>
      <c r="S71" s="8">
        <f t="shared" si="127"/>
        <v>2.6584820422355403E-2</v>
      </c>
      <c r="T71" s="8">
        <f t="shared" si="128"/>
        <v>3.0825674603760216E-2</v>
      </c>
      <c r="U71" s="8">
        <f t="shared" si="129"/>
        <v>7.9184503902794939E-2</v>
      </c>
      <c r="V71" s="8">
        <f t="shared" si="130"/>
        <v>7.7439125083551399E-2</v>
      </c>
      <c r="W71" s="8">
        <f t="shared" si="131"/>
        <v>-3.4979848190104211E-2</v>
      </c>
      <c r="X71" s="8">
        <f t="shared" si="132"/>
        <v>-3.9035659807237444E-2</v>
      </c>
      <c r="Y71" s="8">
        <f t="shared" si="133"/>
        <v>-7.5475990464003065E-2</v>
      </c>
      <c r="Z71" s="8">
        <f t="shared" si="134"/>
        <v>-7.3300620302155825E-2</v>
      </c>
      <c r="AA71" s="8">
        <f t="shared" si="135"/>
        <v>4.2981704671032246E-2</v>
      </c>
      <c r="AB71" s="8">
        <f t="shared" si="136"/>
        <v>4.6806886657192986E-2</v>
      </c>
      <c r="AC71" s="8">
        <f t="shared" si="137"/>
        <v>7.0919131654084325E-2</v>
      </c>
      <c r="AD71" s="8">
        <f t="shared" si="138"/>
        <v>6.8338221173010513E-2</v>
      </c>
      <c r="AE71" s="8">
        <f t="shared" si="139"/>
        <v>-5.0500449503121769E-2</v>
      </c>
      <c r="AF71" s="8">
        <f t="shared" si="140"/>
        <v>-5.4052007054111138E-2</v>
      </c>
      <c r="AG71" s="8">
        <f t="shared" si="141"/>
        <v>-6.5565146278575293E-2</v>
      </c>
      <c r="AH71" s="8">
        <f t="shared" si="142"/>
        <v>-6.2607704749256421E-2</v>
      </c>
      <c r="AI71" s="8">
        <f t="shared" si="143"/>
        <v>5.7451572468807076E-2</v>
      </c>
      <c r="AJ71" s="8">
        <f t="shared" si="144"/>
        <v>6.0689586301816367E-2</v>
      </c>
      <c r="AK71" s="8">
        <f t="shared" si="145"/>
        <v>5.947421279532028E-2</v>
      </c>
      <c r="AL71" s="8">
        <f t="shared" si="146"/>
        <v>5.6173481673963688E-2</v>
      </c>
      <c r="AM71" s="8">
        <f t="shared" si="147"/>
        <v>-6.37569433844936E-2</v>
      </c>
      <c r="AN71" s="8">
        <f t="shared" si="148"/>
        <v>-6.6645018428321628E-2</v>
      </c>
      <c r="AO71" s="8">
        <f t="shared" si="149"/>
        <v>-5.2714792912401033E-2</v>
      </c>
      <c r="AP71" s="8">
        <f t="shared" si="150"/>
        <v>-4.9107872208572052E-2</v>
      </c>
      <c r="AQ71" s="8">
        <f t="shared" si="151"/>
        <v>6.9345690278886193E-2</v>
      </c>
      <c r="AR71" s="8">
        <f t="shared" si="152"/>
        <v>7.1851364752244837E-2</v>
      </c>
      <c r="AS71" s="8">
        <f t="shared" si="153"/>
        <v>4.5362862082859418E-2</v>
      </c>
      <c r="AT71" s="8">
        <f t="shared" si="154"/>
        <v>4.1490293357712878E-2</v>
      </c>
      <c r="AU71" s="8">
        <f t="shared" si="155"/>
        <v>-7.415499598947857E-2</v>
      </c>
      <c r="AV71" s="8">
        <f t="shared" si="156"/>
        <v>-7.6250106269368526E-2</v>
      </c>
      <c r="AW71" s="8">
        <f t="shared" si="157"/>
        <v>-3.7501055545393153E-2</v>
      </c>
      <c r="AX71" s="8">
        <f t="shared" si="158"/>
        <v>-3.3406366227084039E-2</v>
      </c>
      <c r="AY71" s="8">
        <f t="shared" si="159"/>
        <v>7.8130804223498135E-2</v>
      </c>
      <c r="AZ71" s="8">
        <f t="shared" si="160"/>
        <v>7.9791801402550724E-2</v>
      </c>
      <c r="BA71" s="8">
        <f t="shared" si="161"/>
        <v>2.9217739509492521E-2</v>
      </c>
      <c r="BB71" s="8">
        <f t="shared" si="162"/>
        <v>2.4946953647629673E-2</v>
      </c>
      <c r="BC71" s="8">
        <f t="shared" si="163"/>
        <v>-8.122842714722274E-2</v>
      </c>
      <c r="BD71" s="8">
        <f t="shared" si="164"/>
        <v>-8.2436641721935391E-2</v>
      </c>
      <c r="BE71" s="8">
        <f t="shared" si="165"/>
        <v>-2.0606017924817924E-2</v>
      </c>
      <c r="BF71" s="8">
        <f t="shared" si="166"/>
        <v>-1.6207138883050008E-2</v>
      </c>
      <c r="BG71" s="8">
        <f t="shared" si="167"/>
        <v>8.3413047674414736E-2</v>
      </c>
      <c r="BH71" s="8">
        <f t="shared" si="168"/>
        <v>8.41548993891931E-2</v>
      </c>
      <c r="BI71" s="8">
        <f t="shared" si="169"/>
        <v>1.1762685998675772E-2</v>
      </c>
      <c r="BJ71" s="8">
        <f t="shared" si="170"/>
        <v>7.2851568999135422E-3</v>
      </c>
      <c r="BK71" s="8">
        <f t="shared" si="171"/>
        <v>-8.4660110808173983E-2</v>
      </c>
      <c r="BL71" s="8">
        <f t="shared" si="172"/>
        <v>-8.4927261296546194E-2</v>
      </c>
      <c r="BM71" s="8">
        <f t="shared" si="173"/>
        <v>-2.7871422240032277E-3</v>
      </c>
      <c r="BN71" s="8">
        <f t="shared" si="174"/>
        <v>1.7187097871674761E-3</v>
      </c>
      <c r="BO71" s="8">
        <f t="shared" si="175"/>
        <v>8.4955599637552739E-2</v>
      </c>
      <c r="BP71" s="8">
        <f t="shared" si="176"/>
        <v>8.4745046144883623E-2</v>
      </c>
      <c r="BQ71" s="8">
        <f t="shared" si="177"/>
        <v>-6.2197288534309057E-3</v>
      </c>
      <c r="BR71" s="8">
        <f t="shared" si="178"/>
        <v>-1.0703258284672036E-2</v>
      </c>
      <c r="BS71" s="8">
        <f t="shared" si="179"/>
        <v>-8.4296192886750554E-2</v>
      </c>
      <c r="BT71" s="8">
        <f t="shared" si="180"/>
        <v>-8.3610302021014146E-2</v>
      </c>
      <c r="BU71" s="8">
        <f t="shared" si="181"/>
        <v>1.5156690570947587E-2</v>
      </c>
      <c r="BV71" s="8">
        <f t="shared" si="182"/>
        <v>1.9567502834312394E-2</v>
      </c>
      <c r="BW71" s="8">
        <f t="shared" si="183"/>
        <v>8.2689302246045288E-2</v>
      </c>
      <c r="BX71" s="8">
        <f t="shared" si="184"/>
        <v>8.1535783377300469E-2</v>
      </c>
      <c r="BY71" s="8">
        <f t="shared" si="185"/>
        <v>-2.3923292042663934E-2</v>
      </c>
      <c r="BZ71" s="8">
        <f t="shared" si="186"/>
        <v>-2.821180988658497E-2</v>
      </c>
      <c r="CA71" s="8">
        <f t="shared" si="187"/>
        <v>-8.0152989064861721E-2</v>
      </c>
      <c r="CB71" s="8">
        <f t="shared" si="188"/>
        <v>-7.8544807672419045E-2</v>
      </c>
      <c r="CC71" s="8">
        <f t="shared" si="189"/>
        <v>3.2420997221112059E-2</v>
      </c>
      <c r="CD71" s="8">
        <f t="shared" si="190"/>
        <v>3.6539017975578819E-2</v>
      </c>
      <c r="CE71" s="8">
        <f t="shared" si="191"/>
        <v>7.6715761343344457E-2</v>
      </c>
      <c r="CF71" s="8">
        <f t="shared" si="192"/>
        <v>7.467099328459692E-2</v>
      </c>
      <c r="CG71" s="8">
        <f t="shared" si="193"/>
        <v>-4.0554292436193934E-2</v>
      </c>
      <c r="CH71" s="8">
        <f t="shared" si="194"/>
        <v>-4.4455529807731528E-2</v>
      </c>
      <c r="CI71" s="8">
        <f t="shared" si="195"/>
        <v>-7.2416253304231015E-2</v>
      </c>
      <c r="CJ71" s="8">
        <f t="shared" si="196"/>
        <v>-6.9957881643156888E-2</v>
      </c>
      <c r="CK71" s="8">
        <f t="shared" si="197"/>
        <v>4.8231759962816069E-2</v>
      </c>
      <c r="CL71" s="8">
        <f t="shared" si="198"/>
        <v>5.1872364289490484E-2</v>
      </c>
      <c r="CM71" s="8">
        <f t="shared" si="199"/>
        <v>6.7302791146631111E-2</v>
      </c>
      <c r="CN71" s="8">
        <f t="shared" si="200"/>
        <v>6.4458447825605211E-2</v>
      </c>
      <c r="CO71" s="8">
        <f t="shared" si="201"/>
        <v>-5.5367105550339052E-2</v>
      </c>
      <c r="CP71" s="8">
        <f t="shared" si="202"/>
        <v>-5.8706156669199767E-2</v>
      </c>
      <c r="CQ71" s="8">
        <f t="shared" si="203"/>
        <v>-6.1432849862594084E-2</v>
      </c>
      <c r="CR71" s="8">
        <f t="shared" si="204"/>
        <v>-5.8234505121098575E-2</v>
      </c>
      <c r="CS71" s="8">
        <f t="shared" si="205"/>
        <v>6.18801283645194E-2</v>
      </c>
      <c r="CT71" s="8">
        <f t="shared" si="206"/>
        <v>6.4880095551647088E-2</v>
      </c>
      <c r="CU71" s="8">
        <f t="shared" si="207"/>
        <v>5.4872407221825077E-2</v>
      </c>
      <c r="CX71">
        <v>3.436498409764923E-2</v>
      </c>
      <c r="CY71">
        <v>0.13909956402868195</v>
      </c>
      <c r="DA71" s="21"/>
    </row>
    <row r="72" spans="1:105">
      <c r="A72" s="15">
        <v>70</v>
      </c>
      <c r="B72" s="16">
        <v>46</v>
      </c>
      <c r="C72" s="8">
        <f t="shared" si="208"/>
        <v>3.8286413964890951</v>
      </c>
      <c r="D72" s="8">
        <f t="shared" si="209"/>
        <v>4.7268817204301081</v>
      </c>
      <c r="E72" s="7">
        <f t="shared" si="210"/>
        <v>1.3285714285714285</v>
      </c>
      <c r="F72" s="8"/>
      <c r="G72" s="8"/>
      <c r="H72" s="8">
        <f t="shared" si="211"/>
        <v>1.1932378941669549E-3</v>
      </c>
      <c r="I72" s="8">
        <f t="shared" si="212"/>
        <v>-8.2327727323390901E-2</v>
      </c>
      <c r="J72" s="8">
        <f t="shared" si="213"/>
        <v>-8.2301788755565167E-2</v>
      </c>
      <c r="K72" s="8">
        <f t="shared" si="214"/>
        <v>-2.3862251656132727E-3</v>
      </c>
      <c r="L72" s="8">
        <f t="shared" si="120"/>
        <v>-3.5787112442581428E-3</v>
      </c>
      <c r="M72" s="8">
        <f t="shared" si="121"/>
        <v>8.2258563862596695E-2</v>
      </c>
      <c r="N72" s="8">
        <f t="shared" si="122"/>
        <v>8.2198061723262106E-2</v>
      </c>
      <c r="O72" s="8">
        <f t="shared" si="123"/>
        <v>4.7704456652889115E-3</v>
      </c>
      <c r="P72" s="8">
        <f t="shared" si="124"/>
        <v>5.9611781217683282E-3</v>
      </c>
      <c r="Q72" s="8">
        <f t="shared" si="125"/>
        <v>-8.2120295045178884E-2</v>
      </c>
      <c r="R72" s="8">
        <f t="shared" si="126"/>
        <v>-8.202528016213638E-2</v>
      </c>
      <c r="S72" s="8">
        <f t="shared" si="127"/>
        <v>-7.1506585172077513E-3</v>
      </c>
      <c r="T72" s="8">
        <f t="shared" si="128"/>
        <v>-8.3386370180953528E-3</v>
      </c>
      <c r="U72" s="8">
        <f t="shared" si="129"/>
        <v>8.1913037030665214E-2</v>
      </c>
      <c r="V72" s="8">
        <f t="shared" si="130"/>
        <v>8.1783589225845499E-2</v>
      </c>
      <c r="W72" s="8">
        <f t="shared" si="131"/>
        <v>9.5248641063718584E-3</v>
      </c>
      <c r="X72" s="8">
        <f t="shared" si="132"/>
        <v>1.0709090631837122E-2</v>
      </c>
      <c r="Y72" s="8">
        <f t="shared" si="133"/>
        <v>-8.163696393635532E-2</v>
      </c>
      <c r="Z72" s="8">
        <f t="shared" si="134"/>
        <v>-8.147319195876021E-2</v>
      </c>
      <c r="AA72" s="8">
        <f t="shared" si="135"/>
        <v>-1.1891067864480879E-2</v>
      </c>
      <c r="AB72" s="8">
        <f t="shared" si="136"/>
        <v>-1.3070547546724971E-2</v>
      </c>
      <c r="AC72" s="8">
        <f t="shared" si="137"/>
        <v>8.1292307691044688E-2</v>
      </c>
      <c r="AD72" s="8">
        <f t="shared" si="138"/>
        <v>8.1094349125387308E-2</v>
      </c>
      <c r="AE72" s="8">
        <f t="shared" si="139"/>
        <v>1.4247281945566898E-2</v>
      </c>
      <c r="AF72" s="8">
        <f t="shared" si="140"/>
        <v>1.5421023904610339E-2</v>
      </c>
      <c r="AG72" s="8">
        <f t="shared" si="141"/>
        <v>-8.0879357840181423E-2</v>
      </c>
      <c r="AH72" s="8">
        <f t="shared" si="142"/>
        <v>-8.0647378991301644E-2</v>
      </c>
      <c r="AI72" s="8">
        <f t="shared" si="143"/>
        <v>-1.6591526895980296E-2</v>
      </c>
      <c r="AJ72" s="8">
        <f t="shared" si="144"/>
        <v>-1.7758545072099917E-2</v>
      </c>
      <c r="AK72" s="8">
        <f t="shared" si="145"/>
        <v>8.0398461302619947E-2</v>
      </c>
      <c r="AL72" s="8">
        <f t="shared" si="146"/>
        <v>8.0132657055771175E-2</v>
      </c>
      <c r="AM72" s="8">
        <f t="shared" si="147"/>
        <v>1.892183331733072E-2</v>
      </c>
      <c r="AN72" s="8">
        <f t="shared" si="148"/>
        <v>2.0081147299450524E-2</v>
      </c>
      <c r="AO72" s="8">
        <f t="shared" si="149"/>
        <v>-7.985002207917323E-2</v>
      </c>
      <c r="AP72" s="8">
        <f t="shared" si="150"/>
        <v>-7.955061573630047E-2</v>
      </c>
      <c r="AQ72" s="8">
        <f t="shared" si="151"/>
        <v>-2.1236243520974845E-2</v>
      </c>
      <c r="AR72" s="8">
        <f t="shared" si="152"/>
        <v>-2.2386879370303481E-2</v>
      </c>
      <c r="AS72" s="8">
        <f t="shared" si="153"/>
        <v>7.9234500913214323E-2</v>
      </c>
      <c r="AT72" s="8">
        <f t="shared" si="154"/>
        <v>7.89017440053571E-2</v>
      </c>
      <c r="AU72" s="8">
        <f t="shared" si="155"/>
        <v>2.3532813172669701E-2</v>
      </c>
      <c r="AV72" s="8">
        <f t="shared" si="156"/>
        <v>2.4673804240909668E-2</v>
      </c>
      <c r="AW72" s="8">
        <f t="shared" si="157"/>
        <v>-7.8552414903604012E-2</v>
      </c>
      <c r="AX72" s="8">
        <f t="shared" si="158"/>
        <v>-7.8186586979586248E-2</v>
      </c>
      <c r="AY72" s="8">
        <f t="shared" si="159"/>
        <v>-2.5809612926006361E-2</v>
      </c>
      <c r="AZ72" s="8">
        <f t="shared" si="160"/>
        <v>-2.6940000667433388E-2</v>
      </c>
      <c r="BA72" s="8">
        <f t="shared" si="161"/>
        <v>7.7804337070277577E-2</v>
      </c>
      <c r="BB72" s="8">
        <f t="shared" si="162"/>
        <v>7.740574546185823E-2</v>
      </c>
      <c r="BC72" s="8">
        <f t="shared" si="163"/>
        <v>2.8064730043253498E-2</v>
      </c>
      <c r="BD72" s="8">
        <f t="shared" si="164"/>
        <v>2.9183564819988971E-2</v>
      </c>
      <c r="BE72" s="8">
        <f t="shared" si="165"/>
        <v>-7.6990895872850976E-2</v>
      </c>
      <c r="BF72" s="8">
        <f t="shared" si="166"/>
        <v>-7.6559875436535973E-2</v>
      </c>
      <c r="BG72" s="8">
        <f t="shared" si="167"/>
        <v>-3.0296270002242481E-2</v>
      </c>
      <c r="BH72" s="8">
        <f t="shared" si="168"/>
        <v>-3.1402611882046801E-2</v>
      </c>
      <c r="BI72" s="8">
        <f t="shared" si="169"/>
        <v>7.6112774682652401E-2</v>
      </c>
      <c r="BJ72" s="8">
        <f t="shared" si="170"/>
        <v>7.5649687518380804E-2</v>
      </c>
      <c r="BK72" s="8">
        <f t="shared" si="171"/>
        <v>3.2502358087960648E-2</v>
      </c>
      <c r="BL72" s="8">
        <f t="shared" si="172"/>
        <v>3.3595277633866265E-2</v>
      </c>
      <c r="BM72" s="8">
        <f t="shared" si="173"/>
        <v>-7.5170711208622509E-2</v>
      </c>
      <c r="BN72" s="8">
        <f t="shared" si="174"/>
        <v>-7.4675946355567541E-2</v>
      </c>
      <c r="BO72" s="8">
        <f t="shared" si="175"/>
        <v>-3.4681140967492412E-2</v>
      </c>
      <c r="BP72" s="8">
        <f t="shared" si="176"/>
        <v>-3.5759720018626338E-2</v>
      </c>
      <c r="BQ72" s="8">
        <f t="shared" si="177"/>
        <v>7.4165496877565212E-2</v>
      </c>
      <c r="BR72" s="8">
        <f t="shared" si="178"/>
        <v>7.3639469987301254E-2</v>
      </c>
      <c r="BS72" s="8">
        <f t="shared" si="179"/>
        <v>3.6830788247009305E-2</v>
      </c>
      <c r="BT72" s="8">
        <f t="shared" si="180"/>
        <v>3.7894120689930894E-2</v>
      </c>
      <c r="BU72" s="8">
        <f t="shared" si="181"/>
        <v>-7.3097976169273188E-2</v>
      </c>
      <c r="BV72" s="8">
        <f t="shared" si="182"/>
        <v>-7.25411291565876E-2</v>
      </c>
      <c r="BW72" s="8">
        <f t="shared" si="183"/>
        <v>-3.8949494009472813E-2</v>
      </c>
      <c r="BX72" s="8">
        <f t="shared" si="184"/>
        <v>-3.9996686539411679E-2</v>
      </c>
      <c r="BY72" s="8">
        <f t="shared" si="185"/>
        <v>7.1969045907075396E-2</v>
      </c>
      <c r="BZ72" s="8">
        <f t="shared" si="186"/>
        <v>7.1381846578720043E-2</v>
      </c>
      <c r="CA72" s="8">
        <f t="shared" si="187"/>
        <v>4.103547833178936E-2</v>
      </c>
      <c r="CB72" s="8">
        <f t="shared" si="188"/>
        <v>4.206565120310158E-2</v>
      </c>
      <c r="CC72" s="8">
        <f t="shared" si="189"/>
        <v>-7.0779654504424347E-2</v>
      </c>
      <c r="CD72" s="8">
        <f t="shared" si="190"/>
        <v>-7.0162596166103861E-2</v>
      </c>
      <c r="CE72" s="8">
        <f t="shared" si="191"/>
        <v>-4.3086988780128378E-2</v>
      </c>
      <c r="CF72" s="8">
        <f t="shared" si="192"/>
        <v>-4.4099276545372185E-2</v>
      </c>
      <c r="CG72" s="8">
        <f t="shared" si="193"/>
        <v>6.9530801168125961E-2</v>
      </c>
      <c r="CH72" s="8">
        <f t="shared" si="194"/>
        <v>6.8884402210081103E-2</v>
      </c>
      <c r="CI72" s="8">
        <f t="shared" si="195"/>
        <v>4.5102301882126314E-2</v>
      </c>
      <c r="CJ72" s="8">
        <f t="shared" si="196"/>
        <v>4.6095854119125874E-2</v>
      </c>
      <c r="CK72" s="8">
        <f t="shared" si="197"/>
        <v>-6.8223535058914583E-2</v>
      </c>
      <c r="CL72" s="8">
        <f t="shared" si="198"/>
        <v>-6.7548338520414669E-2</v>
      </c>
      <c r="CM72" s="8">
        <f t="shared" si="199"/>
        <v>-4.7079724574790621E-2</v>
      </c>
      <c r="CN72" s="8">
        <f t="shared" si="200"/>
        <v>-4.8053706601067191E-2</v>
      </c>
      <c r="CO72" s="8">
        <f t="shared" si="201"/>
        <v>6.6858954410050658E-2</v>
      </c>
      <c r="CP72" s="8">
        <f t="shared" si="202"/>
        <v>6.6155527523191621E-2</v>
      </c>
      <c r="CQ72" s="8">
        <f t="shared" si="203"/>
        <v>4.9017595626824839E-2</v>
      </c>
      <c r="CR72" s="8">
        <f t="shared" si="204"/>
        <v>4.9971189200826459E-2</v>
      </c>
      <c r="CS72" s="8">
        <f t="shared" si="205"/>
        <v>-6.543820560469156E-2</v>
      </c>
      <c r="CT72" s="8">
        <f t="shared" si="206"/>
        <v>-6.4707139317863316E-2</v>
      </c>
      <c r="CU72" s="8">
        <f t="shared" si="207"/>
        <v>-5.0914287034243215E-2</v>
      </c>
      <c r="DA72" s="20">
        <v>1.1877136336509893E-4</v>
      </c>
    </row>
    <row r="73" spans="1:105">
      <c r="A73" s="15">
        <v>71</v>
      </c>
      <c r="B73" s="16">
        <v>68</v>
      </c>
      <c r="C73" s="8">
        <f t="shared" si="208"/>
        <v>4.219507705176107</v>
      </c>
      <c r="D73" s="8">
        <f t="shared" si="209"/>
        <v>4.7944086021505372</v>
      </c>
      <c r="E73" s="7">
        <f t="shared" si="210"/>
        <v>1.3098591549295777</v>
      </c>
      <c r="F73" s="8"/>
      <c r="G73" s="8"/>
      <c r="H73" s="8">
        <f t="shared" si="211"/>
        <v>7.434290921261277E-3</v>
      </c>
      <c r="I73" s="8">
        <f t="shared" si="212"/>
        <v>-9.0437051291238538E-2</v>
      </c>
      <c r="J73" s="8">
        <f t="shared" si="213"/>
        <v>-8.9523952592287029E-2</v>
      </c>
      <c r="K73" s="8">
        <f t="shared" si="214"/>
        <v>-1.4818597774756094E-2</v>
      </c>
      <c r="L73" s="8">
        <f t="shared" si="120"/>
        <v>-2.2103272557994085E-2</v>
      </c>
      <c r="M73" s="8">
        <f t="shared" si="121"/>
        <v>8.800894426126861E-2</v>
      </c>
      <c r="N73" s="8">
        <f t="shared" si="122"/>
        <v>8.5902212377782158E-2</v>
      </c>
      <c r="O73" s="8">
        <f t="shared" si="123"/>
        <v>2.9239337139519254E-2</v>
      </c>
      <c r="P73" s="8">
        <f t="shared" si="124"/>
        <v>3.6178812560826272E-2</v>
      </c>
      <c r="Q73" s="8">
        <f t="shared" si="125"/>
        <v>-8.3217921443909298E-2</v>
      </c>
      <c r="R73" s="8">
        <f t="shared" si="126"/>
        <v>-7.9974119149922515E-2</v>
      </c>
      <c r="S73" s="8">
        <f t="shared" si="127"/>
        <v>-4.2875041620388618E-2</v>
      </c>
      <c r="T73" s="8">
        <f t="shared" si="128"/>
        <v>-4.9283002570921414E-2</v>
      </c>
      <c r="U73" s="8">
        <f t="shared" si="129"/>
        <v>7.619261503158041E-2</v>
      </c>
      <c r="V73" s="8">
        <f t="shared" si="130"/>
        <v>7.1898833834848311E-2</v>
      </c>
      <c r="W73" s="8">
        <f t="shared" si="131"/>
        <v>5.5359611820757285E-2</v>
      </c>
      <c r="X73" s="8">
        <f t="shared" si="132"/>
        <v>6.1064013604127165E-2</v>
      </c>
      <c r="Y73" s="8">
        <f t="shared" si="133"/>
        <v>-6.7121644573945233E-2</v>
      </c>
      <c r="Z73" s="8">
        <f t="shared" si="134"/>
        <v>-6.1893166432029689E-2</v>
      </c>
      <c r="AA73" s="8">
        <f t="shared" si="135"/>
        <v>-6.6357854672775038E-2</v>
      </c>
      <c r="AB73" s="8">
        <f t="shared" si="136"/>
        <v>-7.1205542162026139E-2</v>
      </c>
      <c r="AC73" s="8">
        <f t="shared" si="137"/>
        <v>5.6248552809543266E-2</v>
      </c>
      <c r="AD73" s="8">
        <f t="shared" si="138"/>
        <v>5.0225754972156506E-2</v>
      </c>
      <c r="AE73" s="8">
        <f t="shared" si="139"/>
        <v>7.5574482897555806E-2</v>
      </c>
      <c r="AF73" s="8">
        <f t="shared" si="140"/>
        <v>7.9435302533900881E-2</v>
      </c>
      <c r="AG73" s="8">
        <f t="shared" si="141"/>
        <v>-4.3865266887409882E-2</v>
      </c>
      <c r="AH73" s="8">
        <f t="shared" si="142"/>
        <v>-3.7209852965631049E-2</v>
      </c>
      <c r="AI73" s="8">
        <f t="shared" si="143"/>
        <v>-8.2762043051341952E-2</v>
      </c>
      <c r="AJ73" s="8">
        <f t="shared" si="144"/>
        <v>-8.5532337283295803E-2</v>
      </c>
      <c r="AK73" s="8">
        <f t="shared" si="145"/>
        <v>3.030426053565053E-2</v>
      </c>
      <c r="AL73" s="8">
        <f t="shared" si="146"/>
        <v>2.3194918988468448E-2</v>
      </c>
      <c r="AM73" s="8">
        <f t="shared" si="147"/>
        <v>8.7727559300794664E-2</v>
      </c>
      <c r="AN73" s="8">
        <f t="shared" si="148"/>
        <v>8.9332949642950174E-2</v>
      </c>
      <c r="AO73" s="8">
        <f t="shared" si="149"/>
        <v>-1.5929627611660845E-2</v>
      </c>
      <c r="AP73" s="8">
        <f t="shared" si="150"/>
        <v>-8.557234213360021E-3</v>
      </c>
      <c r="AQ73" s="8">
        <f t="shared" si="151"/>
        <v>-9.0337714551419548E-2</v>
      </c>
      <c r="AR73" s="8">
        <f t="shared" si="152"/>
        <v>-9.0735098541677606E-2</v>
      </c>
      <c r="AS73" s="8">
        <f t="shared" si="153"/>
        <v>1.1273066965622632E-3</v>
      </c>
      <c r="AT73" s="8">
        <f t="shared" si="154"/>
        <v>-6.3102002080911608E-3</v>
      </c>
      <c r="AU73" s="8">
        <f t="shared" si="155"/>
        <v>9.0522429823165176E-2</v>
      </c>
      <c r="AV73" s="8">
        <f t="shared" si="156"/>
        <v>8.9701138262933439E-2</v>
      </c>
      <c r="AW73" s="8">
        <f t="shared" si="157"/>
        <v>1.3705280810335684E-2</v>
      </c>
      <c r="AX73" s="8">
        <f t="shared" si="158"/>
        <v>2.1008214670942334E-2</v>
      </c>
      <c r="AY73" s="8">
        <f t="shared" si="159"/>
        <v>-8.82767457720076E-2</v>
      </c>
      <c r="AZ73" s="8">
        <f t="shared" si="160"/>
        <v>-8.6258829179105614E-2</v>
      </c>
      <c r="BA73" s="8">
        <f t="shared" si="161"/>
        <v>-2.8169900894499739E-2</v>
      </c>
      <c r="BB73" s="8">
        <f t="shared" si="162"/>
        <v>-3.5142188256726811E-2</v>
      </c>
      <c r="BC73" s="8">
        <f t="shared" si="163"/>
        <v>8.3660955841329182E-2</v>
      </c>
      <c r="BD73" s="8">
        <f t="shared" si="164"/>
        <v>8.0500592424745568E-2</v>
      </c>
      <c r="BE73" s="8">
        <f t="shared" si="165"/>
        <v>4.1878198946719951E-2</v>
      </c>
      <c r="BF73" s="8">
        <f t="shared" si="166"/>
        <v>4.8332643747477436E-2</v>
      </c>
      <c r="BG73" s="8">
        <f t="shared" si="167"/>
        <v>-7.6798987468165811E-2</v>
      </c>
      <c r="BH73" s="8">
        <f t="shared" si="168"/>
        <v>-7.258102851970416E-2</v>
      </c>
      <c r="BI73" s="8">
        <f t="shared" si="169"/>
        <v>-5.4462126535583889E-2</v>
      </c>
      <c r="BJ73" s="8">
        <f t="shared" si="170"/>
        <v>-6.0225436052789384E-2</v>
      </c>
      <c r="BK73" s="8">
        <f t="shared" si="171"/>
        <v>6.7875074806643385E-2</v>
      </c>
      <c r="BL73" s="8">
        <f t="shared" si="172"/>
        <v>6.2712766563643635E-2</v>
      </c>
      <c r="BM73" s="8">
        <f t="shared" si="173"/>
        <v>6.5583822987761248E-2</v>
      </c>
      <c r="BN73" s="8">
        <f t="shared" si="174"/>
        <v>7.0501260505049956E-2</v>
      </c>
      <c r="BO73" s="8">
        <f t="shared" si="175"/>
        <v>-5.7128812301282299E-2</v>
      </c>
      <c r="BP73" s="8">
        <f t="shared" si="176"/>
        <v>-5.1160755445177508E-2</v>
      </c>
      <c r="BQ73" s="8">
        <f t="shared" si="177"/>
        <v>-7.4944686469654409E-2</v>
      </c>
      <c r="BR73" s="8">
        <f t="shared" si="178"/>
        <v>-7.8884225738550834E-2</v>
      </c>
      <c r="BS73" s="8">
        <f t="shared" si="179"/>
        <v>4.4848721914737037E-2</v>
      </c>
      <c r="BT73" s="8">
        <f t="shared" si="180"/>
        <v>3.8235150338615069E-2</v>
      </c>
      <c r="BU73" s="8">
        <f t="shared" si="181"/>
        <v>8.229339102467198E-2</v>
      </c>
      <c r="BV73" s="8">
        <f t="shared" si="182"/>
        <v>8.5149260982796543E-2</v>
      </c>
      <c r="BW73" s="8">
        <f t="shared" si="183"/>
        <v>-3.1364506720808816E-2</v>
      </c>
      <c r="BX73" s="8">
        <f t="shared" si="184"/>
        <v>-2.4282985475804351E-2</v>
      </c>
      <c r="BY73" s="8">
        <f t="shared" si="185"/>
        <v>-8.7432634320017688E-2</v>
      </c>
      <c r="BZ73" s="8">
        <f t="shared" si="186"/>
        <v>-8.9128158894642151E-2</v>
      </c>
      <c r="CA73" s="8">
        <f t="shared" si="187"/>
        <v>1.7038198842820273E-2</v>
      </c>
      <c r="CB73" s="8">
        <f t="shared" si="188"/>
        <v>9.6788567674168397E-3</v>
      </c>
      <c r="CC73" s="8">
        <f t="shared" si="189"/>
        <v>9.0224434935508954E-2</v>
      </c>
      <c r="CD73" s="8">
        <f t="shared" si="190"/>
        <v>9.071409168776165E-2</v>
      </c>
      <c r="CE73" s="8">
        <f t="shared" si="191"/>
        <v>-2.2544394026968811E-3</v>
      </c>
      <c r="CF73" s="8">
        <f t="shared" si="192"/>
        <v>5.1851355679188357E-3</v>
      </c>
      <c r="CG73" s="8">
        <f t="shared" si="193"/>
        <v>-9.0593836969731889E-2</v>
      </c>
      <c r="CH73" s="8">
        <f t="shared" si="194"/>
        <v>-8.9864479307752557E-2</v>
      </c>
      <c r="CI73" s="8">
        <f t="shared" si="195"/>
        <v>-1.2589848549628115E-2</v>
      </c>
      <c r="CJ73" s="8">
        <f t="shared" si="196"/>
        <v>-1.9909914340405507E-2</v>
      </c>
      <c r="CK73" s="8">
        <f t="shared" si="197"/>
        <v>8.8530922500072121E-2</v>
      </c>
      <c r="CL73" s="8">
        <f t="shared" si="198"/>
        <v>8.6602132646424676E-2</v>
      </c>
      <c r="CM73" s="8">
        <f t="shared" si="199"/>
        <v>2.7096116859194455E-2</v>
      </c>
      <c r="CN73" s="8">
        <f t="shared" si="200"/>
        <v>3.4100140047682491E-2</v>
      </c>
      <c r="CO73" s="8">
        <f t="shared" si="201"/>
        <v>-8.4091077864922745E-2</v>
      </c>
      <c r="CP73" s="8">
        <f t="shared" si="202"/>
        <v>-8.1014641101590915E-2</v>
      </c>
      <c r="CQ73" s="8">
        <f t="shared" si="203"/>
        <v>-4.0874892720794677E-2</v>
      </c>
      <c r="CR73" s="8">
        <f t="shared" si="204"/>
        <v>-4.73748251818168E-2</v>
      </c>
      <c r="CS73" s="8">
        <f t="shared" si="205"/>
        <v>7.7393506618762001E-2</v>
      </c>
      <c r="CT73" s="8">
        <f t="shared" si="206"/>
        <v>7.3252020925508518E-2</v>
      </c>
      <c r="CU73" s="8">
        <f t="shared" si="207"/>
        <v>5.3556235473424779E-2</v>
      </c>
      <c r="CX73">
        <v>5.0097177416354513E-2</v>
      </c>
      <c r="CY73">
        <v>0.20306631288062074</v>
      </c>
      <c r="DA73" s="21"/>
    </row>
    <row r="74" spans="1:105">
      <c r="A74" s="15">
        <v>72</v>
      </c>
      <c r="B74" s="16">
        <v>57</v>
      </c>
      <c r="C74" s="8">
        <f t="shared" si="208"/>
        <v>4.0430512678345503</v>
      </c>
      <c r="D74" s="8">
        <f t="shared" si="209"/>
        <v>4.8619354838709681</v>
      </c>
      <c r="E74" s="7">
        <f t="shared" si="210"/>
        <v>1.2916666666666665</v>
      </c>
      <c r="F74" s="8"/>
      <c r="G74" s="8"/>
      <c r="H74" s="8">
        <f t="shared" si="211"/>
        <v>1.2954259087665291E-2</v>
      </c>
      <c r="I74" s="8">
        <f t="shared" si="212"/>
        <v>-8.5976897750967687E-2</v>
      </c>
      <c r="J74" s="8">
        <f t="shared" si="213"/>
        <v>-8.308723640898226E-2</v>
      </c>
      <c r="K74" s="8">
        <f t="shared" si="214"/>
        <v>-2.5619346621422748E-2</v>
      </c>
      <c r="L74" s="8">
        <f t="shared" si="120"/>
        <v>-3.7712546081729907E-2</v>
      </c>
      <c r="M74" s="8">
        <f t="shared" si="121"/>
        <v>7.8342859556082764E-2</v>
      </c>
      <c r="N74" s="8">
        <f t="shared" si="122"/>
        <v>7.1849673583178342E-2</v>
      </c>
      <c r="O74" s="8">
        <f t="shared" si="123"/>
        <v>4.8963906925218251E-2</v>
      </c>
      <c r="P74" s="8">
        <f t="shared" si="124"/>
        <v>5.9122270557893854E-2</v>
      </c>
      <c r="Q74" s="8">
        <f t="shared" si="125"/>
        <v>-6.3752622686991542E-2</v>
      </c>
      <c r="R74" s="8">
        <f t="shared" si="126"/>
        <v>-5.4232453352047592E-2</v>
      </c>
      <c r="S74" s="8">
        <f t="shared" si="127"/>
        <v>-6.7960876824896058E-2</v>
      </c>
      <c r="T74" s="8">
        <f t="shared" si="128"/>
        <v>-7.5282425865900546E-2</v>
      </c>
      <c r="U74" s="8">
        <f t="shared" si="129"/>
        <v>4.3501679635801413E-2</v>
      </c>
      <c r="V74" s="8">
        <f t="shared" si="130"/>
        <v>3.1799839321863331E-2</v>
      </c>
      <c r="W74" s="8">
        <f t="shared" si="131"/>
        <v>8.0923482342855124E-2</v>
      </c>
      <c r="X74" s="8">
        <f t="shared" si="132"/>
        <v>8.4758123726645734E-2</v>
      </c>
      <c r="Y74" s="8">
        <f t="shared" si="133"/>
        <v>-1.9388146835871818E-2</v>
      </c>
      <c r="Z74" s="8">
        <f t="shared" si="134"/>
        <v>-6.5436622843527302E-3</v>
      </c>
      <c r="AA74" s="8">
        <f t="shared" si="135"/>
        <v>-8.6700751203775919E-2</v>
      </c>
      <c r="AB74" s="8">
        <f t="shared" si="136"/>
        <v>-8.6708000456577936E-2</v>
      </c>
      <c r="AC74" s="8">
        <f t="shared" si="137"/>
        <v>-6.4468932217613762E-3</v>
      </c>
      <c r="AD74" s="8">
        <f t="shared" si="138"/>
        <v>-1.9293537901467074E-2</v>
      </c>
      <c r="AE74" s="8">
        <f t="shared" si="139"/>
        <v>8.4779709663547254E-2</v>
      </c>
      <c r="AF74" s="8">
        <f t="shared" si="140"/>
        <v>8.0958923111603728E-2</v>
      </c>
      <c r="AG74" s="8">
        <f t="shared" si="141"/>
        <v>3.170950242435458E-2</v>
      </c>
      <c r="AH74" s="8">
        <f t="shared" si="142"/>
        <v>4.3417631321318401E-2</v>
      </c>
      <c r="AI74" s="8">
        <f t="shared" si="143"/>
        <v>-7.5330930339647217E-2</v>
      </c>
      <c r="AJ74" s="8">
        <f t="shared" si="144"/>
        <v>-6.8021362262131485E-2</v>
      </c>
      <c r="AK74" s="8">
        <f t="shared" si="145"/>
        <v>-5.4156569789773311E-2</v>
      </c>
      <c r="AL74" s="8">
        <f t="shared" si="146"/>
        <v>-6.3686597788362928E-2</v>
      </c>
      <c r="AM74" s="8">
        <f t="shared" si="147"/>
        <v>5.9193386771952808E-2</v>
      </c>
      <c r="AN74" s="8">
        <f t="shared" si="148"/>
        <v>4.9044066423833896E-2</v>
      </c>
      <c r="AO74" s="8">
        <f t="shared" si="149"/>
        <v>7.1794981189532189E-2</v>
      </c>
      <c r="AP74" s="8">
        <f t="shared" si="150"/>
        <v>7.8300720538821422E-2</v>
      </c>
      <c r="AQ74" s="8">
        <f t="shared" si="151"/>
        <v>-3.7799959503842094E-2</v>
      </c>
      <c r="AR74" s="8">
        <f t="shared" si="152"/>
        <v>-2.5712062680203714E-2</v>
      </c>
      <c r="AS74" s="8">
        <f t="shared" si="153"/>
        <v>-8.3058591416661928E-2</v>
      </c>
      <c r="AT74" s="8">
        <f t="shared" si="154"/>
        <v>-8.5962386211662078E-2</v>
      </c>
      <c r="AU74" s="8">
        <f t="shared" si="155"/>
        <v>1.3050208128139564E-2</v>
      </c>
      <c r="AV74" s="8">
        <f t="shared" si="156"/>
        <v>9.7040198930759187E-5</v>
      </c>
      <c r="AW74" s="8">
        <f t="shared" si="157"/>
        <v>8.6947284940879582E-2</v>
      </c>
      <c r="AX74" s="8">
        <f t="shared" si="158"/>
        <v>8.5991302194416197E-2</v>
      </c>
      <c r="AY74" s="8">
        <f t="shared" si="159"/>
        <v>1.2858293910908401E-2</v>
      </c>
      <c r="AZ74" s="8">
        <f t="shared" si="160"/>
        <v>2.5526598650278873E-2</v>
      </c>
      <c r="BA74" s="8">
        <f t="shared" si="161"/>
        <v>-8.3115777904909802E-2</v>
      </c>
      <c r="BB74" s="8">
        <f t="shared" si="162"/>
        <v>-7.8384900986714273E-2</v>
      </c>
      <c r="BC74" s="8">
        <f t="shared" si="163"/>
        <v>-3.762508568353979E-2</v>
      </c>
      <c r="BD74" s="8">
        <f t="shared" si="164"/>
        <v>-4.8883686435433185E-2</v>
      </c>
      <c r="BE74" s="8">
        <f t="shared" si="165"/>
        <v>7.1904276478335818E-2</v>
      </c>
      <c r="BF74" s="8">
        <f t="shared" si="166"/>
        <v>6.3818568173104093E-2</v>
      </c>
      <c r="BG74" s="8">
        <f t="shared" si="167"/>
        <v>5.9051080699048832E-2</v>
      </c>
      <c r="BH74" s="8">
        <f t="shared" si="168"/>
        <v>6.7900306733194735E-2</v>
      </c>
      <c r="BI74" s="8">
        <f t="shared" si="169"/>
        <v>-5.4308269360464623E-2</v>
      </c>
      <c r="BJ74" s="8">
        <f t="shared" si="170"/>
        <v>-4.3585673763057498E-2</v>
      </c>
      <c r="BK74" s="8">
        <f t="shared" si="171"/>
        <v>-7.5233827617708193E-2</v>
      </c>
      <c r="BL74" s="8">
        <f t="shared" si="172"/>
        <v>-8.0887940772961672E-2</v>
      </c>
      <c r="BM74" s="8">
        <f t="shared" si="173"/>
        <v>3.1890136608370881E-2</v>
      </c>
      <c r="BN74" s="8">
        <f t="shared" si="174"/>
        <v>1.9482731619715626E-2</v>
      </c>
      <c r="BO74" s="8">
        <f t="shared" si="175"/>
        <v>8.4736432212035251E-2</v>
      </c>
      <c r="BP74" s="8">
        <f t="shared" si="176"/>
        <v>8.669339395345925E-2</v>
      </c>
      <c r="BQ74" s="8">
        <f t="shared" si="177"/>
        <v>-6.6404231959287094E-3</v>
      </c>
      <c r="BR74" s="8">
        <f t="shared" si="178"/>
        <v>6.3501161286923739E-3</v>
      </c>
      <c r="BS74" s="8">
        <f t="shared" si="179"/>
        <v>-8.6715141702835466E-2</v>
      </c>
      <c r="BT74" s="8">
        <f t="shared" si="180"/>
        <v>-8.4801189995850887E-2</v>
      </c>
      <c r="BU74" s="8">
        <f t="shared" si="181"/>
        <v>-1.9198904934352643E-2</v>
      </c>
      <c r="BV74" s="8">
        <f t="shared" si="182"/>
        <v>-3.1619126028370304E-2</v>
      </c>
      <c r="BW74" s="8">
        <f t="shared" si="183"/>
        <v>8.0994263035061603E-2</v>
      </c>
      <c r="BX74" s="8">
        <f t="shared" si="184"/>
        <v>7.5379340978529663E-2</v>
      </c>
      <c r="BY74" s="8">
        <f t="shared" si="185"/>
        <v>4.3333528924301479E-2</v>
      </c>
      <c r="BZ74" s="8">
        <f t="shared" si="186"/>
        <v>5.4080618768164036E-2</v>
      </c>
      <c r="CA74" s="8">
        <f t="shared" si="187"/>
        <v>-6.8081762969559007E-2</v>
      </c>
      <c r="CB74" s="8">
        <f t="shared" si="188"/>
        <v>-5.9264429252640805E-2</v>
      </c>
      <c r="CC74" s="8">
        <f t="shared" si="189"/>
        <v>-6.3620493559461214E-2</v>
      </c>
      <c r="CD74" s="8">
        <f t="shared" si="190"/>
        <v>-7.1740199365525351E-2</v>
      </c>
      <c r="CE74" s="8">
        <f t="shared" si="191"/>
        <v>4.9124164831428806E-2</v>
      </c>
      <c r="CF74" s="8">
        <f t="shared" si="192"/>
        <v>3.7887325840990554E-2</v>
      </c>
      <c r="CG74" s="8">
        <f t="shared" si="193"/>
        <v>7.8258483987420316E-2</v>
      </c>
      <c r="CH74" s="8">
        <f t="shared" si="194"/>
        <v>8.3029842963629627E-2</v>
      </c>
      <c r="CI74" s="8">
        <f t="shared" si="195"/>
        <v>-2.5804746711132708E-2</v>
      </c>
      <c r="CJ74" s="8">
        <f t="shared" si="196"/>
        <v>-1.3146140912815622E-2</v>
      </c>
      <c r="CK74" s="8">
        <f t="shared" si="197"/>
        <v>-8.5947767594575189E-2</v>
      </c>
      <c r="CL74" s="8">
        <f t="shared" si="198"/>
        <v>-8.6947122483937309E-2</v>
      </c>
      <c r="CM74" s="8">
        <f t="shared" si="199"/>
        <v>1.9408027698482298E-4</v>
      </c>
      <c r="CN74" s="8">
        <f t="shared" si="200"/>
        <v>-1.276231271740842E-2</v>
      </c>
      <c r="CO74" s="8">
        <f t="shared" si="201"/>
        <v>8.6005599524064641E-2</v>
      </c>
      <c r="CP74" s="8">
        <f t="shared" si="202"/>
        <v>8.3144215868891869E-2</v>
      </c>
      <c r="CQ74" s="8">
        <f t="shared" si="203"/>
        <v>2.5433818882303571E-2</v>
      </c>
      <c r="CR74" s="8">
        <f t="shared" si="204"/>
        <v>3.7537578418217178E-2</v>
      </c>
      <c r="CS74" s="8">
        <f t="shared" si="205"/>
        <v>-7.8426844778346827E-2</v>
      </c>
      <c r="CT74" s="8">
        <f t="shared" si="206"/>
        <v>-7.1958789806990553E-2</v>
      </c>
      <c r="CU74" s="8">
        <f t="shared" si="207"/>
        <v>-4.8803405054402345E-2</v>
      </c>
      <c r="DA74" s="20">
        <v>1.3246017352740165E-3</v>
      </c>
    </row>
    <row r="75" spans="1:105">
      <c r="A75" s="15">
        <v>73</v>
      </c>
      <c r="B75" s="16">
        <v>57</v>
      </c>
      <c r="C75" s="8">
        <f t="shared" si="208"/>
        <v>4.0430512678345503</v>
      </c>
      <c r="D75" s="8">
        <f t="shared" si="209"/>
        <v>4.9294623655913981</v>
      </c>
      <c r="E75" s="7">
        <f t="shared" si="210"/>
        <v>1.273972602739726</v>
      </c>
      <c r="F75" s="8"/>
      <c r="G75" s="8"/>
      <c r="H75" s="8">
        <f t="shared" si="211"/>
        <v>1.8726075933018883E-2</v>
      </c>
      <c r="I75" s="8">
        <f t="shared" si="212"/>
        <v>-8.4906853996255929E-2</v>
      </c>
      <c r="J75" s="8">
        <f t="shared" si="213"/>
        <v>-7.8881171145897128E-2</v>
      </c>
      <c r="K75" s="8">
        <f t="shared" si="214"/>
        <v>-3.6573222636819946E-2</v>
      </c>
      <c r="L75" s="8">
        <f t="shared" si="120"/>
        <v>-5.2703764404425528E-2</v>
      </c>
      <c r="M75" s="8">
        <f t="shared" si="121"/>
        <v>6.9153112677547063E-2</v>
      </c>
      <c r="N75" s="8">
        <f t="shared" si="122"/>
        <v>5.6179275849593258E-2</v>
      </c>
      <c r="O75" s="8">
        <f t="shared" si="123"/>
        <v>6.6360596293327717E-2</v>
      </c>
      <c r="P75" s="8">
        <f t="shared" si="124"/>
        <v>7.6902719689155533E-2</v>
      </c>
      <c r="Q75" s="8">
        <f t="shared" si="125"/>
        <v>-4.056860214256687E-2</v>
      </c>
      <c r="R75" s="8">
        <f t="shared" si="126"/>
        <v>-2.3053795912573498E-2</v>
      </c>
      <c r="S75" s="8">
        <f t="shared" si="127"/>
        <v>-8.3835328289523156E-2</v>
      </c>
      <c r="T75" s="8">
        <f t="shared" si="128"/>
        <v>-8.6833032388899903E-2</v>
      </c>
      <c r="U75" s="8">
        <f t="shared" si="129"/>
        <v>4.4569340963238136E-3</v>
      </c>
      <c r="V75" s="8">
        <f t="shared" si="130"/>
        <v>-1.4349118885441185E-2</v>
      </c>
      <c r="W75" s="8">
        <f t="shared" si="131"/>
        <v>8.5755131406827112E-2</v>
      </c>
      <c r="X75" s="8">
        <f t="shared" si="132"/>
        <v>8.0652217826360811E-2</v>
      </c>
      <c r="Y75" s="8">
        <f t="shared" si="133"/>
        <v>3.2481679991650046E-2</v>
      </c>
      <c r="Z75" s="8">
        <f t="shared" si="134"/>
        <v>4.9089677272480987E-2</v>
      </c>
      <c r="AA75" s="8">
        <f t="shared" si="135"/>
        <v>-7.1763802579534311E-2</v>
      </c>
      <c r="AB75" s="8">
        <f t="shared" si="136"/>
        <v>-5.9507073335019089E-2</v>
      </c>
      <c r="AC75" s="8">
        <f t="shared" si="137"/>
        <v>-6.3393595879168832E-2</v>
      </c>
      <c r="AD75" s="8">
        <f t="shared" si="138"/>
        <v>-7.4722065461580472E-2</v>
      </c>
      <c r="AE75" s="8">
        <f t="shared" si="139"/>
        <v>4.4457313330272169E-2</v>
      </c>
      <c r="AF75" s="8">
        <f t="shared" si="140"/>
        <v>2.732089981209038E-2</v>
      </c>
      <c r="AG75" s="8">
        <f t="shared" si="141"/>
        <v>8.254337168330618E-2</v>
      </c>
      <c r="AH75" s="8">
        <f t="shared" si="142"/>
        <v>8.6490412826210381E-2</v>
      </c>
      <c r="AI75" s="8">
        <f t="shared" si="143"/>
        <v>-8.9021494338398545E-3</v>
      </c>
      <c r="AJ75" s="8">
        <f t="shared" si="144"/>
        <v>9.9344332424454052E-3</v>
      </c>
      <c r="AK75" s="8">
        <f t="shared" si="145"/>
        <v>-8.6377930118416879E-2</v>
      </c>
      <c r="AL75" s="8">
        <f t="shared" si="146"/>
        <v>-8.2211203061087937E-2</v>
      </c>
      <c r="AM75" s="8">
        <f t="shared" si="147"/>
        <v>-2.8304732230481824E-2</v>
      </c>
      <c r="AN75" s="8">
        <f t="shared" si="148"/>
        <v>-4.5346517088193185E-2</v>
      </c>
      <c r="AO75" s="8">
        <f t="shared" si="149"/>
        <v>7.4185801629158901E-2</v>
      </c>
      <c r="AP75" s="8">
        <f t="shared" si="150"/>
        <v>6.2678406976758139E-2</v>
      </c>
      <c r="AQ75" s="8">
        <f t="shared" si="151"/>
        <v>6.0259912663781619E-2</v>
      </c>
      <c r="AR75" s="8">
        <f t="shared" si="152"/>
        <v>7.2344942126803077E-2</v>
      </c>
      <c r="AS75" s="8">
        <f t="shared" si="153"/>
        <v>-4.8229131487724577E-2</v>
      </c>
      <c r="AT75" s="8">
        <f t="shared" si="154"/>
        <v>-3.1516167999347568E-2</v>
      </c>
      <c r="AU75" s="8">
        <f t="shared" si="155"/>
        <v>-8.1034381160268093E-2</v>
      </c>
      <c r="AV75" s="8">
        <f t="shared" si="156"/>
        <v>-8.5920381265678983E-2</v>
      </c>
      <c r="AW75" s="8">
        <f t="shared" si="157"/>
        <v>1.332395806624561E-2</v>
      </c>
      <c r="AX75" s="8">
        <f t="shared" si="158"/>
        <v>-5.4936266776368725E-3</v>
      </c>
      <c r="AY75" s="8">
        <f t="shared" si="159"/>
        <v>8.6773612586531559E-2</v>
      </c>
      <c r="AZ75" s="8">
        <f t="shared" si="160"/>
        <v>8.3554027760535096E-2</v>
      </c>
      <c r="BA75" s="8">
        <f t="shared" si="161"/>
        <v>2.4053361935131679E-2</v>
      </c>
      <c r="BB75" s="8">
        <f t="shared" si="162"/>
        <v>4.1484125861882104E-2</v>
      </c>
      <c r="BC75" s="8">
        <f t="shared" si="163"/>
        <v>-7.6412741587160937E-2</v>
      </c>
      <c r="BD75" s="8">
        <f t="shared" si="164"/>
        <v>-6.5684938286233924E-2</v>
      </c>
      <c r="BE75" s="8">
        <f t="shared" si="165"/>
        <v>-5.6967786140277137E-2</v>
      </c>
      <c r="BF75" s="8">
        <f t="shared" si="166"/>
        <v>-6.9777599930939266E-2</v>
      </c>
      <c r="BG75" s="8">
        <f t="shared" si="167"/>
        <v>5.187413925327819E-2</v>
      </c>
      <c r="BH75" s="8">
        <f t="shared" si="168"/>
        <v>3.56285697220469E-2</v>
      </c>
      <c r="BI75" s="8">
        <f t="shared" si="169"/>
        <v>7.9312324357264652E-2</v>
      </c>
      <c r="BJ75" s="8">
        <f t="shared" si="170"/>
        <v>8.5124436509447524E-2</v>
      </c>
      <c r="BK75" s="8">
        <f t="shared" si="171"/>
        <v>-1.7710733591236434E-2</v>
      </c>
      <c r="BL75" s="8">
        <f t="shared" si="172"/>
        <v>1.0383755451897345E-3</v>
      </c>
      <c r="BM75" s="8">
        <f t="shared" si="173"/>
        <v>-8.6941138430652404E-2</v>
      </c>
      <c r="BN75" s="8">
        <f t="shared" si="174"/>
        <v>-8.4677161192940303E-2</v>
      </c>
      <c r="BO75" s="8">
        <f t="shared" si="175"/>
        <v>-1.9738747368957244E-2</v>
      </c>
      <c r="BP75" s="8">
        <f t="shared" si="176"/>
        <v>-3.7512659101847576E-2</v>
      </c>
      <c r="BQ75" s="8">
        <f t="shared" si="177"/>
        <v>7.8438767089362676E-2</v>
      </c>
      <c r="BR75" s="8">
        <f t="shared" si="178"/>
        <v>6.8518762094894062E-2</v>
      </c>
      <c r="BS75" s="8">
        <f t="shared" si="179"/>
        <v>5.3525872401802295E-2</v>
      </c>
      <c r="BT75" s="8">
        <f t="shared" si="180"/>
        <v>6.7026789268611775E-2</v>
      </c>
      <c r="BU75" s="8">
        <f t="shared" si="181"/>
        <v>-5.5382752691896971E-2</v>
      </c>
      <c r="BV75" s="8">
        <f t="shared" si="182"/>
        <v>-3.9647292111324443E-2</v>
      </c>
      <c r="BW75" s="8">
        <f t="shared" si="183"/>
        <v>-7.7381729133110116E-2</v>
      </c>
      <c r="BX75" s="8">
        <f t="shared" si="184"/>
        <v>-8.4104671360420741E-2</v>
      </c>
      <c r="BY75" s="8">
        <f t="shared" si="185"/>
        <v>2.2050941720170032E-2</v>
      </c>
      <c r="BZ75" s="8">
        <f t="shared" si="186"/>
        <v>3.4196058211600094E-3</v>
      </c>
      <c r="CA75" s="8">
        <f t="shared" si="187"/>
        <v>8.6880067169740394E-2</v>
      </c>
      <c r="CB75" s="8">
        <f t="shared" si="188"/>
        <v>8.5577650267788685E-2</v>
      </c>
      <c r="CC75" s="8">
        <f t="shared" si="189"/>
        <v>1.5372233085494106E-2</v>
      </c>
      <c r="CD75" s="8">
        <f t="shared" si="190"/>
        <v>3.3442559112164115E-2</v>
      </c>
      <c r="CE75" s="8">
        <f t="shared" si="191"/>
        <v>-8.0258551042366316E-2</v>
      </c>
      <c r="CF75" s="8">
        <f t="shared" si="192"/>
        <v>-7.1172427339518063E-2</v>
      </c>
      <c r="CG75" s="8">
        <f t="shared" si="193"/>
        <v>-4.9943221381802488E-2</v>
      </c>
      <c r="CH75" s="8">
        <f t="shared" si="194"/>
        <v>-6.4099742933931336E-2</v>
      </c>
      <c r="CI75" s="8">
        <f t="shared" si="195"/>
        <v>5.8745746494487855E-2</v>
      </c>
      <c r="CJ75" s="8">
        <f t="shared" si="196"/>
        <v>4.356176861237869E-2</v>
      </c>
      <c r="CK75" s="8">
        <f t="shared" si="197"/>
        <v>7.5247671663329824E-2</v>
      </c>
      <c r="CL75" s="8">
        <f t="shared" si="198"/>
        <v>8.2863767119593257E-2</v>
      </c>
      <c r="CM75" s="8">
        <f t="shared" si="199"/>
        <v>-2.6333170605540974E-2</v>
      </c>
      <c r="CN75" s="8">
        <f t="shared" si="200"/>
        <v>-7.8685959089829088E-3</v>
      </c>
      <c r="CO75" s="8">
        <f t="shared" si="201"/>
        <v>-8.6590559380407328E-2</v>
      </c>
      <c r="CP75" s="8">
        <f t="shared" si="202"/>
        <v>-8.6253127300469079E-2</v>
      </c>
      <c r="CQ75" s="8">
        <f t="shared" si="203"/>
        <v>-1.0965300099850668E-2</v>
      </c>
      <c r="CR75" s="8">
        <f t="shared" si="204"/>
        <v>-2.9284527536401535E-2</v>
      </c>
      <c r="CS75" s="8">
        <f t="shared" si="205"/>
        <v>8.1867308630249061E-2</v>
      </c>
      <c r="CT75" s="8">
        <f t="shared" si="206"/>
        <v>7.3638956653538173E-2</v>
      </c>
      <c r="CU75" s="8">
        <f t="shared" si="207"/>
        <v>4.622925305874017E-2</v>
      </c>
      <c r="CX75">
        <v>4.9746102492497647E-2</v>
      </c>
      <c r="CY75">
        <v>0.20163687237483632</v>
      </c>
      <c r="DA75" s="21"/>
    </row>
    <row r="76" spans="1:105">
      <c r="A76" s="15">
        <v>74</v>
      </c>
      <c r="B76" s="16">
        <v>49</v>
      </c>
      <c r="C76" s="8">
        <f t="shared" si="208"/>
        <v>3.8918202981106265</v>
      </c>
      <c r="D76" s="8">
        <f t="shared" si="209"/>
        <v>4.996989247311828</v>
      </c>
      <c r="E76" s="7">
        <f t="shared" si="210"/>
        <v>1.2567567567567568</v>
      </c>
      <c r="F76" s="8"/>
      <c r="G76" s="8"/>
      <c r="H76" s="8">
        <f t="shared" si="211"/>
        <v>2.3499381788892514E-2</v>
      </c>
      <c r="I76" s="8">
        <f t="shared" si="212"/>
        <v>-8.0328339663782417E-2</v>
      </c>
      <c r="J76" s="8">
        <f t="shared" si="213"/>
        <v>-7.0499037773355783E-2</v>
      </c>
      <c r="K76" s="8">
        <f t="shared" si="214"/>
        <v>-4.5108189618195599E-2</v>
      </c>
      <c r="L76" s="8">
        <f t="shared" si="120"/>
        <v>-6.3087950120956179E-2</v>
      </c>
      <c r="M76" s="8">
        <f t="shared" si="121"/>
        <v>5.4997942208194296E-2</v>
      </c>
      <c r="N76" s="8">
        <f t="shared" si="122"/>
        <v>3.5072148227393574E-2</v>
      </c>
      <c r="O76" s="8">
        <f t="shared" si="123"/>
        <v>7.5992154307638018E-2</v>
      </c>
      <c r="P76" s="8">
        <f t="shared" si="124"/>
        <v>8.2782632211740384E-2</v>
      </c>
      <c r="Q76" s="8">
        <f t="shared" si="125"/>
        <v>-1.232472724630675E-2</v>
      </c>
      <c r="R76" s="8">
        <f t="shared" si="126"/>
        <v>1.1414243580654328E-2</v>
      </c>
      <c r="S76" s="8">
        <f t="shared" si="127"/>
        <v>-8.2913075814865442E-2</v>
      </c>
      <c r="T76" s="8">
        <f t="shared" si="128"/>
        <v>-7.6372990658840803E-2</v>
      </c>
      <c r="U76" s="8">
        <f t="shared" si="129"/>
        <v>-3.4234914859317962E-2</v>
      </c>
      <c r="V76" s="8">
        <f t="shared" si="130"/>
        <v>-5.4301316297046112E-2</v>
      </c>
      <c r="W76" s="8">
        <f t="shared" si="131"/>
        <v>6.3688540146625172E-2</v>
      </c>
      <c r="X76" s="8">
        <f t="shared" si="132"/>
        <v>4.5880214606242163E-2</v>
      </c>
      <c r="Y76" s="8">
        <f t="shared" si="133"/>
        <v>6.9999064317212811E-2</v>
      </c>
      <c r="Z76" s="8">
        <f t="shared" si="134"/>
        <v>8.0065242563220271E-2</v>
      </c>
      <c r="AA76" s="8">
        <f t="shared" si="135"/>
        <v>-2.4380730729263084E-2</v>
      </c>
      <c r="AB76" s="8">
        <f t="shared" si="136"/>
        <v>-9.1976654413791997E-4</v>
      </c>
      <c r="AC76" s="8">
        <f t="shared" si="137"/>
        <v>-8.3690006136362655E-2</v>
      </c>
      <c r="AD76" s="8">
        <f t="shared" si="138"/>
        <v>-8.0581735296060275E-2</v>
      </c>
      <c r="AE76" s="8">
        <f t="shared" si="139"/>
        <v>-2.2615194765374175E-2</v>
      </c>
      <c r="AF76" s="8">
        <f t="shared" si="140"/>
        <v>-4.4330716793523142E-2</v>
      </c>
      <c r="AG76" s="8">
        <f t="shared" si="141"/>
        <v>7.0990496872275655E-2</v>
      </c>
      <c r="AH76" s="8">
        <f t="shared" si="142"/>
        <v>5.5687925870862978E-2</v>
      </c>
      <c r="AI76" s="8">
        <f t="shared" si="143"/>
        <v>6.2479740794928101E-2</v>
      </c>
      <c r="AJ76" s="8">
        <f t="shared" si="144"/>
        <v>7.5602140180846364E-2</v>
      </c>
      <c r="AK76" s="8">
        <f t="shared" si="145"/>
        <v>-3.5905145838386304E-2</v>
      </c>
      <c r="AL76" s="8">
        <f t="shared" si="146"/>
        <v>-1.3233722421707892E-2</v>
      </c>
      <c r="AM76" s="8">
        <f t="shared" si="147"/>
        <v>-8.2642190728860268E-2</v>
      </c>
      <c r="AN76" s="8">
        <f t="shared" si="148"/>
        <v>-8.3033505784212841E-2</v>
      </c>
      <c r="AO76" s="8">
        <f t="shared" si="149"/>
        <v>-1.0502381386296483E-2</v>
      </c>
      <c r="AP76" s="8">
        <f t="shared" si="150"/>
        <v>-3.3393546849071948E-2</v>
      </c>
      <c r="AQ76" s="8">
        <f t="shared" si="151"/>
        <v>7.6744603239830303E-2</v>
      </c>
      <c r="AR76" s="8">
        <f t="shared" si="152"/>
        <v>6.4281438337073227E-2</v>
      </c>
      <c r="AS76" s="8">
        <f t="shared" si="153"/>
        <v>5.3598132270790806E-2</v>
      </c>
      <c r="AT76" s="8">
        <f t="shared" si="154"/>
        <v>6.9490636886977139E-2</v>
      </c>
      <c r="AU76" s="8">
        <f t="shared" si="155"/>
        <v>-4.6646698518141926E-2</v>
      </c>
      <c r="AV76" s="8">
        <f t="shared" si="156"/>
        <v>-2.5259135143618022E-2</v>
      </c>
      <c r="AW76" s="8">
        <f t="shared" si="157"/>
        <v>-7.9792475769314072E-2</v>
      </c>
      <c r="AX76" s="8">
        <f t="shared" si="158"/>
        <v>-8.3674844632574033E-2</v>
      </c>
      <c r="AY76" s="8">
        <f t="shared" si="159"/>
        <v>1.8394220056119365E-3</v>
      </c>
      <c r="AZ76" s="8">
        <f t="shared" si="160"/>
        <v>-2.172827644433753E-2</v>
      </c>
      <c r="BA76" s="8">
        <f t="shared" si="161"/>
        <v>8.0825398856786232E-2</v>
      </c>
      <c r="BB76" s="8">
        <f t="shared" si="162"/>
        <v>7.1473382259143875E-2</v>
      </c>
      <c r="BC76" s="8">
        <f t="shared" si="163"/>
        <v>4.3547890029695245E-2</v>
      </c>
      <c r="BD76" s="8">
        <f t="shared" si="164"/>
        <v>6.1863985623607697E-2</v>
      </c>
      <c r="BE76" s="8">
        <f t="shared" si="165"/>
        <v>-5.637118395388014E-2</v>
      </c>
      <c r="BF76" s="8">
        <f t="shared" si="166"/>
        <v>-3.6733807088946906E-2</v>
      </c>
      <c r="BG76" s="8">
        <f t="shared" si="167"/>
        <v>-7.5202995381514995E-2</v>
      </c>
      <c r="BH76" s="8">
        <f t="shared" si="168"/>
        <v>-8.2491768327718165E-2</v>
      </c>
      <c r="BI76" s="8">
        <f t="shared" si="169"/>
        <v>1.4141119325082014E-2</v>
      </c>
      <c r="BJ76" s="8">
        <f t="shared" si="170"/>
        <v>-9.5892507912664869E-3</v>
      </c>
      <c r="BK76" s="8">
        <f t="shared" si="171"/>
        <v>8.3143907575133416E-2</v>
      </c>
      <c r="BL76" s="8">
        <f t="shared" si="172"/>
        <v>7.7106947169962928E-2</v>
      </c>
      <c r="BM76" s="8">
        <f t="shared" si="173"/>
        <v>3.2548145810916473E-2</v>
      </c>
      <c r="BN76" s="8">
        <f t="shared" si="174"/>
        <v>5.2888475054843571E-2</v>
      </c>
      <c r="BO76" s="8">
        <f t="shared" si="175"/>
        <v>-6.4866573086400384E-2</v>
      </c>
      <c r="BP76" s="8">
        <f t="shared" si="176"/>
        <v>-4.7407548783583067E-2</v>
      </c>
      <c r="BQ76" s="8">
        <f t="shared" si="177"/>
        <v>-6.8973816886789191E-2</v>
      </c>
      <c r="BR76" s="8">
        <f t="shared" si="178"/>
        <v>-7.9510072224838496E-2</v>
      </c>
      <c r="BS76" s="8">
        <f t="shared" si="179"/>
        <v>2.6134488944708618E-2</v>
      </c>
      <c r="BT76" s="8">
        <f t="shared" si="180"/>
        <v>2.7588553151738958E-3</v>
      </c>
      <c r="BU76" s="8">
        <f t="shared" si="181"/>
        <v>8.364957749415157E-2</v>
      </c>
      <c r="BV76" s="8">
        <f t="shared" si="182"/>
        <v>8.1059300918060725E-2</v>
      </c>
      <c r="BW76" s="8">
        <f t="shared" si="183"/>
        <v>2.0838733941278983E-2</v>
      </c>
      <c r="BX76" s="8">
        <f t="shared" si="184"/>
        <v>4.2759803870792923E-2</v>
      </c>
      <c r="BY76" s="8">
        <f t="shared" si="185"/>
        <v>-7.1947635614601366E-2</v>
      </c>
      <c r="BZ76" s="8">
        <f t="shared" si="186"/>
        <v>-5.7047633938340447E-2</v>
      </c>
      <c r="CA76" s="8">
        <f t="shared" si="187"/>
        <v>-6.1240758973393199E-2</v>
      </c>
      <c r="CB76" s="8">
        <f t="shared" si="188"/>
        <v>-7.4794768115427041E-2</v>
      </c>
      <c r="CC76" s="8">
        <f t="shared" si="189"/>
        <v>3.7558031899443699E-2</v>
      </c>
      <c r="CD76" s="8">
        <f t="shared" si="190"/>
        <v>1.5046808367677446E-2</v>
      </c>
      <c r="CE76" s="8">
        <f t="shared" si="191"/>
        <v>8.233138317522988E-2</v>
      </c>
      <c r="CF76" s="8">
        <f t="shared" si="192"/>
        <v>8.3244267854107531E-2</v>
      </c>
      <c r="CG76" s="8">
        <f t="shared" si="193"/>
        <v>8.674962076789295E-3</v>
      </c>
      <c r="CH76" s="8">
        <f t="shared" si="194"/>
        <v>3.1698813846197271E-2</v>
      </c>
      <c r="CI76" s="8">
        <f t="shared" si="195"/>
        <v>-7.7459978687992578E-2</v>
      </c>
      <c r="CJ76" s="8">
        <f t="shared" si="196"/>
        <v>-6.5443873726319393E-2</v>
      </c>
      <c r="CK76" s="8">
        <f t="shared" si="197"/>
        <v>-5.2172430356402746E-2</v>
      </c>
      <c r="CL76" s="8">
        <f t="shared" si="198"/>
        <v>-6.8448666734381408E-2</v>
      </c>
      <c r="CM76" s="8">
        <f t="shared" si="199"/>
        <v>4.816267351264588E-2</v>
      </c>
      <c r="CN76" s="8">
        <f t="shared" si="200"/>
        <v>2.700668641371665E-2</v>
      </c>
      <c r="CO76" s="8">
        <f t="shared" si="201"/>
        <v>7.9218066036424464E-2</v>
      </c>
      <c r="CP76" s="8">
        <f t="shared" si="202"/>
        <v>8.3614207772675128E-2</v>
      </c>
      <c r="CQ76" s="8">
        <f t="shared" si="203"/>
        <v>-3.677955430405526E-3</v>
      </c>
      <c r="CR76" s="8">
        <f t="shared" si="204"/>
        <v>1.9946674688624225E-2</v>
      </c>
      <c r="CS76" s="8">
        <f t="shared" si="205"/>
        <v>-8.1283413230906654E-2</v>
      </c>
      <c r="CT76" s="8">
        <f t="shared" si="206"/>
        <v>-7.2413199661802805E-2</v>
      </c>
      <c r="CU76" s="8">
        <f t="shared" si="207"/>
        <v>-4.196655349608798E-2</v>
      </c>
      <c r="DA76" s="20">
        <v>1.080144745622868E-3</v>
      </c>
    </row>
    <row r="77" spans="1:105">
      <c r="A77" s="15">
        <v>75</v>
      </c>
      <c r="B77" s="16">
        <v>36</v>
      </c>
      <c r="C77" s="8">
        <f t="shared" si="208"/>
        <v>3.5835189384561099</v>
      </c>
      <c r="D77" s="8">
        <f t="shared" si="209"/>
        <v>5.064516129032258</v>
      </c>
      <c r="E77" s="7">
        <f t="shared" si="210"/>
        <v>1.24</v>
      </c>
      <c r="F77" s="8"/>
      <c r="G77" s="8"/>
      <c r="H77" s="8">
        <f t="shared" si="211"/>
        <v>2.6579323372277162E-2</v>
      </c>
      <c r="I77" s="8">
        <f t="shared" si="212"/>
        <v>-7.2336311689912405E-2</v>
      </c>
      <c r="J77" s="8">
        <f t="shared" si="213"/>
        <v>-5.8730760478797828E-2</v>
      </c>
      <c r="K77" s="8">
        <f t="shared" si="214"/>
        <v>-4.9896895628989954E-2</v>
      </c>
      <c r="L77" s="8">
        <f t="shared" si="120"/>
        <v>-6.7091239965205288E-2</v>
      </c>
      <c r="M77" s="8">
        <f t="shared" si="121"/>
        <v>3.791791054052792E-2</v>
      </c>
      <c r="N77" s="8">
        <f t="shared" si="122"/>
        <v>1.245186513625012E-2</v>
      </c>
      <c r="O77" s="8">
        <f t="shared" si="123"/>
        <v>7.6052307489364687E-2</v>
      </c>
      <c r="P77" s="8">
        <f t="shared" si="124"/>
        <v>7.5680417386264992E-2</v>
      </c>
      <c r="Q77" s="8">
        <f t="shared" si="125"/>
        <v>1.4542243433148722E-2</v>
      </c>
      <c r="R77" s="8">
        <f t="shared" si="126"/>
        <v>3.9751762602865968E-2</v>
      </c>
      <c r="S77" s="8">
        <f t="shared" si="127"/>
        <v>-6.602120712160317E-2</v>
      </c>
      <c r="T77" s="8">
        <f t="shared" si="128"/>
        <v>-4.82600319211293E-2</v>
      </c>
      <c r="U77" s="8">
        <f t="shared" si="129"/>
        <v>-6.0083040359154752E-2</v>
      </c>
      <c r="V77" s="8">
        <f t="shared" si="130"/>
        <v>-7.3041070829457891E-2</v>
      </c>
      <c r="W77" s="8">
        <f t="shared" si="131"/>
        <v>2.4576500806956929E-2</v>
      </c>
      <c r="X77" s="8">
        <f t="shared" si="132"/>
        <v>-2.1229998185902589E-3</v>
      </c>
      <c r="Y77" s="8">
        <f t="shared" si="133"/>
        <v>7.7035675447149177E-2</v>
      </c>
      <c r="Z77" s="8">
        <f t="shared" si="134"/>
        <v>7.1576645869243394E-2</v>
      </c>
      <c r="AA77" s="8">
        <f t="shared" si="135"/>
        <v>2.8561970974307065E-2</v>
      </c>
      <c r="AB77" s="8">
        <f t="shared" si="136"/>
        <v>5.1495885233604828E-2</v>
      </c>
      <c r="AC77" s="8">
        <f t="shared" si="137"/>
        <v>-5.7333901174049177E-2</v>
      </c>
      <c r="AD77" s="8">
        <f t="shared" si="138"/>
        <v>-3.6055276991073852E-2</v>
      </c>
      <c r="AE77" s="8">
        <f t="shared" si="139"/>
        <v>-6.8110347385145376E-2</v>
      </c>
      <c r="AF77" s="8">
        <f t="shared" si="140"/>
        <v>-7.6366470294811584E-2</v>
      </c>
      <c r="AG77" s="8">
        <f t="shared" si="141"/>
        <v>1.0352035284903997E-2</v>
      </c>
      <c r="AH77" s="8">
        <f t="shared" si="142"/>
        <v>-1.6621583479626289E-2</v>
      </c>
      <c r="AI77" s="8">
        <f t="shared" si="143"/>
        <v>7.5251082267686037E-2</v>
      </c>
      <c r="AJ77" s="8">
        <f t="shared" si="144"/>
        <v>6.4901061059865608E-2</v>
      </c>
      <c r="AK77" s="8">
        <f t="shared" si="145"/>
        <v>4.1555441197655862E-2</v>
      </c>
      <c r="AL77" s="8">
        <f t="shared" si="146"/>
        <v>6.1389714370745592E-2</v>
      </c>
      <c r="AM77" s="8">
        <f t="shared" si="147"/>
        <v>-4.6586536566979413E-2</v>
      </c>
      <c r="AN77" s="8">
        <f t="shared" si="148"/>
        <v>-2.255502351538085E-2</v>
      </c>
      <c r="AO77" s="8">
        <f t="shared" si="149"/>
        <v>-7.3690388342366978E-2</v>
      </c>
      <c r="AP77" s="8">
        <f t="shared" si="150"/>
        <v>-7.6947953766206945E-2</v>
      </c>
      <c r="AQ77" s="8">
        <f t="shared" si="151"/>
        <v>-4.2443881799283899E-3</v>
      </c>
      <c r="AR77" s="8">
        <f t="shared" si="152"/>
        <v>-3.0522938689764068E-2</v>
      </c>
      <c r="AS77" s="8">
        <f t="shared" si="153"/>
        <v>7.0762649989730753E-2</v>
      </c>
      <c r="AT77" s="8">
        <f t="shared" si="154"/>
        <v>5.5893522727174613E-2</v>
      </c>
      <c r="AU77" s="8">
        <f t="shared" si="155"/>
        <v>5.3055787026252403E-2</v>
      </c>
      <c r="AV77" s="8">
        <f t="shared" si="156"/>
        <v>6.907775583070154E-2</v>
      </c>
      <c r="AW77" s="8">
        <f t="shared" si="157"/>
        <v>-3.4165275781445362E-2</v>
      </c>
      <c r="AX77" s="8">
        <f t="shared" si="158"/>
        <v>-8.2443477492627985E-3</v>
      </c>
      <c r="AY77" s="8">
        <f t="shared" si="159"/>
        <v>-7.6622667338180434E-2</v>
      </c>
      <c r="AZ77" s="8">
        <f t="shared" si="160"/>
        <v>-7.4764628019284921E-2</v>
      </c>
      <c r="BA77" s="8">
        <f t="shared" si="161"/>
        <v>-1.8688306958261184E-2</v>
      </c>
      <c r="BB77" s="8">
        <f t="shared" si="162"/>
        <v>-4.3327577247553643E-2</v>
      </c>
      <c r="BC77" s="8">
        <f t="shared" si="163"/>
        <v>6.3731652023821792E-2</v>
      </c>
      <c r="BD77" s="8">
        <f t="shared" si="164"/>
        <v>4.4877679828648043E-2</v>
      </c>
      <c r="BE77" s="8">
        <f t="shared" si="165"/>
        <v>6.2649790686207366E-2</v>
      </c>
      <c r="BF77" s="8">
        <f t="shared" si="166"/>
        <v>7.4283771365943593E-2</v>
      </c>
      <c r="BG77" s="8">
        <f t="shared" si="167"/>
        <v>-2.0516425894401193E-2</v>
      </c>
      <c r="BH77" s="8">
        <f t="shared" si="168"/>
        <v>6.3625548499356126E-3</v>
      </c>
      <c r="BI77" s="8">
        <f t="shared" si="169"/>
        <v>-7.6801824949735392E-2</v>
      </c>
      <c r="BJ77" s="8">
        <f t="shared" si="170"/>
        <v>-6.9894941912737832E-2</v>
      </c>
      <c r="BK77" s="8">
        <f t="shared" si="171"/>
        <v>-3.2460738051425152E-2</v>
      </c>
      <c r="BL77" s="8">
        <f t="shared" si="172"/>
        <v>-5.4575416967711093E-2</v>
      </c>
      <c r="BM77" s="8">
        <f t="shared" si="173"/>
        <v>5.4410718453524479E-2</v>
      </c>
      <c r="BN77" s="8">
        <f t="shared" si="174"/>
        <v>3.2249341511933496E-2</v>
      </c>
      <c r="BO77" s="8">
        <f t="shared" si="175"/>
        <v>6.9992730993117563E-2</v>
      </c>
      <c r="BP77" s="8">
        <f t="shared" si="176"/>
        <v>7.6820704153800684E-2</v>
      </c>
      <c r="BQ77" s="8">
        <f t="shared" si="177"/>
        <v>-6.1304023638312803E-3</v>
      </c>
      <c r="BR77" s="8">
        <f t="shared" si="178"/>
        <v>2.0740845128204972E-2</v>
      </c>
      <c r="BS77" s="8">
        <f t="shared" si="179"/>
        <v>-7.4221423882838936E-2</v>
      </c>
      <c r="BT77" s="8">
        <f t="shared" si="180"/>
        <v>-6.2513867650227553E-2</v>
      </c>
      <c r="BU77" s="8">
        <f t="shared" si="181"/>
        <v>-4.5066825617499078E-2</v>
      </c>
      <c r="BV77" s="8">
        <f t="shared" si="182"/>
        <v>-6.3862312848031649E-2</v>
      </c>
      <c r="BW77" s="8">
        <f t="shared" si="183"/>
        <v>4.313475880920592E-2</v>
      </c>
      <c r="BX77" s="8">
        <f t="shared" si="184"/>
        <v>1.8462255336014151E-2</v>
      </c>
      <c r="BY77" s="8">
        <f t="shared" si="185"/>
        <v>7.4820769494412812E-2</v>
      </c>
      <c r="BZ77" s="8">
        <f t="shared" si="186"/>
        <v>7.6597399916416467E-2</v>
      </c>
      <c r="CA77" s="8">
        <f t="shared" si="187"/>
        <v>8.4758920399448448E-3</v>
      </c>
      <c r="CB77" s="8">
        <f t="shared" si="188"/>
        <v>3.4373898177939566E-2</v>
      </c>
      <c r="CC77" s="8">
        <f t="shared" si="189"/>
        <v>-6.8974180269727597E-2</v>
      </c>
      <c r="CD77" s="8">
        <f t="shared" si="190"/>
        <v>-5.28866138716622E-2</v>
      </c>
      <c r="CE77" s="8">
        <f t="shared" si="191"/>
        <v>-5.6053621586994229E-2</v>
      </c>
      <c r="CF77" s="8">
        <f t="shared" si="192"/>
        <v>-7.0854578362978773E-2</v>
      </c>
      <c r="CG77" s="8">
        <f t="shared" si="193"/>
        <v>3.0308928467247684E-2</v>
      </c>
      <c r="CH77" s="8">
        <f t="shared" si="194"/>
        <v>4.0118037131197434E-3</v>
      </c>
      <c r="CI77" s="8">
        <f t="shared" si="195"/>
        <v>7.6960430422364695E-2</v>
      </c>
      <c r="CJ77" s="8">
        <f t="shared" si="196"/>
        <v>7.362188217597368E-2</v>
      </c>
      <c r="CK77" s="8">
        <f t="shared" si="197"/>
        <v>2.2777640015929791E-2</v>
      </c>
      <c r="CL77" s="8">
        <f t="shared" si="198"/>
        <v>4.6771866135736806E-2</v>
      </c>
      <c r="CM77" s="8">
        <f t="shared" si="199"/>
        <v>-6.1248632295006829E-2</v>
      </c>
      <c r="CN77" s="8">
        <f t="shared" si="200"/>
        <v>-4.1359096468123011E-2</v>
      </c>
      <c r="CO77" s="8">
        <f t="shared" si="201"/>
        <v>-6.5026360494561994E-2</v>
      </c>
      <c r="CP77" s="8">
        <f t="shared" si="202"/>
        <v>-7.5300975120803304E-2</v>
      </c>
      <c r="CQ77" s="8">
        <f t="shared" si="203"/>
        <v>1.6394071052804413E-2</v>
      </c>
      <c r="CR77" s="8">
        <f t="shared" si="204"/>
        <v>-1.0582795627100326E-2</v>
      </c>
      <c r="CS77" s="8">
        <f t="shared" si="205"/>
        <v>7.6334833834516627E-2</v>
      </c>
      <c r="CT77" s="8">
        <f t="shared" si="206"/>
        <v>6.800106396232504E-2</v>
      </c>
      <c r="CU77" s="8">
        <f t="shared" si="207"/>
        <v>3.6260966890308055E-2</v>
      </c>
      <c r="CX77">
        <v>4.0405864938369382E-2</v>
      </c>
      <c r="CY77">
        <v>0.16364022841107709</v>
      </c>
      <c r="DA77" s="21"/>
    </row>
    <row r="78" spans="1:105">
      <c r="A78" s="15">
        <v>76</v>
      </c>
      <c r="B78" s="16">
        <v>30</v>
      </c>
      <c r="C78" s="8">
        <f t="shared" si="208"/>
        <v>3.4011973816621555</v>
      </c>
      <c r="D78" s="8">
        <f t="shared" si="209"/>
        <v>5.1320430107526889</v>
      </c>
      <c r="E78" s="7">
        <f t="shared" si="210"/>
        <v>1.2236842105263157</v>
      </c>
      <c r="F78" s="8"/>
      <c r="G78" s="8"/>
      <c r="H78" s="8">
        <f t="shared" si="211"/>
        <v>2.9802134634540314E-2</v>
      </c>
      <c r="I78" s="8">
        <f t="shared" si="212"/>
        <v>-6.6797319211964218E-2</v>
      </c>
      <c r="J78" s="8">
        <f t="shared" si="213"/>
        <v>-4.885859637682187E-2</v>
      </c>
      <c r="K78" s="8">
        <f t="shared" si="214"/>
        <v>-5.443240434490397E-2</v>
      </c>
      <c r="L78" s="8">
        <f t="shared" si="120"/>
        <v>-6.9616470076183018E-2</v>
      </c>
      <c r="M78" s="8">
        <f t="shared" si="121"/>
        <v>2.2440948661146796E-2</v>
      </c>
      <c r="N78" s="8">
        <f t="shared" si="122"/>
        <v>-7.8711031523917962E-3</v>
      </c>
      <c r="O78" s="8">
        <f t="shared" si="123"/>
        <v>7.2719287797975027E-2</v>
      </c>
      <c r="P78" s="8">
        <f t="shared" si="124"/>
        <v>6.3202394264669032E-2</v>
      </c>
      <c r="Q78" s="8">
        <f t="shared" si="125"/>
        <v>3.6817203069946035E-2</v>
      </c>
      <c r="R78" s="8">
        <f t="shared" si="126"/>
        <v>5.9374042503351737E-2</v>
      </c>
      <c r="S78" s="8">
        <f t="shared" si="127"/>
        <v>-4.2717351971891873E-2</v>
      </c>
      <c r="T78" s="8">
        <f t="shared" si="128"/>
        <v>-1.4819136863598242E-2</v>
      </c>
      <c r="U78" s="8">
        <f t="shared" si="129"/>
        <v>-7.1627105660484816E-2</v>
      </c>
      <c r="V78" s="8">
        <f t="shared" si="130"/>
        <v>-7.144999494153538E-2</v>
      </c>
      <c r="W78" s="8">
        <f t="shared" si="131"/>
        <v>-1.5650792489036437E-2</v>
      </c>
      <c r="X78" s="8">
        <f t="shared" si="132"/>
        <v>-4.3404682010893272E-2</v>
      </c>
      <c r="Y78" s="8">
        <f t="shared" si="133"/>
        <v>5.8873446155406503E-2</v>
      </c>
      <c r="Z78" s="8">
        <f t="shared" si="134"/>
        <v>3.6079994624879742E-2</v>
      </c>
      <c r="AA78" s="8">
        <f t="shared" si="135"/>
        <v>6.3626119405075773E-2</v>
      </c>
      <c r="AB78" s="8">
        <f t="shared" si="136"/>
        <v>7.280587474366472E-2</v>
      </c>
      <c r="AC78" s="8">
        <f t="shared" si="137"/>
        <v>-7.0252178251009705E-3</v>
      </c>
      <c r="AD78" s="8">
        <f t="shared" si="138"/>
        <v>2.3248715860581883E-2</v>
      </c>
      <c r="AE78" s="8">
        <f t="shared" si="139"/>
        <v>-6.9350892521396146E-2</v>
      </c>
      <c r="AF78" s="8">
        <f t="shared" si="140"/>
        <v>-5.3860750640596103E-2</v>
      </c>
      <c r="AG78" s="8">
        <f t="shared" si="141"/>
        <v>-4.9488065461400277E-2</v>
      </c>
      <c r="AH78" s="8">
        <f t="shared" si="142"/>
        <v>-6.7139252064373683E-2</v>
      </c>
      <c r="AI78" s="8">
        <f t="shared" si="143"/>
        <v>2.9023609612121054E-2</v>
      </c>
      <c r="AJ78" s="8">
        <f t="shared" si="144"/>
        <v>-8.50291043362683E-4</v>
      </c>
      <c r="AK78" s="8">
        <f t="shared" si="145"/>
        <v>7.313908727774697E-2</v>
      </c>
      <c r="AL78" s="8">
        <f t="shared" si="146"/>
        <v>6.6446359199373056E-2</v>
      </c>
      <c r="AM78" s="8">
        <f t="shared" si="147"/>
        <v>3.0576632120431508E-2</v>
      </c>
      <c r="AN78" s="8">
        <f t="shared" si="148"/>
        <v>5.4996701915179913E-2</v>
      </c>
      <c r="AO78" s="8">
        <f t="shared" si="149"/>
        <v>-4.8222524416844423E-2</v>
      </c>
      <c r="AP78" s="8">
        <f t="shared" si="150"/>
        <v>-2.1630148734641474E-2</v>
      </c>
      <c r="AQ78" s="8">
        <f t="shared" si="151"/>
        <v>-6.9872639483546065E-2</v>
      </c>
      <c r="AR78" s="8">
        <f t="shared" si="152"/>
        <v>-7.2622873382156297E-2</v>
      </c>
      <c r="AS78" s="8">
        <f t="shared" si="153"/>
        <v>-8.7159247587164628E-3</v>
      </c>
      <c r="AT78" s="8">
        <f t="shared" si="154"/>
        <v>-3.7549435944233794E-2</v>
      </c>
      <c r="AU78" s="8">
        <f t="shared" si="155"/>
        <v>6.2770127791412E-2</v>
      </c>
      <c r="AV78" s="8">
        <f t="shared" si="156"/>
        <v>4.2024249000932871E-2</v>
      </c>
      <c r="AW78" s="8">
        <f t="shared" si="157"/>
        <v>5.9866614891673178E-2</v>
      </c>
      <c r="AX78" s="8">
        <f t="shared" si="158"/>
        <v>7.1794536509586504E-2</v>
      </c>
      <c r="AY78" s="8">
        <f t="shared" si="159"/>
        <v>-1.3985478542186607E-2</v>
      </c>
      <c r="AZ78" s="8">
        <f t="shared" si="160"/>
        <v>1.6480333026438133E-2</v>
      </c>
      <c r="BA78" s="8">
        <f t="shared" si="161"/>
        <v>-7.1263228287932648E-2</v>
      </c>
      <c r="BB78" s="8">
        <f t="shared" si="162"/>
        <v>-5.8364893499705764E-2</v>
      </c>
      <c r="BC78" s="8">
        <f t="shared" si="163"/>
        <v>-4.4086146230401163E-2</v>
      </c>
      <c r="BD78" s="8">
        <f t="shared" si="164"/>
        <v>-6.4041245949335218E-2</v>
      </c>
      <c r="BE78" s="8">
        <f t="shared" si="165"/>
        <v>3.5337910237265971E-2</v>
      </c>
      <c r="BF78" s="8">
        <f t="shared" si="166"/>
        <v>6.1783830919462952E-3</v>
      </c>
      <c r="BG78" s="8">
        <f t="shared" si="167"/>
        <v>7.2882622517644519E-2</v>
      </c>
      <c r="BH78" s="8">
        <f t="shared" si="168"/>
        <v>6.9075942710013771E-2</v>
      </c>
      <c r="BI78" s="8">
        <f t="shared" si="169"/>
        <v>2.405334116922651E-2</v>
      </c>
      <c r="BJ78" s="8">
        <f t="shared" si="170"/>
        <v>5.0110846602521943E-2</v>
      </c>
      <c r="BK78" s="8">
        <f t="shared" si="171"/>
        <v>-5.3281818056996014E-2</v>
      </c>
      <c r="BL78" s="8">
        <f t="shared" si="172"/>
        <v>-2.8241162265032503E-2</v>
      </c>
      <c r="BM78" s="8">
        <f t="shared" si="173"/>
        <v>-6.7472111546922967E-2</v>
      </c>
      <c r="BN78" s="8">
        <f t="shared" si="174"/>
        <v>-7.3124260639427299E-2</v>
      </c>
      <c r="BO78" s="8">
        <f t="shared" si="175"/>
        <v>-1.700467176223866E-3</v>
      </c>
      <c r="BP78" s="8">
        <f t="shared" si="176"/>
        <v>-3.1346997402228391E-2</v>
      </c>
      <c r="BQ78" s="8">
        <f t="shared" si="177"/>
        <v>6.6086419456231685E-2</v>
      </c>
      <c r="BR78" s="8">
        <f t="shared" si="178"/>
        <v>4.7579935541855044E-2</v>
      </c>
      <c r="BS78" s="8">
        <f t="shared" si="179"/>
        <v>5.5553567090810919E-2</v>
      </c>
      <c r="BT78" s="8">
        <f t="shared" si="180"/>
        <v>7.0119366124097679E-2</v>
      </c>
      <c r="BU78" s="8">
        <f t="shared" si="181"/>
        <v>-2.081642565463759E-2</v>
      </c>
      <c r="BV78" s="8">
        <f t="shared" si="182"/>
        <v>9.5595684727245722E-3</v>
      </c>
      <c r="BW78" s="8">
        <f t="shared" si="183"/>
        <v>-7.2516644525899024E-2</v>
      </c>
      <c r="BX78" s="8">
        <f t="shared" si="184"/>
        <v>-6.2329378402898789E-2</v>
      </c>
      <c r="BY78" s="8">
        <f t="shared" si="185"/>
        <v>-3.8276594291924225E-2</v>
      </c>
      <c r="BZ78" s="8">
        <f t="shared" si="186"/>
        <v>-6.0351096752882166E-2</v>
      </c>
      <c r="CA78" s="8">
        <f t="shared" si="187"/>
        <v>4.1325466765719257E-2</v>
      </c>
      <c r="CB78" s="8">
        <f t="shared" si="188"/>
        <v>1.3149930187515058E-2</v>
      </c>
      <c r="CC78" s="8">
        <f t="shared" si="189"/>
        <v>7.1952264861808155E-2</v>
      </c>
      <c r="CD78" s="8">
        <f t="shared" si="190"/>
        <v>7.1066830939798889E-2</v>
      </c>
      <c r="CE78" s="8">
        <f t="shared" si="191"/>
        <v>1.7307646369577646E-2</v>
      </c>
      <c r="CF78" s="8">
        <f t="shared" si="192"/>
        <v>4.476165253560227E-2</v>
      </c>
      <c r="CG78" s="8">
        <f t="shared" si="193"/>
        <v>-5.7848453263352882E-2</v>
      </c>
      <c r="CH78" s="8">
        <f t="shared" si="194"/>
        <v>-3.4591050194281256E-2</v>
      </c>
      <c r="CI78" s="8">
        <f t="shared" si="195"/>
        <v>-6.444771779618752E-2</v>
      </c>
      <c r="CJ78" s="8">
        <f t="shared" si="196"/>
        <v>-7.2949520748024632E-2</v>
      </c>
      <c r="CK78" s="8">
        <f t="shared" si="197"/>
        <v>5.3307133963320973E-3</v>
      </c>
      <c r="CL78" s="8">
        <f t="shared" si="198"/>
        <v>-2.4854715847960642E-2</v>
      </c>
      <c r="CM78" s="8">
        <f t="shared" si="199"/>
        <v>6.8791657799455924E-2</v>
      </c>
      <c r="CN78" s="8">
        <f t="shared" si="200"/>
        <v>5.2695684832531189E-2</v>
      </c>
      <c r="CO78" s="8">
        <f t="shared" si="201"/>
        <v>5.0726855635953361E-2</v>
      </c>
      <c r="CP78" s="8">
        <f t="shared" si="202"/>
        <v>6.7795852676132765E-2</v>
      </c>
      <c r="CQ78" s="8">
        <f t="shared" si="203"/>
        <v>-2.745489833520447E-2</v>
      </c>
      <c r="CR78" s="8">
        <f t="shared" si="204"/>
        <v>2.5504135036092694E-3</v>
      </c>
      <c r="CS78" s="8">
        <f t="shared" si="205"/>
        <v>-7.3099551801915436E-2</v>
      </c>
      <c r="CT78" s="8">
        <f t="shared" si="206"/>
        <v>-6.5717548625715771E-2</v>
      </c>
      <c r="CU78" s="8">
        <f t="shared" si="207"/>
        <v>-3.2113126370800361E-2</v>
      </c>
      <c r="DA78" s="20">
        <v>7.3903191607847807E-4</v>
      </c>
    </row>
    <row r="79" spans="1:105">
      <c r="A79" s="15">
        <v>77</v>
      </c>
      <c r="B79" s="16">
        <v>26</v>
      </c>
      <c r="C79" s="8">
        <f t="shared" si="208"/>
        <v>3.2580965380214821</v>
      </c>
      <c r="D79" s="8">
        <f t="shared" si="209"/>
        <v>5.199569892473118</v>
      </c>
      <c r="E79" s="7">
        <f t="shared" si="210"/>
        <v>1.2077922077922079</v>
      </c>
      <c r="F79" s="8"/>
      <c r="G79" s="8"/>
      <c r="H79" s="8">
        <f t="shared" si="211"/>
        <v>3.2800739580048165E-2</v>
      </c>
      <c r="I79" s="8">
        <f t="shared" si="212"/>
        <v>-6.1914770674672083E-2</v>
      </c>
      <c r="J79" s="8">
        <f t="shared" si="213"/>
        <v>-3.9356135691846254E-2</v>
      </c>
      <c r="K79" s="8">
        <f t="shared" si="214"/>
        <v>-5.7969146346141386E-2</v>
      </c>
      <c r="L79" s="8">
        <f t="shared" si="120"/>
        <v>-6.9648838421065423E-2</v>
      </c>
      <c r="M79" s="8">
        <f t="shared" si="121"/>
        <v>7.6398070192703954E-3</v>
      </c>
      <c r="N79" s="8">
        <f t="shared" si="122"/>
        <v>-2.5854211746638871E-2</v>
      </c>
      <c r="O79" s="8">
        <f t="shared" si="123"/>
        <v>6.5122093636916595E-2</v>
      </c>
      <c r="P79" s="8">
        <f t="shared" si="124"/>
        <v>4.5442230400499189E-2</v>
      </c>
      <c r="Q79" s="8">
        <f t="shared" si="125"/>
        <v>5.333227016472597E-2</v>
      </c>
      <c r="R79" s="8">
        <f t="shared" si="126"/>
        <v>6.8400558533952799E-2</v>
      </c>
      <c r="S79" s="8">
        <f t="shared" si="127"/>
        <v>-1.5188513322200781E-2</v>
      </c>
      <c r="T79" s="8">
        <f t="shared" si="128"/>
        <v>1.8599385915049008E-2</v>
      </c>
      <c r="U79" s="8">
        <f t="shared" si="129"/>
        <v>-6.7552869578415761E-2</v>
      </c>
      <c r="V79" s="8">
        <f t="shared" si="130"/>
        <v>-5.0986450199075044E-2</v>
      </c>
      <c r="W79" s="8">
        <f t="shared" si="131"/>
        <v>-4.8059434461847461E-2</v>
      </c>
      <c r="X79" s="8">
        <f t="shared" si="132"/>
        <v>-6.6336637641147E-2</v>
      </c>
      <c r="Y79" s="8">
        <f t="shared" si="133"/>
        <v>2.2556104521005638E-2</v>
      </c>
      <c r="Z79" s="8">
        <f t="shared" si="134"/>
        <v>-1.112277210163347E-2</v>
      </c>
      <c r="AA79" s="8">
        <f t="shared" si="135"/>
        <v>6.9178112763145658E-2</v>
      </c>
      <c r="AB79" s="8">
        <f t="shared" si="136"/>
        <v>5.5922683156484285E-2</v>
      </c>
      <c r="AC79" s="8">
        <f t="shared" si="137"/>
        <v>4.2213515054717266E-2</v>
      </c>
      <c r="AD79" s="8">
        <f t="shared" si="138"/>
        <v>6.3481686923444594E-2</v>
      </c>
      <c r="AE79" s="8">
        <f t="shared" si="139"/>
        <v>-2.9654725931108107E-2</v>
      </c>
      <c r="AF79" s="8">
        <f t="shared" si="140"/>
        <v>3.5135250288189004E-3</v>
      </c>
      <c r="AG79" s="8">
        <f t="shared" si="141"/>
        <v>-6.9978443013311145E-2</v>
      </c>
      <c r="AH79" s="8">
        <f t="shared" si="142"/>
        <v>-6.0192067267795572E-2</v>
      </c>
      <c r="AI79" s="8">
        <f t="shared" si="143"/>
        <v>-3.5864221484991771E-2</v>
      </c>
      <c r="AJ79" s="8">
        <f t="shared" si="144"/>
        <v>-5.9869750179968095E-2</v>
      </c>
      <c r="AK79" s="8">
        <f t="shared" si="145"/>
        <v>3.6399730192455848E-2</v>
      </c>
      <c r="AL79" s="8">
        <f t="shared" si="146"/>
        <v>4.1376189984868444E-3</v>
      </c>
      <c r="AM79" s="8">
        <f t="shared" si="147"/>
        <v>6.9944316807863186E-2</v>
      </c>
      <c r="AN79" s="8">
        <f t="shared" si="148"/>
        <v>6.3743692352962039E-2</v>
      </c>
      <c r="AO79" s="8">
        <f t="shared" si="149"/>
        <v>2.908726576882573E-2</v>
      </c>
      <c r="AP79" s="8">
        <f t="shared" si="150"/>
        <v>5.5543897873607521E-2</v>
      </c>
      <c r="AQ79" s="8">
        <f t="shared" si="151"/>
        <v>-4.2710686645166807E-2</v>
      </c>
      <c r="AR79" s="8">
        <f t="shared" si="152"/>
        <v>-1.1739424076032023E-2</v>
      </c>
      <c r="AS79" s="8">
        <f t="shared" si="153"/>
        <v>-6.9076141084012888E-2</v>
      </c>
      <c r="AT79" s="8">
        <f t="shared" si="154"/>
        <v>-6.6535207134182234E-2</v>
      </c>
      <c r="AU79" s="8">
        <f t="shared" si="155"/>
        <v>-2.1963459570542122E-2</v>
      </c>
      <c r="AV79" s="8">
        <f t="shared" si="156"/>
        <v>-5.0555713538199216E-2</v>
      </c>
      <c r="AW79" s="8">
        <f t="shared" si="157"/>
        <v>4.8512340423225435E-2</v>
      </c>
      <c r="AX79" s="8">
        <f t="shared" si="158"/>
        <v>1.9201242640822604E-2</v>
      </c>
      <c r="AY79" s="8">
        <f t="shared" si="159"/>
        <v>6.7384268384717422E-2</v>
      </c>
      <c r="AZ79" s="8">
        <f t="shared" si="160"/>
        <v>6.8533324252808808E-2</v>
      </c>
      <c r="BA79" s="8">
        <f t="shared" si="161"/>
        <v>1.4577750565664797E-2</v>
      </c>
      <c r="BB79" s="8">
        <f t="shared" si="162"/>
        <v>4.4964678671777045E-2</v>
      </c>
      <c r="BC79" s="8">
        <f t="shared" si="163"/>
        <v>-5.3735509829527163E-2</v>
      </c>
      <c r="BD79" s="8">
        <f t="shared" si="164"/>
        <v>-2.6434096396059072E-2</v>
      </c>
      <c r="BE79" s="8">
        <f t="shared" si="165"/>
        <v>-6.4888873410001727E-2</v>
      </c>
      <c r="BF79" s="8">
        <f t="shared" si="166"/>
        <v>-6.9714217203750775E-2</v>
      </c>
      <c r="BG79" s="8">
        <f t="shared" si="167"/>
        <v>-7.0182094841655359E-3</v>
      </c>
      <c r="BH79" s="8">
        <f t="shared" si="168"/>
        <v>-3.8837463450711741E-2</v>
      </c>
      <c r="BI79" s="8">
        <f t="shared" si="169"/>
        <v>5.8317911291557771E-2</v>
      </c>
      <c r="BJ79" s="8">
        <f t="shared" si="170"/>
        <v>3.3351737330944486E-2</v>
      </c>
      <c r="BK79" s="8">
        <f t="shared" si="171"/>
        <v>6.1619712444176952E-2</v>
      </c>
      <c r="BL79" s="8">
        <f t="shared" si="172"/>
        <v>7.0063804454126757E-2</v>
      </c>
      <c r="BM79" s="8">
        <f t="shared" si="173"/>
        <v>-6.250200870856925E-4</v>
      </c>
      <c r="BN79" s="8">
        <f t="shared" si="174"/>
        <v>3.2247131722611032E-2</v>
      </c>
      <c r="BO79" s="8">
        <f t="shared" si="175"/>
        <v>-6.2204902060528519E-2</v>
      </c>
      <c r="BP79" s="8">
        <f t="shared" si="176"/>
        <v>-3.9871676183253497E-2</v>
      </c>
      <c r="BQ79" s="8">
        <f t="shared" si="177"/>
        <v>-5.7615768527662183E-2</v>
      </c>
      <c r="BR79" s="8">
        <f t="shared" si="178"/>
        <v>-6.9577917358203414E-2</v>
      </c>
      <c r="BS79" s="8">
        <f t="shared" si="179"/>
        <v>8.2607966195995825E-3</v>
      </c>
      <c r="BT79" s="8">
        <f t="shared" si="180"/>
        <v>-2.5272269758022589E-2</v>
      </c>
      <c r="BU79" s="8">
        <f t="shared" si="181"/>
        <v>6.5350131797672059E-2</v>
      </c>
      <c r="BV79" s="8">
        <f t="shared" si="182"/>
        <v>4.5916166080792305E-2</v>
      </c>
      <c r="BW79" s="8">
        <f t="shared" si="183"/>
        <v>5.2924786604543535E-2</v>
      </c>
      <c r="BX79" s="8">
        <f t="shared" si="184"/>
        <v>6.8262349866323679E-2</v>
      </c>
      <c r="BY79" s="8">
        <f t="shared" si="185"/>
        <v>-1.5798067458489738E-2</v>
      </c>
      <c r="BZ79" s="8">
        <f t="shared" si="186"/>
        <v>1.799604915012391E-2</v>
      </c>
      <c r="CA79" s="8">
        <f t="shared" si="187"/>
        <v>-6.7716095277870952E-2</v>
      </c>
      <c r="CB79" s="8">
        <f t="shared" si="188"/>
        <v>-5.1413129632312649E-2</v>
      </c>
      <c r="CC79" s="8">
        <f t="shared" si="189"/>
        <v>-4.760270418900997E-2</v>
      </c>
      <c r="CD79" s="8">
        <f t="shared" si="190"/>
        <v>-6.613278943506877E-2</v>
      </c>
      <c r="CE79" s="8">
        <f t="shared" si="191"/>
        <v>2.3146954577918644E-2</v>
      </c>
      <c r="CF79" s="8">
        <f t="shared" si="192"/>
        <v>-1.050523503682054E-2</v>
      </c>
      <c r="CG79" s="8">
        <f t="shared" si="193"/>
        <v>6.9274579619919244E-2</v>
      </c>
      <c r="CH79" s="8">
        <f t="shared" si="194"/>
        <v>5.62970184128379E-2</v>
      </c>
      <c r="CI79" s="8">
        <f t="shared" si="195"/>
        <v>4.1712984339650906E-2</v>
      </c>
      <c r="CJ79" s="8">
        <f t="shared" si="196"/>
        <v>6.3214629962515881E-2</v>
      </c>
      <c r="CK79" s="8">
        <f t="shared" si="197"/>
        <v>-3.0219826329705504E-2</v>
      </c>
      <c r="CL79" s="8">
        <f t="shared" si="198"/>
        <v>2.8891514717154926E-3</v>
      </c>
      <c r="CM79" s="8">
        <f t="shared" si="199"/>
        <v>-7.0007000710420791E-2</v>
      </c>
      <c r="CN79" s="8">
        <f t="shared" si="200"/>
        <v>-6.0509594594461105E-2</v>
      </c>
      <c r="CO79" s="8">
        <f t="shared" si="201"/>
        <v>-3.5325858895564534E-2</v>
      </c>
      <c r="CP79" s="8">
        <f t="shared" si="202"/>
        <v>-5.9542668979240501E-2</v>
      </c>
      <c r="CQ79" s="8">
        <f t="shared" si="203"/>
        <v>3.6932342405051465E-2</v>
      </c>
      <c r="CR79" s="8">
        <f t="shared" si="204"/>
        <v>4.7613837186759244E-3</v>
      </c>
      <c r="CS79" s="8">
        <f t="shared" si="205"/>
        <v>6.990462480965691E-2</v>
      </c>
      <c r="CT79" s="8">
        <f t="shared" si="206"/>
        <v>6.4000625402085329E-2</v>
      </c>
      <c r="CU79" s="8">
        <f t="shared" si="207"/>
        <v>2.8517490998285981E-2</v>
      </c>
      <c r="CX79">
        <v>7.5807059044529623E-3</v>
      </c>
      <c r="CY79">
        <v>3.0610767301052357E-2</v>
      </c>
      <c r="DA79" s="21"/>
    </row>
    <row r="80" spans="1:105">
      <c r="A80" s="15">
        <v>78</v>
      </c>
      <c r="B80" s="16">
        <v>41</v>
      </c>
      <c r="C80" s="8">
        <f t="shared" si="208"/>
        <v>3.713572066704308</v>
      </c>
      <c r="D80" s="8">
        <f t="shared" si="209"/>
        <v>5.2670967741935488</v>
      </c>
      <c r="E80" s="7">
        <f t="shared" si="210"/>
        <v>1.1923076923076923</v>
      </c>
      <c r="F80" s="8"/>
      <c r="G80" s="8"/>
      <c r="H80" s="8">
        <f t="shared" si="211"/>
        <v>4.2062786783688196E-2</v>
      </c>
      <c r="I80" s="8">
        <f t="shared" si="212"/>
        <v>-6.7886843033076044E-2</v>
      </c>
      <c r="J80" s="8">
        <f t="shared" si="213"/>
        <v>-3.5553251664533027E-2</v>
      </c>
      <c r="K80" s="8">
        <f t="shared" si="214"/>
        <v>-7.1511312287538806E-2</v>
      </c>
      <c r="L80" s="8">
        <f t="shared" si="120"/>
        <v>-7.9514221686635952E-2</v>
      </c>
      <c r="M80" s="8">
        <f t="shared" si="121"/>
        <v>-7.4424484261586092E-3</v>
      </c>
      <c r="N80" s="8">
        <f t="shared" si="122"/>
        <v>-4.8206223430857432E-2</v>
      </c>
      <c r="O80" s="8">
        <f t="shared" si="123"/>
        <v>6.3671512558928348E-2</v>
      </c>
      <c r="P80" s="8">
        <f t="shared" si="124"/>
        <v>2.8734274587205986E-2</v>
      </c>
      <c r="Q80" s="8">
        <f t="shared" si="125"/>
        <v>7.4513374322698389E-2</v>
      </c>
      <c r="R80" s="8">
        <f t="shared" si="126"/>
        <v>7.8474617003974526E-2</v>
      </c>
      <c r="S80" s="8">
        <f t="shared" si="127"/>
        <v>1.4820120616480477E-2</v>
      </c>
      <c r="T80" s="8">
        <f t="shared" si="128"/>
        <v>5.3930091473858771E-2</v>
      </c>
      <c r="U80" s="8">
        <f t="shared" si="129"/>
        <v>-5.8902009495676332E-2</v>
      </c>
      <c r="V80" s="8">
        <f t="shared" si="130"/>
        <v>-2.1665205330439932E-2</v>
      </c>
      <c r="W80" s="8">
        <f t="shared" si="131"/>
        <v>-7.6866900334262175E-2</v>
      </c>
      <c r="X80" s="8">
        <f t="shared" si="132"/>
        <v>-7.6751999150488803E-2</v>
      </c>
      <c r="Y80" s="8">
        <f t="shared" si="133"/>
        <v>-2.2068804122808396E-2</v>
      </c>
      <c r="Z80" s="8">
        <f t="shared" si="134"/>
        <v>-5.9184572545802026E-2</v>
      </c>
      <c r="AA80" s="8">
        <f t="shared" si="135"/>
        <v>5.3619845780999924E-2</v>
      </c>
      <c r="AB80" s="8">
        <f t="shared" si="136"/>
        <v>1.4407570380023469E-2</v>
      </c>
      <c r="AC80" s="8">
        <f t="shared" si="137"/>
        <v>7.8551406128421333E-2</v>
      </c>
      <c r="AD80" s="8">
        <f t="shared" si="138"/>
        <v>7.4361361135729345E-2</v>
      </c>
      <c r="AE80" s="8">
        <f t="shared" si="139"/>
        <v>2.912540916535182E-2</v>
      </c>
      <c r="AF80" s="8">
        <f t="shared" si="140"/>
        <v>6.3923933645177761E-2</v>
      </c>
      <c r="AG80" s="8">
        <f t="shared" si="141"/>
        <v>-4.7870995355584874E-2</v>
      </c>
      <c r="AH80" s="8">
        <f t="shared" si="142"/>
        <v>-7.0245374257067519E-3</v>
      </c>
      <c r="AI80" s="8">
        <f t="shared" si="143"/>
        <v>-7.9552230408470412E-2</v>
      </c>
      <c r="AJ80" s="8">
        <f t="shared" si="144"/>
        <v>-7.1323510162242643E-2</v>
      </c>
      <c r="AK80" s="8">
        <f t="shared" si="145"/>
        <v>-3.5928517742094379E-2</v>
      </c>
      <c r="AL80" s="8">
        <f t="shared" si="146"/>
        <v>-6.810692517847583E-2</v>
      </c>
      <c r="AM80" s="8">
        <f t="shared" si="147"/>
        <v>4.1705494023461867E-2</v>
      </c>
      <c r="AN80" s="8">
        <f t="shared" si="148"/>
        <v>-4.1963442630498513E-4</v>
      </c>
      <c r="AO80" s="8">
        <f t="shared" si="149"/>
        <v>7.9860662381148445E-2</v>
      </c>
      <c r="AP80" s="8">
        <f t="shared" si="150"/>
        <v>6.7664886527606813E-2</v>
      </c>
      <c r="AQ80" s="8">
        <f t="shared" si="151"/>
        <v>4.2418918187686179E-2</v>
      </c>
      <c r="AR80" s="8">
        <f t="shared" si="152"/>
        <v>7.1697139980937657E-2</v>
      </c>
      <c r="AS80" s="8">
        <f t="shared" si="153"/>
        <v>-3.5177003959424247E-2</v>
      </c>
      <c r="AT80" s="8">
        <f t="shared" si="154"/>
        <v>7.860153940133497E-3</v>
      </c>
      <c r="AU80" s="8">
        <f t="shared" si="155"/>
        <v>-7.9474017572065167E-2</v>
      </c>
      <c r="AV80" s="8">
        <f t="shared" si="156"/>
        <v>-6.3417333498152803E-2</v>
      </c>
      <c r="AW80" s="8">
        <f t="shared" si="157"/>
        <v>-4.85401205292239E-2</v>
      </c>
      <c r="AX80" s="8">
        <f t="shared" si="158"/>
        <v>-7.4663330190646152E-2</v>
      </c>
      <c r="AY80" s="8">
        <f t="shared" si="159"/>
        <v>2.8342346653904067E-2</v>
      </c>
      <c r="AZ80" s="8">
        <f t="shared" si="160"/>
        <v>-1.5232261668461252E-2</v>
      </c>
      <c r="BA80" s="8">
        <f t="shared" si="161"/>
        <v>7.8395661190342955E-2</v>
      </c>
      <c r="BB80" s="8">
        <f t="shared" si="162"/>
        <v>5.8617820157308535E-2</v>
      </c>
      <c r="BC80" s="8">
        <f t="shared" si="163"/>
        <v>5.4238848153449488E-2</v>
      </c>
      <c r="BD80" s="8">
        <f t="shared" si="164"/>
        <v>7.697967921801066E-2</v>
      </c>
      <c r="BE80" s="8">
        <f t="shared" si="165"/>
        <v>-2.126100836036934E-2</v>
      </c>
      <c r="BF80" s="8">
        <f t="shared" si="166"/>
        <v>2.2471793594087391E-2</v>
      </c>
      <c r="BG80" s="8">
        <f t="shared" si="167"/>
        <v>-7.6634978839119225E-2</v>
      </c>
      <c r="BH80" s="8">
        <f t="shared" si="168"/>
        <v>-5.3308119640776336E-2</v>
      </c>
      <c r="BI80" s="8">
        <f t="shared" si="169"/>
        <v>-5.9465501506101789E-2</v>
      </c>
      <c r="BJ80" s="8">
        <f t="shared" si="170"/>
        <v>-7.8626026443530783E-2</v>
      </c>
      <c r="BK80" s="8">
        <f t="shared" si="171"/>
        <v>1.3994622349628304E-2</v>
      </c>
      <c r="BL80" s="8">
        <f t="shared" si="172"/>
        <v>-2.9515739589090904E-2</v>
      </c>
      <c r="BM80" s="8">
        <f t="shared" si="173"/>
        <v>7.4207294826832831E-2</v>
      </c>
      <c r="BN80" s="8">
        <f t="shared" si="174"/>
        <v>4.7534445559075239E-2</v>
      </c>
      <c r="BO80" s="8">
        <f t="shared" si="175"/>
        <v>6.4174589787538427E-2</v>
      </c>
      <c r="BP80" s="8">
        <f t="shared" si="176"/>
        <v>7.9588042688145066E-2</v>
      </c>
      <c r="BQ80" s="8">
        <f t="shared" si="177"/>
        <v>-6.6064324773297276E-3</v>
      </c>
      <c r="BR80" s="8">
        <f t="shared" si="178"/>
        <v>3.630279183098719E-2</v>
      </c>
      <c r="BS80" s="8">
        <f t="shared" si="179"/>
        <v>-7.1133738790278192E-2</v>
      </c>
      <c r="BT80" s="8">
        <f t="shared" si="180"/>
        <v>-4.1347049771882506E-2</v>
      </c>
      <c r="BU80" s="8">
        <f t="shared" si="181"/>
        <v>-6.8325126887324464E-2</v>
      </c>
      <c r="BV80" s="8">
        <f t="shared" si="182"/>
        <v>-7.9857354928949312E-2</v>
      </c>
      <c r="BW80" s="8">
        <f t="shared" si="183"/>
        <v>-8.3925726647667335E-4</v>
      </c>
      <c r="BX80" s="8">
        <f t="shared" si="184"/>
        <v>-4.2773878402646327E-2</v>
      </c>
      <c r="BY80" s="8">
        <f t="shared" si="185"/>
        <v>6.7441061790300613E-2</v>
      </c>
      <c r="BZ80" s="8">
        <f t="shared" si="186"/>
        <v>3.4799785014990432E-2</v>
      </c>
      <c r="CA80" s="8">
        <f t="shared" si="187"/>
        <v>7.1880988111725108E-2</v>
      </c>
      <c r="CB80" s="8">
        <f t="shared" si="188"/>
        <v>7.9431619174795964E-2</v>
      </c>
      <c r="CC80" s="8">
        <f t="shared" si="189"/>
        <v>8.2776424347579102E-3</v>
      </c>
      <c r="CD80" s="8">
        <f t="shared" si="190"/>
        <v>4.8872677431762733E-2</v>
      </c>
      <c r="CE80" s="8">
        <f t="shared" si="191"/>
        <v>-6.3161403480752304E-2</v>
      </c>
      <c r="CF80" s="8">
        <f t="shared" si="192"/>
        <v>-2.7949636186602376E-2</v>
      </c>
      <c r="CG80" s="8">
        <f t="shared" si="193"/>
        <v>-7.4811224599281134E-2</v>
      </c>
      <c r="CH80" s="8">
        <f t="shared" si="194"/>
        <v>-7.8314540867501933E-2</v>
      </c>
      <c r="CI80" s="8">
        <f t="shared" si="195"/>
        <v>-1.5643982156723642E-2</v>
      </c>
      <c r="CJ80" s="8">
        <f t="shared" si="196"/>
        <v>-5.4546107294980439E-2</v>
      </c>
      <c r="CK80" s="8">
        <f t="shared" si="197"/>
        <v>5.8332012377184446E-2</v>
      </c>
      <c r="CL80" s="8">
        <f t="shared" si="198"/>
        <v>2.0856224372499659E-2</v>
      </c>
      <c r="CM80" s="8">
        <f t="shared" si="199"/>
        <v>7.7090332687902371E-2</v>
      </c>
      <c r="CN80" s="8">
        <f t="shared" si="200"/>
        <v>7.6515842631092679E-2</v>
      </c>
      <c r="CO80" s="8">
        <f t="shared" si="201"/>
        <v>2.2874162617708627E-2</v>
      </c>
      <c r="CP80" s="8">
        <f t="shared" si="202"/>
        <v>5.9744788620109845E-2</v>
      </c>
      <c r="CQ80" s="8">
        <f t="shared" si="203"/>
        <v>-5.2994921659965791E-2</v>
      </c>
      <c r="CR80" s="8">
        <f t="shared" si="204"/>
        <v>-1.3581287926818418E-2</v>
      </c>
      <c r="CS80" s="8">
        <f t="shared" si="205"/>
        <v>-7.8698475889030881E-2</v>
      </c>
      <c r="CT80" s="8">
        <f t="shared" si="206"/>
        <v>-7.405117964978862E-2</v>
      </c>
      <c r="CU80" s="8">
        <f t="shared" si="207"/>
        <v>-2.9905255081377428E-2</v>
      </c>
      <c r="DA80" s="20">
        <v>1.0773586541151508E-3</v>
      </c>
    </row>
    <row r="81" spans="1:105">
      <c r="A81" s="15">
        <v>79</v>
      </c>
      <c r="B81" s="16">
        <v>33</v>
      </c>
      <c r="C81" s="8">
        <f t="shared" si="208"/>
        <v>3.4965075614664802</v>
      </c>
      <c r="D81" s="8">
        <f t="shared" si="209"/>
        <v>5.3346236559139788</v>
      </c>
      <c r="E81" s="7">
        <f t="shared" si="210"/>
        <v>1.1772151898734178</v>
      </c>
      <c r="F81" s="8"/>
      <c r="G81" s="8"/>
      <c r="H81" s="8">
        <f t="shared" si="211"/>
        <v>4.3826839621626625E-2</v>
      </c>
      <c r="I81" s="8">
        <f t="shared" si="212"/>
        <v>-6.1100755335947637E-2</v>
      </c>
      <c r="J81" s="8">
        <f t="shared" si="213"/>
        <v>-2.4104548203784323E-2</v>
      </c>
      <c r="K81" s="8">
        <f t="shared" si="214"/>
        <v>-7.1225451418257452E-2</v>
      </c>
      <c r="L81" s="8">
        <f t="shared" si="120"/>
        <v>-7.1925630178436673E-2</v>
      </c>
      <c r="M81" s="8">
        <f t="shared" si="121"/>
        <v>-2.1927104169905207E-2</v>
      </c>
      <c r="N81" s="8">
        <f t="shared" si="122"/>
        <v>-5.9739513131211903E-2</v>
      </c>
      <c r="O81" s="8">
        <f t="shared" si="123"/>
        <v>4.5664918095720639E-2</v>
      </c>
      <c r="P81" s="8">
        <f t="shared" si="124"/>
        <v>2.2869855024002712E-3</v>
      </c>
      <c r="Q81" s="8">
        <f t="shared" si="125"/>
        <v>7.5158924095245841E-2</v>
      </c>
      <c r="R81" s="8">
        <f t="shared" si="126"/>
        <v>6.2405463394835645E-2</v>
      </c>
      <c r="S81" s="8">
        <f t="shared" si="127"/>
        <v>4.1948209882174264E-2</v>
      </c>
      <c r="T81" s="8">
        <f t="shared" si="128"/>
        <v>7.0459370525831011E-2</v>
      </c>
      <c r="U81" s="8">
        <f t="shared" si="129"/>
        <v>-2.6259689239341154E-2</v>
      </c>
      <c r="V81" s="8">
        <f t="shared" si="130"/>
        <v>1.9729371841743358E-2</v>
      </c>
      <c r="W81" s="8">
        <f t="shared" si="131"/>
        <v>-7.2559258958270367E-2</v>
      </c>
      <c r="X81" s="8">
        <f t="shared" si="132"/>
        <v>-4.7460744602133419E-2</v>
      </c>
      <c r="Y81" s="8">
        <f t="shared" si="133"/>
        <v>-5.8322996284949032E-2</v>
      </c>
      <c r="Z81" s="8">
        <f t="shared" si="134"/>
        <v>-7.5054595570111432E-2</v>
      </c>
      <c r="AA81" s="8">
        <f t="shared" si="135"/>
        <v>4.571854946312663E-3</v>
      </c>
      <c r="AB81" s="8">
        <f t="shared" si="136"/>
        <v>-4.0030767100191267E-2</v>
      </c>
      <c r="AC81" s="8">
        <f t="shared" si="137"/>
        <v>6.3652430112395228E-2</v>
      </c>
      <c r="AD81" s="8">
        <f t="shared" si="138"/>
        <v>2.8390533208630896E-2</v>
      </c>
      <c r="AE81" s="8">
        <f t="shared" si="139"/>
        <v>6.9628096325928229E-2</v>
      </c>
      <c r="AF81" s="8">
        <f t="shared" si="140"/>
        <v>7.3125751485761475E-2</v>
      </c>
      <c r="AG81" s="8">
        <f t="shared" si="141"/>
        <v>1.7513384695305733E-2</v>
      </c>
      <c r="AH81" s="8">
        <f t="shared" si="142"/>
        <v>5.6852515444949341E-2</v>
      </c>
      <c r="AI81" s="8">
        <f t="shared" si="143"/>
        <v>-4.9212657532640022E-2</v>
      </c>
      <c r="AJ81" s="8">
        <f t="shared" si="144"/>
        <v>-6.8524942311554192E-3</v>
      </c>
      <c r="AK81" s="8">
        <f t="shared" si="145"/>
        <v>-7.4880821954991225E-2</v>
      </c>
      <c r="AL81" s="8">
        <f t="shared" si="146"/>
        <v>-6.4840501718957624E-2</v>
      </c>
      <c r="AM81" s="8">
        <f t="shared" si="147"/>
        <v>-3.8076285410698449E-2</v>
      </c>
      <c r="AN81" s="8">
        <f t="shared" si="148"/>
        <v>-6.8732397964144779E-2</v>
      </c>
      <c r="AO81" s="8">
        <f t="shared" si="149"/>
        <v>3.0495108524836258E-2</v>
      </c>
      <c r="AP81" s="8">
        <f t="shared" si="150"/>
        <v>-1.5281193097069753E-2</v>
      </c>
      <c r="AQ81" s="8">
        <f t="shared" si="151"/>
        <v>7.362458360746893E-2</v>
      </c>
      <c r="AR81" s="8">
        <f t="shared" si="152"/>
        <v>5.0919035910534143E-2</v>
      </c>
      <c r="AS81" s="8">
        <f t="shared" si="153"/>
        <v>5.5329431189782251E-2</v>
      </c>
      <c r="AT81" s="8">
        <f t="shared" si="154"/>
        <v>7.4637764035833651E-2</v>
      </c>
      <c r="AU81" s="8">
        <f t="shared" si="155"/>
        <v>-9.1267931703490467E-3</v>
      </c>
      <c r="AV81" s="8">
        <f t="shared" si="156"/>
        <v>3.6086573219374432E-2</v>
      </c>
      <c r="AW81" s="8">
        <f t="shared" si="157"/>
        <v>-6.5968578938202405E-2</v>
      </c>
      <c r="AX81" s="8">
        <f t="shared" si="158"/>
        <v>-3.2571467906499285E-2</v>
      </c>
      <c r="AY81" s="8">
        <f t="shared" si="159"/>
        <v>-6.777310419524106E-2</v>
      </c>
      <c r="AZ81" s="8">
        <f t="shared" si="160"/>
        <v>-7.4055293773485936E-2</v>
      </c>
      <c r="BA81" s="8">
        <f t="shared" si="161"/>
        <v>-1.3034862406861376E-2</v>
      </c>
      <c r="BB81" s="8">
        <f t="shared" si="162"/>
        <v>-5.3755152769905397E-2</v>
      </c>
      <c r="BC81" s="8">
        <f t="shared" si="163"/>
        <v>5.2578300890455239E-2</v>
      </c>
      <c r="BD81" s="8">
        <f t="shared" si="164"/>
        <v>1.1392647443787264E-2</v>
      </c>
      <c r="BE81" s="8">
        <f t="shared" si="165"/>
        <v>7.4325646704651555E-2</v>
      </c>
      <c r="BF81" s="8">
        <f t="shared" si="166"/>
        <v>6.7035618004275627E-2</v>
      </c>
      <c r="BG81" s="8">
        <f t="shared" si="167"/>
        <v>3.4063471529307623E-2</v>
      </c>
      <c r="BH81" s="8">
        <f t="shared" si="168"/>
        <v>6.6751102616325469E-2</v>
      </c>
      <c r="BI81" s="8">
        <f t="shared" si="169"/>
        <v>-3.461769017926962E-2</v>
      </c>
      <c r="BJ81" s="8">
        <f t="shared" si="170"/>
        <v>1.0776471066856381E-2</v>
      </c>
      <c r="BK81" s="8">
        <f t="shared" si="171"/>
        <v>-7.441748346449456E-2</v>
      </c>
      <c r="BL81" s="8">
        <f t="shared" si="172"/>
        <v>-5.4188917219231636E-2</v>
      </c>
      <c r="BM81" s="8">
        <f t="shared" si="173"/>
        <v>-5.2131136803741152E-2</v>
      </c>
      <c r="BN81" s="8">
        <f t="shared" si="174"/>
        <v>-7.3944758751438411E-2</v>
      </c>
      <c r="BO81" s="8">
        <f t="shared" si="175"/>
        <v>1.3647960544883136E-2</v>
      </c>
      <c r="BP81" s="8">
        <f t="shared" si="176"/>
        <v>-3.2008852237583554E-2</v>
      </c>
      <c r="BQ81" s="8">
        <f t="shared" si="177"/>
        <v>6.8040631627547796E-2</v>
      </c>
      <c r="BR81" s="8">
        <f t="shared" si="178"/>
        <v>3.6631882053481647E-2</v>
      </c>
      <c r="BS81" s="8">
        <f t="shared" si="179"/>
        <v>6.5667338845600581E-2</v>
      </c>
      <c r="BT81" s="8">
        <f t="shared" si="180"/>
        <v>7.471081756049977E-2</v>
      </c>
      <c r="BU81" s="8">
        <f t="shared" si="181"/>
        <v>8.5081086784804857E-3</v>
      </c>
      <c r="BV81" s="8">
        <f t="shared" si="182"/>
        <v>5.0458885929920462E-2</v>
      </c>
      <c r="BW81" s="8">
        <f t="shared" si="183"/>
        <v>-5.5749394656394148E-2</v>
      </c>
      <c r="BX81" s="8">
        <f t="shared" si="184"/>
        <v>-1.5890645720389562E-2</v>
      </c>
      <c r="BY81" s="8">
        <f t="shared" si="185"/>
        <v>-7.3495452596961261E-2</v>
      </c>
      <c r="BZ81" s="8">
        <f t="shared" si="186"/>
        <v>-6.8982689908109143E-2</v>
      </c>
      <c r="CA81" s="8">
        <f t="shared" si="187"/>
        <v>-2.992461640330199E-2</v>
      </c>
      <c r="CB81" s="8">
        <f t="shared" si="188"/>
        <v>-6.4522815647413329E-2</v>
      </c>
      <c r="CC81" s="8">
        <f t="shared" si="189"/>
        <v>3.8612179875954007E-2</v>
      </c>
      <c r="CD81" s="8">
        <f t="shared" si="190"/>
        <v>-6.2318740689773222E-3</v>
      </c>
      <c r="CE81" s="8">
        <f t="shared" si="191"/>
        <v>7.4935024650903542E-2</v>
      </c>
      <c r="CF81" s="8">
        <f t="shared" si="192"/>
        <v>5.7258289353029332E-2</v>
      </c>
      <c r="CG81" s="8">
        <f t="shared" si="193"/>
        <v>4.8739947416958522E-2</v>
      </c>
      <c r="CH81" s="8">
        <f t="shared" si="194"/>
        <v>7.2978143966681744E-2</v>
      </c>
      <c r="CI81" s="8">
        <f t="shared" si="195"/>
        <v>-1.8118627901179147E-2</v>
      </c>
      <c r="CJ81" s="8">
        <f t="shared" si="196"/>
        <v>2.7812692488586706E-2</v>
      </c>
      <c r="CK81" s="8">
        <f t="shared" si="197"/>
        <v>-6.9860921196176817E-2</v>
      </c>
      <c r="CL81" s="8">
        <f t="shared" si="198"/>
        <v>-4.0556751354349385E-2</v>
      </c>
      <c r="CM81" s="8">
        <f t="shared" si="199"/>
        <v>-6.3318592004438901E-2</v>
      </c>
      <c r="CN81" s="8">
        <f t="shared" si="200"/>
        <v>-7.5089897285629328E-2</v>
      </c>
      <c r="CO81" s="8">
        <f t="shared" si="201"/>
        <v>-3.9498733494571312E-3</v>
      </c>
      <c r="CP81" s="8">
        <f t="shared" si="202"/>
        <v>-4.6975911731617429E-2</v>
      </c>
      <c r="CQ81" s="8">
        <f t="shared" si="203"/>
        <v>5.8714205187726097E-2</v>
      </c>
      <c r="CR81" s="8">
        <f t="shared" si="204"/>
        <v>2.0329845622240397E-2</v>
      </c>
      <c r="CS81" s="8">
        <f t="shared" si="205"/>
        <v>7.2393311506098318E-2</v>
      </c>
      <c r="CT81" s="8">
        <f t="shared" si="206"/>
        <v>7.0674512898591266E-2</v>
      </c>
      <c r="CU81" s="8">
        <f t="shared" si="207"/>
        <v>2.5675034574270211E-2</v>
      </c>
      <c r="CX81">
        <v>0.17173147901536814</v>
      </c>
      <c r="CY81">
        <v>0.7038159462890663</v>
      </c>
      <c r="DA81" s="21"/>
    </row>
    <row r="82" spans="1:105">
      <c r="A82" s="15">
        <v>80</v>
      </c>
      <c r="B82" s="16">
        <v>35</v>
      </c>
      <c r="C82" s="8">
        <f t="shared" si="208"/>
        <v>3.5553480614894135</v>
      </c>
      <c r="D82" s="8">
        <f t="shared" si="209"/>
        <v>5.4021505376344088</v>
      </c>
      <c r="E82" s="7">
        <f t="shared" si="210"/>
        <v>1.1625000000000001</v>
      </c>
      <c r="F82" s="8"/>
      <c r="G82" s="8"/>
      <c r="H82" s="8">
        <f t="shared" si="211"/>
        <v>4.8654996797379391E-2</v>
      </c>
      <c r="I82" s="8">
        <f t="shared" si="212"/>
        <v>-5.8980377825038788E-2</v>
      </c>
      <c r="J82" s="8">
        <f t="shared" si="213"/>
        <v>-1.4535565847611365E-2</v>
      </c>
      <c r="K82" s="8">
        <f t="shared" si="214"/>
        <v>-7.5064712130448352E-2</v>
      </c>
      <c r="L82" s="8">
        <f t="shared" si="120"/>
        <v>-6.7154506401078784E-2</v>
      </c>
      <c r="M82" s="8">
        <f t="shared" si="121"/>
        <v>-3.6554971642237602E-2</v>
      </c>
      <c r="N82" s="8">
        <f t="shared" si="122"/>
        <v>-7.0932413116730139E-2</v>
      </c>
      <c r="O82" s="8">
        <f t="shared" si="123"/>
        <v>2.8540960936430569E-2</v>
      </c>
      <c r="P82" s="8">
        <f t="shared" si="124"/>
        <v>-2.3121639118371954E-2</v>
      </c>
      <c r="Q82" s="8">
        <f t="shared" si="125"/>
        <v>7.287923906173209E-2</v>
      </c>
      <c r="R82" s="8">
        <f t="shared" si="126"/>
        <v>4.1505351975255282E-2</v>
      </c>
      <c r="S82" s="8">
        <f t="shared" si="127"/>
        <v>6.4212922680310217E-2</v>
      </c>
      <c r="T82" s="8">
        <f t="shared" si="128"/>
        <v>7.5945771699171105E-2</v>
      </c>
      <c r="U82" s="8">
        <f t="shared" si="129"/>
        <v>8.8449670861290523E-3</v>
      </c>
      <c r="V82" s="8">
        <f t="shared" si="130"/>
        <v>5.5151327760405253E-2</v>
      </c>
      <c r="W82" s="8">
        <f t="shared" si="131"/>
        <v>-5.295587529256484E-2</v>
      </c>
      <c r="X82" s="8">
        <f t="shared" si="132"/>
        <v>-5.7543165981606631E-3</v>
      </c>
      <c r="Y82" s="8">
        <f t="shared" si="133"/>
        <v>-7.6242255490150984E-2</v>
      </c>
      <c r="Z82" s="8">
        <f t="shared" si="134"/>
        <v>-6.247488408331911E-2</v>
      </c>
      <c r="AA82" s="8">
        <f t="shared" si="135"/>
        <v>-4.4078141300571728E-2</v>
      </c>
      <c r="AB82" s="8">
        <f t="shared" si="136"/>
        <v>-7.375787647406766E-2</v>
      </c>
      <c r="AC82" s="8">
        <f t="shared" si="137"/>
        <v>2.0143717129008296E-2</v>
      </c>
      <c r="AD82" s="8">
        <f t="shared" si="138"/>
        <v>-3.139724710754991E-2</v>
      </c>
      <c r="AE82" s="8">
        <f t="shared" si="139"/>
        <v>6.9715181673755788E-2</v>
      </c>
      <c r="AF82" s="8">
        <f t="shared" si="140"/>
        <v>3.3798394986713415E-2</v>
      </c>
      <c r="AG82" s="8">
        <f t="shared" si="141"/>
        <v>6.8583249981751596E-2</v>
      </c>
      <c r="AH82" s="8">
        <f t="shared" si="142"/>
        <v>7.4412685185530528E-2</v>
      </c>
      <c r="AI82" s="8">
        <f t="shared" si="143"/>
        <v>1.7571168578567904E-2</v>
      </c>
      <c r="AJ82" s="8">
        <f t="shared" si="144"/>
        <v>6.0907115528585166E-2</v>
      </c>
      <c r="AK82" s="8">
        <f t="shared" si="145"/>
        <v>-4.6220308953152905E-2</v>
      </c>
      <c r="AL82" s="8">
        <f t="shared" si="146"/>
        <v>3.1041986060869726E-3</v>
      </c>
      <c r="AM82" s="8">
        <f t="shared" si="147"/>
        <v>-7.6396057704251299E-2</v>
      </c>
      <c r="AN82" s="8">
        <f t="shared" si="148"/>
        <v>-5.6956381685324881E-2</v>
      </c>
      <c r="AO82" s="8">
        <f t="shared" si="149"/>
        <v>-5.1009452722538734E-2</v>
      </c>
      <c r="AP82" s="8">
        <f t="shared" si="150"/>
        <v>-7.5592957628343366E-2</v>
      </c>
      <c r="AQ82" s="8">
        <f t="shared" si="151"/>
        <v>1.1475994019552729E-2</v>
      </c>
      <c r="AR82" s="8">
        <f t="shared" si="152"/>
        <v>-3.9251269277735257E-2</v>
      </c>
      <c r="AS82" s="8">
        <f t="shared" si="153"/>
        <v>6.5615025274886871E-2</v>
      </c>
      <c r="AT82" s="8">
        <f t="shared" si="154"/>
        <v>2.5637610820830894E-2</v>
      </c>
      <c r="AU82" s="8">
        <f t="shared" si="155"/>
        <v>7.2032677259261588E-2</v>
      </c>
      <c r="AV82" s="8">
        <f t="shared" si="156"/>
        <v>7.1880424039798385E-2</v>
      </c>
      <c r="AW82" s="8">
        <f t="shared" si="157"/>
        <v>2.6061433605926197E-2</v>
      </c>
      <c r="AX82" s="8">
        <f t="shared" si="158"/>
        <v>6.5845074393020009E-2</v>
      </c>
      <c r="AY82" s="8">
        <f t="shared" si="159"/>
        <v>-3.8864120470106948E-2</v>
      </c>
      <c r="AZ82" s="8">
        <f t="shared" si="160"/>
        <v>1.1921032254395031E-2</v>
      </c>
      <c r="BA82" s="8">
        <f t="shared" si="161"/>
        <v>-7.55240535970296E-2</v>
      </c>
      <c r="BB82" s="8">
        <f t="shared" si="162"/>
        <v>-5.0673098772103103E-2</v>
      </c>
      <c r="BC82" s="8">
        <f t="shared" si="163"/>
        <v>-5.7255835882205126E-2</v>
      </c>
      <c r="BD82" s="8">
        <f t="shared" si="164"/>
        <v>-7.6413016069237782E-2</v>
      </c>
      <c r="BE82" s="8">
        <f t="shared" si="165"/>
        <v>2.6541772623044531E-3</v>
      </c>
      <c r="BF82" s="8">
        <f t="shared" si="166"/>
        <v>-4.6578245925482514E-2</v>
      </c>
      <c r="BG82" s="8">
        <f t="shared" si="167"/>
        <v>6.0633824621597117E-2</v>
      </c>
      <c r="BH82" s="8">
        <f t="shared" si="168"/>
        <v>1.7132578220749151E-2</v>
      </c>
      <c r="BI82" s="8">
        <f t="shared" si="169"/>
        <v>7.4514887406794336E-2</v>
      </c>
      <c r="BJ82" s="8">
        <f t="shared" si="170"/>
        <v>6.8382990140719177E-2</v>
      </c>
      <c r="BK82" s="8">
        <f t="shared" si="171"/>
        <v>3.420175932830985E-2</v>
      </c>
      <c r="BL82" s="8">
        <f t="shared" si="172"/>
        <v>6.9898900023751126E-2</v>
      </c>
      <c r="BM82" s="8">
        <f t="shared" si="173"/>
        <v>-3.098608489640101E-2</v>
      </c>
      <c r="BN82" s="8">
        <f t="shared" si="174"/>
        <v>2.0577796514167589E-2</v>
      </c>
      <c r="BO82" s="8">
        <f t="shared" si="175"/>
        <v>-7.3637951983734837E-2</v>
      </c>
      <c r="BP82" s="8">
        <f t="shared" si="176"/>
        <v>-4.3709403981574413E-2</v>
      </c>
      <c r="BQ82" s="8">
        <f t="shared" si="177"/>
        <v>-6.2733417612249154E-2</v>
      </c>
      <c r="BR82" s="8">
        <f t="shared" si="178"/>
        <v>-7.6207040480751373E-2</v>
      </c>
      <c r="BS82" s="8">
        <f t="shared" si="179"/>
        <v>-6.2032783995600955E-3</v>
      </c>
      <c r="BT82" s="8">
        <f t="shared" si="180"/>
        <v>-5.3279794239067674E-2</v>
      </c>
      <c r="BU82" s="8">
        <f t="shared" si="181"/>
        <v>5.4838464671979441E-2</v>
      </c>
      <c r="BV82" s="8">
        <f t="shared" si="182"/>
        <v>8.3974983176070012E-3</v>
      </c>
      <c r="BW82" s="8">
        <f t="shared" si="183"/>
        <v>7.5996550604241986E-2</v>
      </c>
      <c r="BX82" s="8">
        <f t="shared" si="184"/>
        <v>6.3967345202152442E-2</v>
      </c>
      <c r="BY82" s="8">
        <f t="shared" si="185"/>
        <v>4.1882841707863994E-2</v>
      </c>
      <c r="BZ82" s="8">
        <f t="shared" si="186"/>
        <v>7.3014159769638418E-2</v>
      </c>
      <c r="CA82" s="8">
        <f t="shared" si="187"/>
        <v>-2.269198437490736E-2</v>
      </c>
      <c r="CB82" s="8">
        <f t="shared" si="188"/>
        <v>2.8958252880870217E-2</v>
      </c>
      <c r="CC82" s="8">
        <f t="shared" si="189"/>
        <v>-7.0763078450735151E-2</v>
      </c>
      <c r="CD82" s="8">
        <f t="shared" si="190"/>
        <v>-3.6158802166613997E-2</v>
      </c>
      <c r="CE82" s="8">
        <f t="shared" si="191"/>
        <v>-6.7368647808999385E-2</v>
      </c>
      <c r="CF82" s="8">
        <f t="shared" si="192"/>
        <v>-7.4977796595397758E-2</v>
      </c>
      <c r="CG82" s="8">
        <f t="shared" si="193"/>
        <v>-1.497743968228504E-2</v>
      </c>
      <c r="CH82" s="8">
        <f t="shared" si="194"/>
        <v>-5.9265929331452943E-2</v>
      </c>
      <c r="CI82" s="8">
        <f t="shared" si="195"/>
        <v>4.8306762489495739E-2</v>
      </c>
      <c r="CJ82" s="8">
        <f t="shared" si="196"/>
        <v>-4.5033880254810143E-4</v>
      </c>
      <c r="CK82" s="8">
        <f t="shared" si="197"/>
        <v>7.6457771852835504E-2</v>
      </c>
      <c r="CL82" s="8">
        <f t="shared" si="198"/>
        <v>5.8692780195739994E-2</v>
      </c>
      <c r="CM82" s="8">
        <f t="shared" si="199"/>
        <v>4.9001543186229124E-2</v>
      </c>
      <c r="CN82" s="8">
        <f t="shared" si="200"/>
        <v>7.5149023551538574E-2</v>
      </c>
      <c r="CO82" s="8">
        <f t="shared" si="201"/>
        <v>-1.4093187751095415E-2</v>
      </c>
      <c r="CP82" s="8">
        <f t="shared" si="202"/>
        <v>3.6949872967896792E-2</v>
      </c>
      <c r="CQ82" s="8">
        <f t="shared" si="203"/>
        <v>-6.6938035296784854E-2</v>
      </c>
      <c r="CR82" s="8">
        <f t="shared" si="204"/>
        <v>-2.8122678860773291E-2</v>
      </c>
      <c r="CS82" s="8">
        <f t="shared" si="205"/>
        <v>-7.1099287024773611E-2</v>
      </c>
      <c r="CT82" s="8">
        <f t="shared" si="206"/>
        <v>-7.2741790057393882E-2</v>
      </c>
      <c r="CU82" s="8">
        <f t="shared" si="207"/>
        <v>-2.3550491735489468E-2</v>
      </c>
      <c r="DA82" s="20">
        <v>1.0698086557526375E-3</v>
      </c>
    </row>
    <row r="83" spans="1:105">
      <c r="A83" s="15">
        <v>81</v>
      </c>
      <c r="B83" s="16">
        <v>37</v>
      </c>
      <c r="C83" s="8">
        <f t="shared" si="208"/>
        <v>3.6109179126442243</v>
      </c>
      <c r="D83" s="8">
        <f t="shared" si="209"/>
        <v>5.4696774193548388</v>
      </c>
      <c r="E83" s="7">
        <f t="shared" si="210"/>
        <v>1.1481481481481481</v>
      </c>
      <c r="F83" s="8"/>
      <c r="G83" s="8"/>
      <c r="H83" s="8">
        <f t="shared" si="211"/>
        <v>5.3344787484704025E-2</v>
      </c>
      <c r="I83" s="8">
        <f t="shared" si="212"/>
        <v>-5.6431378258627152E-2</v>
      </c>
      <c r="J83" s="8">
        <f t="shared" si="213"/>
        <v>-4.3633740918062845E-3</v>
      </c>
      <c r="K83" s="8">
        <f t="shared" si="214"/>
        <v>-7.7531463100417794E-2</v>
      </c>
      <c r="L83" s="8">
        <f t="shared" ref="L83:L95" si="215">(2/93)*($C83*COS(L$1*$D83))</f>
        <v>-5.9339657499073675E-2</v>
      </c>
      <c r="M83" s="8">
        <f t="shared" ref="M83:M95" si="216">(2/93)*($C83*SIN(M$1*$D83))</f>
        <v>-5.0089638168478737E-2</v>
      </c>
      <c r="N83" s="8">
        <f t="shared" ref="N83:N95" si="217">(2/93)*($C83*COS(N$1*$D83))</f>
        <v>-7.7163794085722978E-2</v>
      </c>
      <c r="O83" s="8">
        <f t="shared" ref="O83:O95" si="218">(2/93)*($C83*SIN(O$1*$D83))</f>
        <v>8.7129608201022158E-3</v>
      </c>
      <c r="P83" s="8">
        <f t="shared" ref="P83:P95" si="219">(2/93)*($C83*COS(P$1*$D83))</f>
        <v>-4.6676215911405118E-2</v>
      </c>
      <c r="Q83" s="8">
        <f t="shared" ref="Q83:Q95" si="220">(2/93)*($C83*SIN(Q$1*$D83))</f>
        <v>6.2060435642592643E-2</v>
      </c>
      <c r="R83" s="8">
        <f t="shared" ref="R83:R95" si="221">(2/93)*($C83*COS(R$1*$D83))</f>
        <v>1.3035016386606547E-2</v>
      </c>
      <c r="S83" s="8">
        <f t="shared" ref="S83:S95" si="222">(2/93)*($C83*SIN(S$1*$D83))</f>
        <v>7.6552303373297603E-2</v>
      </c>
      <c r="T83" s="8">
        <f t="shared" ref="T83:T95" si="223">(2/93)*($C83*COS(T$1*$D83))</f>
        <v>6.4585115590583803E-2</v>
      </c>
      <c r="U83" s="8">
        <f t="shared" ref="U83:U95" si="224">(2/93)*($C83*SIN(U$1*$D83))</f>
        <v>4.3115306424835034E-2</v>
      </c>
      <c r="V83" s="8">
        <f t="shared" ref="V83:V95" si="225">(2/93)*($C83*COS(V$1*$D83))</f>
        <v>7.569892314785874E-2</v>
      </c>
      <c r="W83" s="8">
        <f t="shared" ref="W83:W95" si="226">(2/93)*($C83*SIN(W$1*$D83))</f>
        <v>-1.73158839858399E-2</v>
      </c>
      <c r="X83" s="8">
        <f t="shared" ref="X83:X95" si="227">(2/93)*($C83*COS(X$1*$D83))</f>
        <v>3.941816144939024E-2</v>
      </c>
      <c r="Y83" s="8">
        <f t="shared" ref="Y83:Y95" si="228">(2/93)*($C83*SIN(Y$1*$D83))</f>
        <v>-6.6905719874359754E-2</v>
      </c>
      <c r="Z83" s="8">
        <f t="shared" ref="Z83:Z95" si="229">(2/93)*($C83*COS(Z$1*$D83))</f>
        <v>-2.1542036957816285E-2</v>
      </c>
      <c r="AA83" s="8">
        <f t="shared" ref="AA83:AA95" si="230">(2/93)*($C83*SIN(AA$1*$D83))</f>
        <v>-7.4606349915168541E-2</v>
      </c>
      <c r="AB83" s="8">
        <f t="shared" ref="AB83:AB95" si="231">(2/93)*($C83*COS(AB$1*$D83))</f>
        <v>-6.901491586230292E-2</v>
      </c>
      <c r="AC83" s="8">
        <f t="shared" ref="AC83:AC95" si="232">(2/93)*($C83*SIN(AC$1*$D83))</f>
        <v>-3.5596463201780879E-2</v>
      </c>
      <c r="AD83" s="8">
        <f t="shared" ref="AD83:AD95" si="233">(2/93)*($C83*COS(AD$1*$D83))</f>
        <v>-7.3278035981631295E-2</v>
      </c>
      <c r="AE83" s="8">
        <f t="shared" ref="AE83:AE95" si="234">(2/93)*($C83*SIN(AE$1*$D83))</f>
        <v>2.5700121529503347E-2</v>
      </c>
      <c r="AF83" s="8">
        <f t="shared" ref="AF83:AF95" si="235">(2/93)*($C83*COS(AF$1*$D83))</f>
        <v>-3.1662287461406181E-2</v>
      </c>
      <c r="AG83" s="8">
        <f t="shared" ref="AG83:AG95" si="236">(2/93)*($C83*SIN(AG$1*$D83))</f>
        <v>7.0906038929471824E-2</v>
      </c>
      <c r="AH83" s="8">
        <f t="shared" ref="AH83:AH95" si="237">(2/93)*($C83*COS(AH$1*$D83))</f>
        <v>2.977699900999678E-2</v>
      </c>
      <c r="AI83" s="8">
        <f t="shared" ref="AI83:AI95" si="238">(2/93)*($C83*SIN(AI$1*$D83))</f>
        <v>7.1718178545715605E-2</v>
      </c>
      <c r="AJ83" s="8">
        <f t="shared" ref="AJ83:AJ95" si="239">(2/93)*($C83*COS(AJ$1*$D83))</f>
        <v>7.2573113516444035E-2</v>
      </c>
      <c r="AK83" s="8">
        <f t="shared" ref="AK83:AK95" si="240">(2/93)*($C83*SIN(AK$1*$D83))</f>
        <v>2.7628065413376673E-2</v>
      </c>
      <c r="AL83" s="8">
        <f t="shared" ref="AL83:AL95" si="241">(2/93)*($C83*COS(AL$1*$D83))</f>
        <v>6.9931706435672619E-2</v>
      </c>
      <c r="AM83" s="8">
        <f t="shared" ref="AM83:AM95" si="242">(2/93)*($C83*SIN(AM$1*$D83))</f>
        <v>-3.375978730607461E-2</v>
      </c>
      <c r="AN83" s="8">
        <f t="shared" ref="AN83:AN95" si="243">(2/93)*($C83*COS(AN$1*$D83))</f>
        <v>2.3506544368532441E-2</v>
      </c>
      <c r="AO83" s="8">
        <f t="shared" ref="AO83:AO95" si="244">(2/93)*($C83*SIN(AO$1*$D83))</f>
        <v>-7.401087201085195E-2</v>
      </c>
      <c r="AP83" s="8">
        <f t="shared" ref="AP83:AP95" si="245">(2/93)*($C83*COS(AP$1*$D83))</f>
        <v>-3.763590162696083E-2</v>
      </c>
      <c r="AQ83" s="8">
        <f t="shared" ref="AQ83:AQ95" si="246">(2/93)*($C83*SIN(AQ$1*$D83))</f>
        <v>-6.7924264535453152E-2</v>
      </c>
      <c r="AR83" s="8">
        <f t="shared" ref="AR83:AR95" si="247">(2/93)*($C83*COS(AR$1*$D83))</f>
        <v>-7.5214771391953927E-2</v>
      </c>
      <c r="AS83" s="8">
        <f t="shared" ref="AS83:AS95" si="248">(2/93)*($C83*SIN(AS$1*$D83))</f>
        <v>-1.9310747484564128E-2</v>
      </c>
      <c r="AT83" s="8">
        <f t="shared" ref="AT83:AT95" si="249">(2/93)*($C83*COS(AT$1*$D83))</f>
        <v>-6.5702195948037126E-2</v>
      </c>
      <c r="AU83" s="8">
        <f t="shared" ref="AU83:AU95" si="250">(2/93)*($C83*SIN(AU$1*$D83))</f>
        <v>4.1393094249671955E-2</v>
      </c>
      <c r="AV83" s="8">
        <f t="shared" ref="AV83:AV95" si="251">(2/93)*($C83*COS(AV$1*$D83))</f>
        <v>-1.5053932615517181E-2</v>
      </c>
      <c r="AW83" s="8">
        <f t="shared" ref="AW83:AW95" si="252">(2/93)*($C83*SIN(AW$1*$D83))</f>
        <v>7.618100758564407E-2</v>
      </c>
      <c r="AX83" s="8">
        <f t="shared" ref="AX83:AX95" si="253">(2/93)*($C83*COS(AX$1*$D83))</f>
        <v>4.5019493219299288E-2</v>
      </c>
      <c r="AY83" s="8">
        <f t="shared" ref="AY83:AY95" si="254">(2/93)*($C83*SIN(AY$1*$D83))</f>
        <v>6.327252195253448E-2</v>
      </c>
      <c r="AZ83" s="8">
        <f t="shared" ref="AZ83:AZ95" si="255">(2/93)*($C83*COS(AZ$1*$D83))</f>
        <v>7.6906527484542839E-2</v>
      </c>
      <c r="BA83" s="8">
        <f t="shared" ref="BA83:BA95" si="256">(2/93)*($C83*SIN(BA$1*$D83))</f>
        <v>1.0749550419703491E-2</v>
      </c>
      <c r="BB83" s="8">
        <f t="shared" ref="BB83:BB95" si="257">(2/93)*($C83*COS(BB$1*$D83))</f>
        <v>6.0642919818389873E-2</v>
      </c>
      <c r="BC83" s="8">
        <f t="shared" ref="BC83:BC95" si="258">(2/93)*($C83*SIN(BC$1*$D83))</f>
        <v>-4.8503639861940555E-2</v>
      </c>
      <c r="BD83" s="8">
        <f t="shared" ref="BD83:BD95" si="259">(2/93)*($C83*COS(BD$1*$D83))</f>
        <v>6.41120185839232E-3</v>
      </c>
      <c r="BE83" s="8">
        <f t="shared" ref="BE83:BE95" si="260">(2/93)*($C83*SIN(BE$1*$D83))</f>
        <v>-7.7389038595187615E-2</v>
      </c>
      <c r="BF83" s="8">
        <f t="shared" ref="BF83:BF95" si="261">(2/93)*($C83*COS(BF$1*$D83))</f>
        <v>-5.183452499175311E-2</v>
      </c>
      <c r="BG83" s="8">
        <f t="shared" ref="BG83:BG95" si="262">(2/93)*($C83*SIN(BG$1*$D83))</f>
        <v>-5.7821698546789632E-2</v>
      </c>
      <c r="BH83" s="8">
        <f t="shared" ref="BH83:BH95" si="263">(2/93)*($C83*COS(BH$1*$D83))</f>
        <v>-7.7627016281840253E-2</v>
      </c>
      <c r="BI83" s="8">
        <f t="shared" ref="BI83:BI95" si="264">(2/93)*($C83*SIN(BI$1*$D83))</f>
        <v>-2.0525952195693787E-3</v>
      </c>
      <c r="BJ83" s="8">
        <f t="shared" ref="BJ83:BJ95" si="265">(2/93)*($C83*COS(BJ$1*$D83))</f>
        <v>-5.4817772615933243E-2</v>
      </c>
      <c r="BK83" s="8">
        <f t="shared" ref="BK83:BK95" si="266">(2/93)*($C83*SIN(BK$1*$D83))</f>
        <v>5.5001623697708529E-2</v>
      </c>
      <c r="BL83" s="8">
        <f t="shared" ref="BL83:BL95" si="267">(2/93)*($C83*COS(BL$1*$D83))</f>
        <v>2.3124971974234805E-3</v>
      </c>
      <c r="BM83" s="8">
        <f t="shared" ref="BM83:BM95" si="268">(2/93)*($C83*SIN(BM$1*$D83))</f>
        <v>7.7619708584021369E-2</v>
      </c>
      <c r="BN83" s="8">
        <f t="shared" ref="BN83:BN95" si="269">(2/93)*($C83*COS(BN$1*$D83))</f>
        <v>5.7994928600147544E-2</v>
      </c>
      <c r="BO83" s="8">
        <f t="shared" ref="BO83:BO95" si="270">(2/93)*($C83*SIN(BO$1*$D83))</f>
        <v>5.1640633813115434E-2</v>
      </c>
      <c r="BP83" s="8">
        <f t="shared" ref="BP83:BP95" si="271">(2/93)*($C83*COS(BP$1*$D83))</f>
        <v>7.7367138592551066E-2</v>
      </c>
      <c r="BQ83" s="8">
        <f t="shared" ref="BQ83:BQ95" si="272">(2/93)*($C83*SIN(BQ$1*$D83))</f>
        <v>-6.6702825995221962E-3</v>
      </c>
      <c r="BR83" s="8">
        <f t="shared" ref="BR83:BR95" si="273">(2/93)*($C83*COS(BR$1*$D83))</f>
        <v>4.8300321242633878E-2</v>
      </c>
      <c r="BS83" s="8">
        <f t="shared" ref="BS83:BS95" si="274">(2/93)*($C83*SIN(BS$1*$D83))</f>
        <v>-6.0804981472037826E-2</v>
      </c>
      <c r="BT83" s="8">
        <f t="shared" ref="BT83:BT95" si="275">(2/93)*($C83*COS(BT$1*$D83))</f>
        <v>-1.1006991282324921E-2</v>
      </c>
      <c r="BU83" s="8">
        <f t="shared" ref="BU83:BU95" si="276">(2/93)*($C83*SIN(BU$1*$D83))</f>
        <v>-7.6870104376586576E-2</v>
      </c>
      <c r="BV83" s="8">
        <f t="shared" ref="BV83:BV95" si="277">(2/93)*($C83*COS(BV$1*$D83))</f>
        <v>-6.3422903125023564E-2</v>
      </c>
      <c r="BW83" s="8">
        <f t="shared" ref="BW83:BW95" si="278">(2/93)*($C83*SIN(BW$1*$D83))</f>
        <v>-4.4807389604287026E-2</v>
      </c>
      <c r="BX83" s="8">
        <f t="shared" ref="BX83:BX95" si="279">(2/93)*($C83*COS(BX$1*$D83))</f>
        <v>-7.6130176461888133E-2</v>
      </c>
      <c r="BY83" s="8">
        <f t="shared" ref="BY83:BY95" si="280">(2/93)*($C83*SIN(BY$1*$D83))</f>
        <v>1.5308920139522118E-2</v>
      </c>
      <c r="BZ83" s="8">
        <f t="shared" ref="BZ83:BZ95" si="281">(2/93)*($C83*COS(BZ$1*$D83))</f>
        <v>-4.1172875842696514E-2</v>
      </c>
      <c r="CA83" s="8">
        <f t="shared" ref="CA83:CA95" si="282">(2/93)*($C83*SIN(CA$1*$D83))</f>
        <v>6.5840421465831994E-2</v>
      </c>
      <c r="CB83" s="8">
        <f t="shared" ref="CB83:CB95" si="283">(2/93)*($C83*COS(CB$1*$D83))</f>
        <v>1.9562475961890393E-2</v>
      </c>
      <c r="CC83" s="8">
        <f t="shared" ref="CC83:CC95" si="284">(2/93)*($C83*SIN(CC$1*$D83))</f>
        <v>7.5149692868280923E-2</v>
      </c>
      <c r="CD83" s="8">
        <f t="shared" ref="CD83:CD95" si="285">(2/93)*($C83*COS(CD$1*$D83))</f>
        <v>6.8049897634384571E-2</v>
      </c>
      <c r="CE83" s="8">
        <f t="shared" ref="CE83:CE95" si="286">(2/93)*($C83*SIN(CE$1*$D83))</f>
        <v>3.7408264272835126E-2</v>
      </c>
      <c r="CF83" s="8">
        <f t="shared" ref="CF83:CF95" si="287">(2/93)*($C83*COS(CF$1*$D83))</f>
        <v>7.3931751721993996E-2</v>
      </c>
      <c r="CG83" s="8">
        <f t="shared" ref="CG83:CG95" si="288">(2/93)*($C83*SIN(CG$1*$D83))</f>
        <v>-2.3754218389034177E-2</v>
      </c>
      <c r="CH83" s="8">
        <f t="shared" ref="CH83:CH95" si="289">(2/93)*($C83*COS(CH$1*$D83))</f>
        <v>3.3525450291956672E-2</v>
      </c>
      <c r="CI83" s="8">
        <f t="shared" ref="CI83:CI95" si="290">(2/93)*($C83*SIN(CI$1*$D83))</f>
        <v>-7.0044350141021616E-2</v>
      </c>
      <c r="CJ83" s="8">
        <f t="shared" ref="CJ83:CJ95" si="291">(2/93)*($C83*COS(CJ$1*$D83))</f>
        <v>-2.7870902378156582E-2</v>
      </c>
      <c r="CK83" s="8">
        <f t="shared" ref="CK83:CK95" si="292">(2/93)*($C83*SIN(CK$1*$D83))</f>
        <v>-7.2480201466219432E-2</v>
      </c>
      <c r="CL83" s="8">
        <f t="shared" ref="CL83:CL95" si="293">(2/93)*($C83*COS(CL$1*$D83))</f>
        <v>-7.1817476926571797E-2</v>
      </c>
      <c r="CM83" s="8">
        <f t="shared" ref="CM83:CM95" si="294">(2/93)*($C83*SIN(CM$1*$D83))</f>
        <v>-2.9536702792590432E-2</v>
      </c>
      <c r="CN83" s="8">
        <f t="shared" ref="CN83:CN95" si="295">(2/93)*($C83*COS(CN$1*$D83))</f>
        <v>-7.0799628700824402E-2</v>
      </c>
      <c r="CO83" s="8">
        <f t="shared" ref="CO83:CO95" si="296">(2/93)*($C83*SIN(CO$1*$D83))</f>
        <v>3.1899520055666881E-2</v>
      </c>
      <c r="CP83" s="8">
        <f t="shared" ref="CP83:CP95" si="297">(2/93)*($C83*COS(CP$1*$D83))</f>
        <v>-2.5454625395367522E-2</v>
      </c>
      <c r="CQ83" s="8">
        <f t="shared" ref="CQ83:CQ95" si="298">(2/93)*($C83*SIN(CQ$1*$D83))</f>
        <v>7.3363675275561285E-2</v>
      </c>
      <c r="CR83" s="8">
        <f t="shared" ref="CR83:CR95" si="299">(2/93)*($C83*COS(CR$1*$D83))</f>
        <v>3.582734181938213E-2</v>
      </c>
      <c r="CS83" s="8">
        <f t="shared" ref="CS83:CS95" si="300">(2/93)*($C83*SIN(CS$1*$D83))</f>
        <v>6.889534368964019E-2</v>
      </c>
      <c r="CT83" s="8">
        <f t="shared" ref="CT83:CT95" si="301">(2/93)*($C83*COS(CT$1*$D83))</f>
        <v>7.4678059519640752E-2</v>
      </c>
      <c r="CU83" s="8">
        <f t="shared" si="207"/>
        <v>2.1292116624175367E-2</v>
      </c>
      <c r="CX83">
        <v>9.8301376566830079E-2</v>
      </c>
      <c r="CY83">
        <v>0.40019722144840331</v>
      </c>
      <c r="DA83" s="21"/>
    </row>
    <row r="84" spans="1:105">
      <c r="A84" s="15">
        <v>82</v>
      </c>
      <c r="B84" s="16">
        <v>61</v>
      </c>
      <c r="C84" s="8">
        <f t="shared" si="208"/>
        <v>4.1108738641733114</v>
      </c>
      <c r="D84" s="8">
        <f t="shared" si="209"/>
        <v>5.5372043010752696</v>
      </c>
      <c r="E84" s="7">
        <f t="shared" si="210"/>
        <v>1.1341463414634145</v>
      </c>
      <c r="F84" s="8"/>
      <c r="G84" s="8"/>
      <c r="H84" s="8">
        <f t="shared" si="211"/>
        <v>6.4927270378472152E-2</v>
      </c>
      <c r="I84" s="8">
        <f t="shared" si="212"/>
        <v>-6.0000423904347483E-2</v>
      </c>
      <c r="J84" s="8">
        <f t="shared" si="213"/>
        <v>6.9622009711808198E-3</v>
      </c>
      <c r="K84" s="8">
        <f t="shared" si="214"/>
        <v>-8.8131317164430886E-2</v>
      </c>
      <c r="L84" s="8">
        <f t="shared" si="215"/>
        <v>-5.4700876929455494E-2</v>
      </c>
      <c r="M84" s="8">
        <f t="shared" si="216"/>
        <v>-6.9450812598911935E-2</v>
      </c>
      <c r="N84" s="8">
        <f t="shared" si="217"/>
        <v>-8.7309305543770824E-2</v>
      </c>
      <c r="O84" s="8">
        <f t="shared" si="218"/>
        <v>-1.3881155318095468E-2</v>
      </c>
      <c r="P84" s="8">
        <f t="shared" si="219"/>
        <v>-7.354295199000549E-2</v>
      </c>
      <c r="Q84" s="8">
        <f t="shared" si="220"/>
        <v>4.9061548284745016E-2</v>
      </c>
      <c r="R84" s="8">
        <f t="shared" si="221"/>
        <v>-2.0713885048555057E-2</v>
      </c>
      <c r="S84" s="8">
        <f t="shared" si="222"/>
        <v>8.5944960723103869E-2</v>
      </c>
      <c r="T84" s="8">
        <f t="shared" si="223"/>
        <v>4.3117467399562355E-2</v>
      </c>
      <c r="U84" s="8">
        <f t="shared" si="224"/>
        <v>7.7178269691334095E-2</v>
      </c>
      <c r="V84" s="8">
        <f t="shared" si="225"/>
        <v>8.4046757509186165E-2</v>
      </c>
      <c r="W84" s="8">
        <f t="shared" si="226"/>
        <v>2.7417947765882814E-2</v>
      </c>
      <c r="X84" s="8">
        <f t="shared" si="227"/>
        <v>8.033418445030735E-2</v>
      </c>
      <c r="Y84" s="8">
        <f t="shared" si="228"/>
        <v>-3.6905556711755723E-2</v>
      </c>
      <c r="Z84" s="8">
        <f t="shared" si="229"/>
        <v>3.3951700305424985E-2</v>
      </c>
      <c r="AA84" s="8">
        <f t="shared" si="230"/>
        <v>-8.1626486840187015E-2</v>
      </c>
      <c r="AB84" s="8">
        <f t="shared" si="231"/>
        <v>-3.0464402319112953E-2</v>
      </c>
      <c r="AC84" s="8">
        <f t="shared" si="232"/>
        <v>-8.2991092888573564E-2</v>
      </c>
      <c r="AD84" s="8">
        <f t="shared" si="233"/>
        <v>-7.8699182544730434E-2</v>
      </c>
      <c r="AE84" s="8">
        <f t="shared" si="234"/>
        <v>-4.0274557406529216E-2</v>
      </c>
      <c r="AF84" s="8">
        <f t="shared" si="235"/>
        <v>-8.513249127097558E-2</v>
      </c>
      <c r="AG84" s="8">
        <f t="shared" si="236"/>
        <v>2.3834014296754268E-2</v>
      </c>
      <c r="AH84" s="8">
        <f t="shared" si="237"/>
        <v>-4.6347243813214783E-2</v>
      </c>
      <c r="AI84" s="8">
        <f t="shared" si="238"/>
        <v>7.5283027957296217E-2</v>
      </c>
      <c r="AJ84" s="8">
        <f t="shared" si="239"/>
        <v>1.7055578169304544E-2</v>
      </c>
      <c r="AK84" s="8">
        <f t="shared" si="240"/>
        <v>8.6745078020665584E-2</v>
      </c>
      <c r="AL84" s="8">
        <f t="shared" si="241"/>
        <v>7.1399242970055149E-2</v>
      </c>
      <c r="AM84" s="8">
        <f t="shared" si="242"/>
        <v>5.2132038237571829E-2</v>
      </c>
      <c r="AN84" s="8">
        <f t="shared" si="243"/>
        <v>8.7818836343593859E-2</v>
      </c>
      <c r="AO84" s="8">
        <f t="shared" si="244"/>
        <v>-1.0171199081607799E-2</v>
      </c>
      <c r="AP84" s="8">
        <f t="shared" si="245"/>
        <v>5.7593007670489742E-2</v>
      </c>
      <c r="AQ84" s="8">
        <f t="shared" si="246"/>
        <v>-6.7071952222725176E-2</v>
      </c>
      <c r="AR84" s="8">
        <f t="shared" si="247"/>
        <v>-3.2236402570939011E-3</v>
      </c>
      <c r="AS84" s="8">
        <f t="shared" si="248"/>
        <v>-8.8347096449138962E-2</v>
      </c>
      <c r="AT84" s="8">
        <f t="shared" si="249"/>
        <v>-6.2328035249208727E-2</v>
      </c>
      <c r="AU84" s="8">
        <f t="shared" si="250"/>
        <v>-6.2696230584254539E-2</v>
      </c>
      <c r="AV84" s="8">
        <f t="shared" si="251"/>
        <v>-8.8326576980385846E-2</v>
      </c>
      <c r="AW84" s="8">
        <f t="shared" si="252"/>
        <v>-3.7439426315837468E-3</v>
      </c>
      <c r="AX84" s="8">
        <f t="shared" si="253"/>
        <v>-6.7410007640566191E-2</v>
      </c>
      <c r="AY84" s="8">
        <f t="shared" si="254"/>
        <v>5.7196959511843184E-2</v>
      </c>
      <c r="AZ84" s="8">
        <f t="shared" si="255"/>
        <v>-1.0688269529672724E-2</v>
      </c>
      <c r="BA84" s="8">
        <f t="shared" si="256"/>
        <v>8.775740539670536E-2</v>
      </c>
      <c r="BB84" s="8">
        <f t="shared" si="257"/>
        <v>5.1710597360395627E-2</v>
      </c>
      <c r="BC84" s="8">
        <f t="shared" si="258"/>
        <v>7.1705058595134444E-2</v>
      </c>
      <c r="BD84" s="8">
        <f t="shared" si="259"/>
        <v>8.6643117182023568E-2</v>
      </c>
      <c r="BE84" s="8">
        <f t="shared" si="260"/>
        <v>1.7566204840054413E-2</v>
      </c>
      <c r="BF84" s="8">
        <f t="shared" si="261"/>
        <v>7.5554704175759366E-2</v>
      </c>
      <c r="BG84" s="8">
        <f t="shared" si="262"/>
        <v>-4.590302805277785E-2</v>
      </c>
      <c r="BH84" s="8">
        <f t="shared" si="263"/>
        <v>2.4335025365667898E-2</v>
      </c>
      <c r="BI84" s="8">
        <f t="shared" si="264"/>
        <v>-8.4990633883698735E-2</v>
      </c>
      <c r="BJ84" s="8">
        <f t="shared" si="265"/>
        <v>-3.9810326067278405E-2</v>
      </c>
      <c r="BK84" s="8">
        <f t="shared" si="266"/>
        <v>-7.8935031804121009E-2</v>
      </c>
      <c r="BL84" s="8">
        <f t="shared" si="267"/>
        <v>-8.2810220118425024E-2</v>
      </c>
      <c r="BM84" s="8">
        <f t="shared" si="268"/>
        <v>-3.0952685690237219E-2</v>
      </c>
      <c r="BN84" s="8">
        <f t="shared" si="269"/>
        <v>-8.1825044131905431E-2</v>
      </c>
      <c r="BO84" s="8">
        <f t="shared" si="270"/>
        <v>3.347033702119457E-2</v>
      </c>
      <c r="BP84" s="8">
        <f t="shared" si="271"/>
        <v>-3.737807934890601E-2</v>
      </c>
      <c r="BQ84" s="8">
        <f t="shared" si="272"/>
        <v>8.011541981221533E-2</v>
      </c>
      <c r="BR84" s="8">
        <f t="shared" si="273"/>
        <v>2.6922442587835469E-2</v>
      </c>
      <c r="BS84" s="8">
        <f t="shared" si="274"/>
        <v>8.4206789468577431E-2</v>
      </c>
      <c r="BT84" s="8">
        <f t="shared" si="275"/>
        <v>7.6922972070535167E-2</v>
      </c>
      <c r="BU84" s="8">
        <f t="shared" si="276"/>
        <v>4.3571294166415184E-2</v>
      </c>
      <c r="BV84" s="8">
        <f t="shared" si="277"/>
        <v>8.6065473290667868E-2</v>
      </c>
      <c r="BW84" s="8">
        <f t="shared" si="278"/>
        <v>-2.0207315872078479E-2</v>
      </c>
      <c r="BX84" s="8">
        <f t="shared" si="279"/>
        <v>4.9493860176831522E-2</v>
      </c>
      <c r="BY84" s="8">
        <f t="shared" si="280"/>
        <v>-7.3252707201146294E-2</v>
      </c>
      <c r="BZ84" s="8">
        <f t="shared" si="281"/>
        <v>-1.3366668764051568E-2</v>
      </c>
      <c r="CA84" s="8">
        <f t="shared" si="282"/>
        <v>-8.7389550139892275E-2</v>
      </c>
      <c r="CB84" s="8">
        <f t="shared" si="283"/>
        <v>-6.9127423535558993E-2</v>
      </c>
      <c r="CC84" s="8">
        <f t="shared" si="284"/>
        <v>-5.510898858476776E-2</v>
      </c>
      <c r="CD84" s="8">
        <f t="shared" si="285"/>
        <v>-8.817079533927831E-2</v>
      </c>
      <c r="CE84" s="8">
        <f t="shared" si="286"/>
        <v>6.4429928402658324E-3</v>
      </c>
      <c r="CF84" s="8">
        <f t="shared" si="287"/>
        <v>-6.038180028382617E-2</v>
      </c>
      <c r="CG84" s="8">
        <f t="shared" si="288"/>
        <v>6.4572745814195864E-2</v>
      </c>
      <c r="CH84" s="8">
        <f t="shared" si="289"/>
        <v>-5.2070457840110444E-4</v>
      </c>
      <c r="CI84" s="8">
        <f t="shared" si="290"/>
        <v>8.8404356081828075E-2</v>
      </c>
      <c r="CJ84" s="8">
        <f t="shared" si="291"/>
        <v>5.9616966014968388E-2</v>
      </c>
      <c r="CK84" s="8">
        <f t="shared" si="292"/>
        <v>6.5279542512725414E-2</v>
      </c>
      <c r="CL84" s="8">
        <f t="shared" si="293"/>
        <v>8.8088781574362882E-2</v>
      </c>
      <c r="CM84" s="8">
        <f t="shared" si="294"/>
        <v>7.4811675722982821E-3</v>
      </c>
      <c r="CN84" s="8">
        <f t="shared" si="295"/>
        <v>6.977179230338558E-2</v>
      </c>
      <c r="CO84" s="8">
        <f t="shared" si="296"/>
        <v>-5.4290867613935256E-2</v>
      </c>
      <c r="CP84" s="8">
        <f t="shared" si="297"/>
        <v>1.4395160312838322E-2</v>
      </c>
      <c r="CQ84" s="8">
        <f t="shared" si="298"/>
        <v>-8.7226032049316005E-2</v>
      </c>
      <c r="CR84" s="8">
        <f t="shared" si="299"/>
        <v>-4.8627534369708583E-2</v>
      </c>
      <c r="CS84" s="8">
        <f t="shared" si="300"/>
        <v>-7.3830645457177393E-2</v>
      </c>
      <c r="CT84" s="8">
        <f t="shared" si="301"/>
        <v>-8.5821466588492837E-2</v>
      </c>
      <c r="CU84" s="8">
        <f t="shared" si="207"/>
        <v>-2.1219735627496118E-2</v>
      </c>
      <c r="DA84" s="20">
        <v>8.6894333200794377E-4</v>
      </c>
    </row>
    <row r="85" spans="1:105">
      <c r="A85" s="15">
        <v>83</v>
      </c>
      <c r="B85" s="16">
        <v>42</v>
      </c>
      <c r="C85" s="8">
        <f t="shared" si="208"/>
        <v>3.7376696182833684</v>
      </c>
      <c r="D85" s="8">
        <f t="shared" si="209"/>
        <v>5.6047311827956987</v>
      </c>
      <c r="E85" s="7">
        <f t="shared" si="210"/>
        <v>1.1204819277108435</v>
      </c>
      <c r="F85" s="8"/>
      <c r="G85" s="8"/>
      <c r="H85" s="8">
        <f t="shared" si="211"/>
        <v>6.2579346268284139E-2</v>
      </c>
      <c r="I85" s="8">
        <f t="shared" si="212"/>
        <v>-5.0445698537753242E-2</v>
      </c>
      <c r="J85" s="8">
        <f t="shared" si="213"/>
        <v>1.70615354374395E-2</v>
      </c>
      <c r="K85" s="8">
        <f t="shared" si="214"/>
        <v>-7.854837419606267E-2</v>
      </c>
      <c r="L85" s="8">
        <f t="shared" si="215"/>
        <v>-3.6013040146139472E-2</v>
      </c>
      <c r="M85" s="8">
        <f t="shared" si="216"/>
        <v>-7.1861004861887609E-2</v>
      </c>
      <c r="N85" s="8">
        <f t="shared" si="217"/>
        <v>-7.3136995493161688E-2</v>
      </c>
      <c r="O85" s="8">
        <f t="shared" si="218"/>
        <v>-3.334550900137729E-2</v>
      </c>
      <c r="P85" s="8">
        <f t="shared" si="219"/>
        <v>-7.786767230495785E-2</v>
      </c>
      <c r="Q85" s="8">
        <f t="shared" si="220"/>
        <v>1.9939124608051063E-2</v>
      </c>
      <c r="R85" s="8">
        <f t="shared" si="221"/>
        <v>-4.8109795398409531E-2</v>
      </c>
      <c r="S85" s="8">
        <f t="shared" si="222"/>
        <v>6.4392473683271875E-2</v>
      </c>
      <c r="T85" s="8">
        <f t="shared" si="223"/>
        <v>2.9565040391013081E-3</v>
      </c>
      <c r="U85" s="8">
        <f t="shared" si="224"/>
        <v>8.0325600926444779E-2</v>
      </c>
      <c r="V85" s="8">
        <f t="shared" si="225"/>
        <v>5.2713331325297819E-2</v>
      </c>
      <c r="W85" s="8">
        <f t="shared" si="226"/>
        <v>6.0681527509754273E-2</v>
      </c>
      <c r="X85" s="8">
        <f t="shared" si="227"/>
        <v>7.9122773165510252E-2</v>
      </c>
      <c r="Y85" s="8">
        <f t="shared" si="228"/>
        <v>1.4160856150914725E-2</v>
      </c>
      <c r="Z85" s="8">
        <f t="shared" si="229"/>
        <v>7.0487761615925792E-2</v>
      </c>
      <c r="AA85" s="8">
        <f t="shared" si="230"/>
        <v>-3.8631833281687608E-2</v>
      </c>
      <c r="AB85" s="8">
        <f t="shared" si="231"/>
        <v>3.0632849932997638E-2</v>
      </c>
      <c r="AC85" s="8">
        <f t="shared" si="232"/>
        <v>-7.4314006656283405E-2</v>
      </c>
      <c r="AD85" s="8">
        <f t="shared" si="233"/>
        <v>-2.2789729296516608E-2</v>
      </c>
      <c r="AE85" s="8">
        <f t="shared" si="234"/>
        <v>-7.7081588715588761E-2</v>
      </c>
      <c r="AF85" s="8">
        <f t="shared" si="235"/>
        <v>-6.6118455970746171E-2</v>
      </c>
      <c r="AG85" s="8">
        <f t="shared" si="236"/>
        <v>-4.5708783186300075E-2</v>
      </c>
      <c r="AH85" s="8">
        <f t="shared" si="237"/>
        <v>-8.0162501942174669E-2</v>
      </c>
      <c r="AI85" s="8">
        <f t="shared" si="238"/>
        <v>5.9090069130548371E-3</v>
      </c>
      <c r="AJ85" s="8">
        <f t="shared" si="239"/>
        <v>-5.8701585808121425E-2</v>
      </c>
      <c r="AK85" s="8">
        <f t="shared" si="240"/>
        <v>5.4909624875238816E-2</v>
      </c>
      <c r="AL85" s="8">
        <f t="shared" si="241"/>
        <v>-1.1241012363566286E-2</v>
      </c>
      <c r="AM85" s="8">
        <f t="shared" si="242"/>
        <v>7.9590091854261844E-2</v>
      </c>
      <c r="AN85" s="8">
        <f t="shared" si="243"/>
        <v>4.1198344281687407E-2</v>
      </c>
      <c r="AO85" s="8">
        <f t="shared" si="244"/>
        <v>6.9019124224922207E-2</v>
      </c>
      <c r="AP85" s="8">
        <f t="shared" si="245"/>
        <v>7.5390445450995588E-2</v>
      </c>
      <c r="AQ85" s="8">
        <f t="shared" si="246"/>
        <v>2.7878734100172935E-2</v>
      </c>
      <c r="AR85" s="8">
        <f t="shared" si="247"/>
        <v>7.6191187268971755E-2</v>
      </c>
      <c r="AS85" s="8">
        <f t="shared" si="248"/>
        <v>-2.5609491655871765E-2</v>
      </c>
      <c r="AT85" s="8">
        <f t="shared" si="249"/>
        <v>4.3245911295389697E-2</v>
      </c>
      <c r="AU85" s="8">
        <f t="shared" si="250"/>
        <v>-6.7754957284017051E-2</v>
      </c>
      <c r="AV85" s="8">
        <f t="shared" si="251"/>
        <v>-8.8535128716642781E-3</v>
      </c>
      <c r="AW85" s="8">
        <f t="shared" si="252"/>
        <v>-7.9890915567159215E-2</v>
      </c>
      <c r="AX85" s="8">
        <f t="shared" si="253"/>
        <v>-5.7031606848255159E-2</v>
      </c>
      <c r="AY85" s="8">
        <f t="shared" si="254"/>
        <v>-5.6642200704366562E-2</v>
      </c>
      <c r="AZ85" s="8">
        <f t="shared" si="255"/>
        <v>-7.9949697819667181E-2</v>
      </c>
      <c r="BA85" s="8">
        <f t="shared" si="256"/>
        <v>-8.3059556266327928E-3</v>
      </c>
      <c r="BB85" s="8">
        <f t="shared" si="257"/>
        <v>-6.7457080259556282E-2</v>
      </c>
      <c r="BC85" s="8">
        <f t="shared" si="258"/>
        <v>4.3709099775486919E-2</v>
      </c>
      <c r="BD85" s="8">
        <f t="shared" si="259"/>
        <v>-2.5086888767315151E-2</v>
      </c>
      <c r="BE85" s="8">
        <f t="shared" si="260"/>
        <v>7.6364855085988628E-2</v>
      </c>
      <c r="BF85" s="8">
        <f t="shared" si="261"/>
        <v>2.8394595579415347E-2</v>
      </c>
      <c r="BG85" s="8">
        <f t="shared" si="262"/>
        <v>7.5197672984003525E-2</v>
      </c>
      <c r="BH85" s="8">
        <f t="shared" si="263"/>
        <v>6.9299762874878296E-2</v>
      </c>
      <c r="BI85" s="8">
        <f t="shared" si="264"/>
        <v>4.072451283702886E-2</v>
      </c>
      <c r="BJ85" s="8">
        <f t="shared" si="265"/>
        <v>7.9511209351019532E-2</v>
      </c>
      <c r="BK85" s="8">
        <f t="shared" si="266"/>
        <v>-1.1786036987301168E-2</v>
      </c>
      <c r="BL85" s="8">
        <f t="shared" si="267"/>
        <v>5.450615925367136E-2</v>
      </c>
      <c r="BM85" s="8">
        <f t="shared" si="268"/>
        <v>-5.9076405474107037E-2</v>
      </c>
      <c r="BN85" s="8">
        <f t="shared" si="269"/>
        <v>5.3596580796966319E-3</v>
      </c>
      <c r="BO85" s="8">
        <f t="shared" si="270"/>
        <v>-8.0201104391376246E-2</v>
      </c>
      <c r="BP85" s="8">
        <f t="shared" si="271"/>
        <v>-4.6160701848775187E-2</v>
      </c>
      <c r="BQ85" s="8">
        <f t="shared" si="272"/>
        <v>-6.5803743701678338E-2</v>
      </c>
      <c r="BR85" s="8">
        <f t="shared" si="273"/>
        <v>-7.7235916850441955E-2</v>
      </c>
      <c r="BS85" s="8">
        <f t="shared" si="274"/>
        <v>-2.2261092259799442E-2</v>
      </c>
      <c r="BT85" s="8">
        <f t="shared" si="275"/>
        <v>-7.4102390426656936E-2</v>
      </c>
      <c r="BU85" s="8">
        <f t="shared" si="276"/>
        <v>3.1141271865211123E-2</v>
      </c>
      <c r="BV85" s="8">
        <f t="shared" si="277"/>
        <v>-3.8148000129114172E-2</v>
      </c>
      <c r="BW85" s="8">
        <f t="shared" si="278"/>
        <v>7.0750782090919617E-2</v>
      </c>
      <c r="BX85" s="8">
        <f t="shared" si="279"/>
        <v>1.4702610547892752E-2</v>
      </c>
      <c r="BY85" s="8">
        <f t="shared" si="280"/>
        <v>7.9023897166646248E-2</v>
      </c>
      <c r="BZ85" s="8">
        <f t="shared" si="281"/>
        <v>6.1041253438126331E-2</v>
      </c>
      <c r="CA85" s="8">
        <f t="shared" si="282"/>
        <v>5.229635225357615E-2</v>
      </c>
      <c r="CB85" s="8">
        <f t="shared" si="283"/>
        <v>8.0343971329971148E-2</v>
      </c>
      <c r="CC85" s="8">
        <f t="shared" si="284"/>
        <v>2.4061070750204723E-3</v>
      </c>
      <c r="CD85" s="8">
        <f t="shared" si="285"/>
        <v>6.4061352083359321E-2</v>
      </c>
      <c r="CE85" s="8">
        <f t="shared" si="286"/>
        <v>-4.8549832642137525E-2</v>
      </c>
      <c r="CF85" s="8">
        <f t="shared" si="287"/>
        <v>1.9405168850604084E-2</v>
      </c>
      <c r="CG85" s="8">
        <f t="shared" si="288"/>
        <v>-7.8002451898688638E-2</v>
      </c>
      <c r="CH85" s="8">
        <f t="shared" si="289"/>
        <v>-3.3845803317107494E-2</v>
      </c>
      <c r="CI85" s="8">
        <f t="shared" si="290"/>
        <v>-7.2906821890323562E-2</v>
      </c>
      <c r="CJ85" s="8">
        <f t="shared" si="291"/>
        <v>-7.2106051204903529E-2</v>
      </c>
      <c r="CK85" s="8">
        <f t="shared" si="292"/>
        <v>-3.5519860078039693E-2</v>
      </c>
      <c r="CL85" s="8">
        <f t="shared" si="293"/>
        <v>-7.8429638514754776E-2</v>
      </c>
      <c r="CM85" s="8">
        <f t="shared" si="294"/>
        <v>1.7599286427937438E-2</v>
      </c>
      <c r="CN85" s="8">
        <f t="shared" si="295"/>
        <v>-5.0015770331742121E-2</v>
      </c>
      <c r="CO85" s="8">
        <f t="shared" si="296"/>
        <v>6.2923491626340256E-2</v>
      </c>
      <c r="CP85" s="8">
        <f t="shared" si="297"/>
        <v>5.5070021872203744E-4</v>
      </c>
      <c r="CQ85" s="8">
        <f t="shared" si="298"/>
        <v>8.0378105287427545E-2</v>
      </c>
      <c r="CR85" s="8">
        <f t="shared" si="299"/>
        <v>5.0873258841246237E-2</v>
      </c>
      <c r="CS85" s="8">
        <f t="shared" si="300"/>
        <v>6.2232263458749833E-2</v>
      </c>
      <c r="CT85" s="8">
        <f t="shared" si="301"/>
        <v>7.8663422845600628E-2</v>
      </c>
      <c r="CU85" s="8">
        <f t="shared" si="207"/>
        <v>1.6522983584750194E-2</v>
      </c>
      <c r="CX85">
        <v>3.9104093742932063E-2</v>
      </c>
      <c r="CY85">
        <v>0.15834961687487176</v>
      </c>
      <c r="DA85" s="21"/>
    </row>
    <row r="86" spans="1:105">
      <c r="A86" s="15">
        <v>84</v>
      </c>
      <c r="B86" s="16">
        <v>51</v>
      </c>
      <c r="C86" s="8">
        <f t="shared" si="208"/>
        <v>3.9318256327243257</v>
      </c>
      <c r="D86" s="8">
        <f t="shared" si="209"/>
        <v>5.6722580645161287</v>
      </c>
      <c r="E86" s="7">
        <f t="shared" si="210"/>
        <v>1.1071428571428572</v>
      </c>
      <c r="F86" s="8"/>
      <c r="G86" s="8"/>
      <c r="H86" s="8">
        <f t="shared" si="211"/>
        <v>6.9260713247639757E-2</v>
      </c>
      <c r="I86" s="8">
        <f t="shared" si="212"/>
        <v>-4.8503273809137548E-2</v>
      </c>
      <c r="J86" s="8">
        <f t="shared" si="213"/>
        <v>2.8909793104643432E-2</v>
      </c>
      <c r="K86" s="8">
        <f t="shared" si="214"/>
        <v>-7.9459661668186465E-2</v>
      </c>
      <c r="L86" s="8">
        <f t="shared" si="215"/>
        <v>-2.1899737408531059E-2</v>
      </c>
      <c r="M86" s="8">
        <f t="shared" si="216"/>
        <v>-8.16701626740962E-2</v>
      </c>
      <c r="N86" s="8">
        <f t="shared" si="217"/>
        <v>-6.4786664673180283E-2</v>
      </c>
      <c r="O86" s="8">
        <f t="shared" si="218"/>
        <v>-5.4335090414030271E-2</v>
      </c>
      <c r="P86" s="8">
        <f t="shared" si="219"/>
        <v>-8.4235911822043832E-2</v>
      </c>
      <c r="Q86" s="8">
        <f t="shared" si="220"/>
        <v>-7.3433731544029039E-3</v>
      </c>
      <c r="R86" s="8">
        <f t="shared" si="221"/>
        <v>-7.3211382222157895E-2</v>
      </c>
      <c r="S86" s="8">
        <f t="shared" si="222"/>
        <v>4.2304934498200691E-2</v>
      </c>
      <c r="T86" s="8">
        <f t="shared" si="223"/>
        <v>-3.5701387349234281E-2</v>
      </c>
      <c r="U86" s="8">
        <f t="shared" si="224"/>
        <v>7.6648711085809423E-2</v>
      </c>
      <c r="V86" s="8">
        <f t="shared" si="225"/>
        <v>1.4724192862156413E-2</v>
      </c>
      <c r="W86" s="8">
        <f t="shared" si="226"/>
        <v>8.326351010096783E-2</v>
      </c>
      <c r="X86" s="8">
        <f t="shared" si="227"/>
        <v>5.9823045358712017E-2</v>
      </c>
      <c r="Y86" s="8">
        <f t="shared" si="228"/>
        <v>5.9756315262785679E-2</v>
      </c>
      <c r="Z86" s="8">
        <f t="shared" si="229"/>
        <v>8.3279891622308075E-2</v>
      </c>
      <c r="AA86" s="8">
        <f t="shared" si="230"/>
        <v>1.4631254941137825E-2</v>
      </c>
      <c r="AB86" s="8">
        <f t="shared" si="231"/>
        <v>7.660881773802565E-2</v>
      </c>
      <c r="AC86" s="8">
        <f t="shared" si="232"/>
        <v>-3.5786911218459672E-2</v>
      </c>
      <c r="AD86" s="8">
        <f t="shared" si="233"/>
        <v>4.2223198379762877E-2</v>
      </c>
      <c r="AE86" s="8">
        <f t="shared" si="234"/>
        <v>-7.3258552322299803E-2</v>
      </c>
      <c r="AF86" s="8">
        <f t="shared" si="235"/>
        <v>-7.4373826096071757E-3</v>
      </c>
      <c r="AG86" s="8">
        <f t="shared" si="236"/>
        <v>-8.4227663565447808E-2</v>
      </c>
      <c r="AH86" s="8">
        <f t="shared" si="237"/>
        <v>-5.4407363683361548E-2</v>
      </c>
      <c r="AI86" s="8">
        <f t="shared" si="238"/>
        <v>-6.4725982007246358E-2</v>
      </c>
      <c r="AJ86" s="8">
        <f t="shared" si="239"/>
        <v>-8.1694553670608142E-2</v>
      </c>
      <c r="AK86" s="8">
        <f t="shared" si="240"/>
        <v>-2.1808573321885974E-2</v>
      </c>
      <c r="AL86" s="8">
        <f t="shared" si="241"/>
        <v>-7.9427346533190918E-2</v>
      </c>
      <c r="AM86" s="8">
        <f t="shared" si="242"/>
        <v>2.8998458449930629E-2</v>
      </c>
      <c r="AN86" s="8">
        <f t="shared" si="243"/>
        <v>-4.8425943093471563E-2</v>
      </c>
      <c r="AO86" s="8">
        <f t="shared" si="244"/>
        <v>6.93148036517727E-2</v>
      </c>
      <c r="AP86" s="8">
        <f t="shared" si="245"/>
        <v>9.4370591983573753E-5</v>
      </c>
      <c r="AQ86" s="8">
        <f t="shared" si="246"/>
        <v>8.4555337288472324E-2</v>
      </c>
      <c r="AR86" s="8">
        <f t="shared" si="247"/>
        <v>4.8580544107414435E-2</v>
      </c>
      <c r="AS86" s="8">
        <f t="shared" si="248"/>
        <v>6.920653656991882E-2</v>
      </c>
      <c r="AT86" s="8">
        <f t="shared" si="249"/>
        <v>7.9491877825424023E-2</v>
      </c>
      <c r="AU86" s="8">
        <f t="shared" si="250"/>
        <v>2.8821091748297976E-2</v>
      </c>
      <c r="AV86" s="8">
        <f t="shared" si="251"/>
        <v>8.164566994634824E-2</v>
      </c>
      <c r="AW86" s="8">
        <f t="shared" si="252"/>
        <v>-2.1990874216090594E-2</v>
      </c>
      <c r="AX86" s="8">
        <f t="shared" si="253"/>
        <v>5.4262749462993386E-2</v>
      </c>
      <c r="AY86" s="8">
        <f t="shared" si="254"/>
        <v>-6.4847266638558942E-2</v>
      </c>
      <c r="AZ86" s="8">
        <f t="shared" si="255"/>
        <v>7.2493545520327515E-3</v>
      </c>
      <c r="BA86" s="8">
        <f t="shared" si="256"/>
        <v>-8.4244055151416294E-2</v>
      </c>
      <c r="BB86" s="8">
        <f t="shared" si="257"/>
        <v>-4.2386617920119551E-2</v>
      </c>
      <c r="BC86" s="8">
        <f t="shared" si="258"/>
        <v>-7.3164120927335347E-2</v>
      </c>
      <c r="BD86" s="8">
        <f t="shared" si="259"/>
        <v>-7.6688508957253917E-2</v>
      </c>
      <c r="BE86" s="8">
        <f t="shared" si="260"/>
        <v>-3.561581900910233E-2</v>
      </c>
      <c r="BF86" s="8">
        <f t="shared" si="261"/>
        <v>-8.3247024863661798E-2</v>
      </c>
      <c r="BG86" s="8">
        <f t="shared" si="262"/>
        <v>1.4817112442200893E-2</v>
      </c>
      <c r="BH86" s="8">
        <f t="shared" si="263"/>
        <v>-5.9689510732283943E-2</v>
      </c>
      <c r="BI86" s="8">
        <f t="shared" si="264"/>
        <v>5.9889700936943319E-2</v>
      </c>
      <c r="BJ86" s="8">
        <f t="shared" si="265"/>
        <v>-1.4538298794911881E-2</v>
      </c>
      <c r="BK86" s="8">
        <f t="shared" si="266"/>
        <v>8.3296169407277146E-2</v>
      </c>
      <c r="BL86" s="8">
        <f t="shared" si="267"/>
        <v>3.5872390510244774E-2</v>
      </c>
      <c r="BM86" s="8">
        <f t="shared" si="268"/>
        <v>7.6568828963596208E-2</v>
      </c>
      <c r="BN86" s="8">
        <f t="shared" si="269"/>
        <v>7.3305631169004334E-2</v>
      </c>
      <c r="BO86" s="8">
        <f t="shared" si="270"/>
        <v>4.2141409666619493E-2</v>
      </c>
      <c r="BP86" s="8">
        <f t="shared" si="271"/>
        <v>8.4219310391902294E-2</v>
      </c>
      <c r="BQ86" s="8">
        <f t="shared" si="272"/>
        <v>-7.5313828005464708E-3</v>
      </c>
      <c r="BR86" s="8">
        <f t="shared" si="273"/>
        <v>6.4665218716345688E-2</v>
      </c>
      <c r="BS86" s="8">
        <f t="shared" si="274"/>
        <v>-5.4479569180961092E-2</v>
      </c>
      <c r="BT86" s="8">
        <f t="shared" si="275"/>
        <v>2.1717382069713697E-2</v>
      </c>
      <c r="BU86" s="8">
        <f t="shared" si="276"/>
        <v>-8.1718842905501465E-2</v>
      </c>
      <c r="BV86" s="8">
        <f t="shared" si="277"/>
        <v>-2.9087087673714897E-2</v>
      </c>
      <c r="BW86" s="8">
        <f t="shared" si="278"/>
        <v>-7.9394932460690293E-2</v>
      </c>
      <c r="BX86" s="8">
        <f t="shared" si="279"/>
        <v>-6.936880771494143E-2</v>
      </c>
      <c r="BY86" s="8">
        <f t="shared" si="280"/>
        <v>-4.8348552056741378E-2</v>
      </c>
      <c r="BZ86" s="8">
        <f t="shared" si="281"/>
        <v>-8.4555179300772568E-2</v>
      </c>
      <c r="CA86" s="8">
        <f t="shared" si="282"/>
        <v>1.8874106641580864E-4</v>
      </c>
      <c r="CB86" s="8">
        <f t="shared" si="283"/>
        <v>-6.9152273686094945E-2</v>
      </c>
      <c r="CC86" s="8">
        <f t="shared" si="284"/>
        <v>4.865775389205064E-2</v>
      </c>
      <c r="CD86" s="8">
        <f t="shared" si="285"/>
        <v>-2.8732354491383817E-2</v>
      </c>
      <c r="CE86" s="8">
        <f t="shared" si="286"/>
        <v>7.9523994964774039E-2</v>
      </c>
      <c r="CF86" s="8">
        <f t="shared" si="287"/>
        <v>2.2081983631042506E-2</v>
      </c>
      <c r="CG86" s="8">
        <f t="shared" si="288"/>
        <v>8.1621075517872954E-2</v>
      </c>
      <c r="CH86" s="8">
        <f t="shared" si="289"/>
        <v>6.4907787827894428E-2</v>
      </c>
      <c r="CI86" s="8">
        <f t="shared" si="290"/>
        <v>5.4190340920361339E-2</v>
      </c>
      <c r="CJ86" s="8">
        <f t="shared" si="291"/>
        <v>8.4252093543421169E-2</v>
      </c>
      <c r="CK86" s="8">
        <f t="shared" si="292"/>
        <v>7.1553269196143994E-3</v>
      </c>
      <c r="CL86" s="8">
        <f t="shared" si="293"/>
        <v>7.3116768496702469E-2</v>
      </c>
      <c r="CM86" s="8">
        <f t="shared" si="294"/>
        <v>-4.2468248543771688E-2</v>
      </c>
      <c r="CN86" s="8">
        <f t="shared" si="295"/>
        <v>3.5530206304646379E-2</v>
      </c>
      <c r="CO86" s="8">
        <f t="shared" si="296"/>
        <v>-7.672821130278755E-2</v>
      </c>
      <c r="CP86" s="8">
        <f t="shared" si="297"/>
        <v>-1.4910013565527352E-2</v>
      </c>
      <c r="CQ86" s="8">
        <f t="shared" si="298"/>
        <v>-8.3230435930924579E-2</v>
      </c>
      <c r="CR86" s="8">
        <f t="shared" si="299"/>
        <v>-5.9956281914447615E-2</v>
      </c>
      <c r="CS86" s="8">
        <f t="shared" si="300"/>
        <v>-5.9622631850424303E-2</v>
      </c>
      <c r="CT86" s="8">
        <f t="shared" si="301"/>
        <v>-8.3312343435599262E-2</v>
      </c>
      <c r="CU86" s="8">
        <f t="shared" si="207"/>
        <v>-1.4445324539265669E-2</v>
      </c>
      <c r="DA86" s="20">
        <v>1.6302593342909597E-4</v>
      </c>
    </row>
    <row r="87" spans="1:105">
      <c r="A87" s="15">
        <v>85</v>
      </c>
      <c r="B87" s="16">
        <v>44</v>
      </c>
      <c r="C87" s="8">
        <f t="shared" si="208"/>
        <v>3.784189633918261</v>
      </c>
      <c r="D87" s="8">
        <f t="shared" si="209"/>
        <v>5.7397849462365595</v>
      </c>
      <c r="E87" s="7">
        <f t="shared" si="210"/>
        <v>1.0941176470588234</v>
      </c>
      <c r="F87" s="8"/>
      <c r="G87" s="8"/>
      <c r="H87" s="8">
        <f t="shared" si="211"/>
        <v>6.9658018228753504E-2</v>
      </c>
      <c r="I87" s="8">
        <f t="shared" si="212"/>
        <v>-4.2077709295506922E-2</v>
      </c>
      <c r="J87" s="8">
        <f t="shared" si="213"/>
        <v>3.7867902369795196E-2</v>
      </c>
      <c r="K87" s="8">
        <f t="shared" si="214"/>
        <v>-7.2033291561792487E-2</v>
      </c>
      <c r="L87" s="8">
        <f t="shared" si="215"/>
        <v>-4.8315412672755992E-3</v>
      </c>
      <c r="M87" s="8">
        <f t="shared" si="216"/>
        <v>-8.1236871752284737E-2</v>
      </c>
      <c r="N87" s="8">
        <f t="shared" si="217"/>
        <v>-4.6139070801382041E-2</v>
      </c>
      <c r="O87" s="8">
        <f t="shared" si="218"/>
        <v>-6.7036999251902679E-2</v>
      </c>
      <c r="P87" s="8">
        <f t="shared" si="219"/>
        <v>-7.4154439554190682E-2</v>
      </c>
      <c r="Q87" s="8">
        <f t="shared" si="220"/>
        <v>-3.352450174899585E-2</v>
      </c>
      <c r="R87" s="8">
        <f t="shared" si="221"/>
        <v>-8.0806726734671458E-2</v>
      </c>
      <c r="S87" s="8">
        <f t="shared" si="222"/>
        <v>9.6460374010615951E-3</v>
      </c>
      <c r="T87" s="8">
        <f t="shared" si="223"/>
        <v>-6.4179481291025631E-2</v>
      </c>
      <c r="U87" s="8">
        <f t="shared" si="224"/>
        <v>5.0037658861395946E-2</v>
      </c>
      <c r="V87" s="8">
        <f t="shared" si="225"/>
        <v>-2.9062830461369003E-2</v>
      </c>
      <c r="W87" s="8">
        <f t="shared" si="226"/>
        <v>7.6013979034703E-2</v>
      </c>
      <c r="X87" s="8">
        <f t="shared" si="227"/>
        <v>1.4426503401179241E-2</v>
      </c>
      <c r="Y87" s="8">
        <f t="shared" si="228"/>
        <v>8.0091504685143158E-2</v>
      </c>
      <c r="Z87" s="8">
        <f t="shared" si="229"/>
        <v>5.3759719695909668E-2</v>
      </c>
      <c r="AA87" s="8">
        <f t="shared" si="230"/>
        <v>6.1095545347691002E-2</v>
      </c>
      <c r="AB87" s="8">
        <f t="shared" si="231"/>
        <v>7.7605349757453063E-2</v>
      </c>
      <c r="AC87" s="8">
        <f t="shared" si="232"/>
        <v>2.4498628780769017E-2</v>
      </c>
      <c r="AD87" s="8">
        <f t="shared" si="233"/>
        <v>7.9093728826545959E-2</v>
      </c>
      <c r="AE87" s="8">
        <f t="shared" si="234"/>
        <v>-1.9156074321931362E-2</v>
      </c>
      <c r="AF87" s="8">
        <f t="shared" si="235"/>
        <v>5.7796071200610387E-2</v>
      </c>
      <c r="AG87" s="8">
        <f t="shared" si="236"/>
        <v>-5.7292122293457766E-2</v>
      </c>
      <c r="AH87" s="8">
        <f t="shared" si="237"/>
        <v>1.9847998696729992E-2</v>
      </c>
      <c r="AI87" s="8">
        <f t="shared" si="238"/>
        <v>-7.8922937545742367E-2</v>
      </c>
      <c r="AJ87" s="8">
        <f t="shared" si="239"/>
        <v>-2.3818064769724746E-2</v>
      </c>
      <c r="AK87" s="8">
        <f t="shared" si="240"/>
        <v>-7.7816919199745635E-2</v>
      </c>
      <c r="AL87" s="8">
        <f t="shared" si="241"/>
        <v>-6.0622404735475179E-2</v>
      </c>
      <c r="AM87" s="8">
        <f t="shared" si="242"/>
        <v>-5.4292699023006603E-2</v>
      </c>
      <c r="AN87" s="8">
        <f t="shared" si="243"/>
        <v>-7.9962094098233211E-2</v>
      </c>
      <c r="AO87" s="8">
        <f t="shared" si="244"/>
        <v>-1.5127347108460301E-2</v>
      </c>
      <c r="AP87" s="8">
        <f t="shared" si="245"/>
        <v>-7.6265580245317641E-2</v>
      </c>
      <c r="AQ87" s="8">
        <f t="shared" si="246"/>
        <v>2.8396027767269839E-2</v>
      </c>
      <c r="AR87" s="8">
        <f t="shared" si="247"/>
        <v>-5.0597788317391902E-2</v>
      </c>
      <c r="AS87" s="8">
        <f t="shared" si="248"/>
        <v>6.37388181605444E-2</v>
      </c>
      <c r="AT87" s="8">
        <f t="shared" si="249"/>
        <v>-1.035332794315093E-2</v>
      </c>
      <c r="AU87" s="8">
        <f t="shared" si="250"/>
        <v>8.0719153387632331E-2</v>
      </c>
      <c r="AV87" s="8">
        <f t="shared" si="251"/>
        <v>3.2873812776654958E-2</v>
      </c>
      <c r="AW87" s="8">
        <f t="shared" si="252"/>
        <v>7.4445184912390286E-2</v>
      </c>
      <c r="AX87" s="8">
        <f t="shared" si="253"/>
        <v>6.6630368213054958E-2</v>
      </c>
      <c r="AY87" s="8">
        <f t="shared" si="254"/>
        <v>4.6724374312635361E-2</v>
      </c>
      <c r="AZ87" s="8">
        <f t="shared" si="255"/>
        <v>8.1191444594022874E-2</v>
      </c>
      <c r="BA87" s="8">
        <f t="shared" si="256"/>
        <v>5.5427834027912829E-3</v>
      </c>
      <c r="BB87" s="8">
        <f t="shared" si="257"/>
        <v>7.2362155350694776E-2</v>
      </c>
      <c r="BC87" s="8">
        <f t="shared" si="258"/>
        <v>-3.7235622676631303E-2</v>
      </c>
      <c r="BD87" s="8">
        <f t="shared" si="259"/>
        <v>4.2686121977143415E-2</v>
      </c>
      <c r="BE87" s="8">
        <f t="shared" si="260"/>
        <v>-6.9286853830051912E-2</v>
      </c>
      <c r="BF87" s="8">
        <f t="shared" si="261"/>
        <v>7.126845467840745E-4</v>
      </c>
      <c r="BG87" s="8">
        <f t="shared" si="262"/>
        <v>-8.1377301527215326E-2</v>
      </c>
      <c r="BH87" s="8">
        <f t="shared" si="263"/>
        <v>-4.1466069493070495E-2</v>
      </c>
      <c r="BI87" s="8">
        <f t="shared" si="264"/>
        <v>-7.0023840253947742E-2</v>
      </c>
      <c r="BJ87" s="8">
        <f t="shared" si="265"/>
        <v>-7.1698903229437144E-2</v>
      </c>
      <c r="BK87" s="8">
        <f t="shared" si="266"/>
        <v>-3.8497277810390099E-2</v>
      </c>
      <c r="BL87" s="8">
        <f t="shared" si="267"/>
        <v>-8.127606850487952E-2</v>
      </c>
      <c r="BM87" s="8">
        <f t="shared" si="268"/>
        <v>4.1199285800456132E-3</v>
      </c>
      <c r="BN87" s="8">
        <f t="shared" si="269"/>
        <v>-6.7438488934479762E-2</v>
      </c>
      <c r="BO87" s="8">
        <f t="shared" si="270"/>
        <v>4.555022868601865E-2</v>
      </c>
      <c r="BP87" s="8">
        <f t="shared" si="271"/>
        <v>-3.4172619582871377E-2</v>
      </c>
      <c r="BQ87" s="8">
        <f t="shared" si="272"/>
        <v>7.3858006972561216E-2</v>
      </c>
      <c r="BR87" s="8">
        <f t="shared" si="273"/>
        <v>8.9380070628083761E-3</v>
      </c>
      <c r="BS87" s="8">
        <f t="shared" si="274"/>
        <v>8.0888102665717984E-2</v>
      </c>
      <c r="BT87" s="8">
        <f t="shared" si="275"/>
        <v>4.9473691801776333E-2</v>
      </c>
      <c r="BU87" s="8">
        <f t="shared" si="276"/>
        <v>6.4615222220599025E-2</v>
      </c>
      <c r="BV87" s="8">
        <f t="shared" si="277"/>
        <v>7.5756547984564673E-2</v>
      </c>
      <c r="BW87" s="8">
        <f t="shared" si="278"/>
        <v>2.9727404201794917E-2</v>
      </c>
      <c r="BX87" s="8">
        <f t="shared" si="279"/>
        <v>8.021477270952071E-2</v>
      </c>
      <c r="BY87" s="8">
        <f t="shared" si="280"/>
        <v>-1.3724553263202271E-2</v>
      </c>
      <c r="BZ87" s="8">
        <f t="shared" si="281"/>
        <v>6.1564000279331524E-2</v>
      </c>
      <c r="CA87" s="8">
        <f t="shared" si="282"/>
        <v>-5.3222617304309765E-2</v>
      </c>
      <c r="CB87" s="8">
        <f t="shared" si="283"/>
        <v>2.5177313886429704E-2</v>
      </c>
      <c r="CC87" s="8">
        <f t="shared" si="284"/>
        <v>-7.7387828426560334E-2</v>
      </c>
      <c r="CD87" s="8">
        <f t="shared" si="285"/>
        <v>-1.8462680785266559E-2</v>
      </c>
      <c r="CE87" s="8">
        <f t="shared" si="286"/>
        <v>-7.9258454068546494E-2</v>
      </c>
      <c r="CF87" s="8">
        <f t="shared" si="287"/>
        <v>-5.6783779406629195E-2</v>
      </c>
      <c r="CG87" s="8">
        <f t="shared" si="288"/>
        <v>-5.8295587478074354E-2</v>
      </c>
      <c r="CH87" s="8">
        <f t="shared" si="289"/>
        <v>-7.8746093324853966E-2</v>
      </c>
      <c r="CI87" s="8">
        <f t="shared" si="290"/>
        <v>-2.0538400843004675E-2</v>
      </c>
      <c r="CJ87" s="8">
        <f t="shared" si="291"/>
        <v>-7.8022520527265382E-2</v>
      </c>
      <c r="CK87" s="8">
        <f t="shared" si="292"/>
        <v>2.3135674048685006E-2</v>
      </c>
      <c r="CL87" s="8">
        <f t="shared" si="293"/>
        <v>-5.4821514409119865E-2</v>
      </c>
      <c r="CM87" s="8">
        <f t="shared" si="294"/>
        <v>6.0144614729875923E-2</v>
      </c>
      <c r="CN87" s="8">
        <f t="shared" si="295"/>
        <v>-1.5827030634323964E-2</v>
      </c>
      <c r="CO87" s="8">
        <f t="shared" si="296"/>
        <v>7.982655087384595E-2</v>
      </c>
      <c r="CP87" s="8">
        <f t="shared" si="297"/>
        <v>2.7727047259470824E-2</v>
      </c>
      <c r="CQ87" s="8">
        <f t="shared" si="298"/>
        <v>7.6511332320027048E-2</v>
      </c>
      <c r="CR87" s="8">
        <f t="shared" si="299"/>
        <v>6.329326662550816E-2</v>
      </c>
      <c r="CS87" s="8">
        <f t="shared" si="300"/>
        <v>5.1154037211024503E-2</v>
      </c>
      <c r="CT87" s="8">
        <f t="shared" si="301"/>
        <v>8.0625389340977863E-2</v>
      </c>
      <c r="CU87" s="8">
        <f t="shared" si="207"/>
        <v>1.1059824443917664E-2</v>
      </c>
      <c r="CX87">
        <v>5.7265444798621869E-2</v>
      </c>
      <c r="CY87">
        <v>0.2322724900926019</v>
      </c>
      <c r="DA87" s="21"/>
    </row>
    <row r="88" spans="1:105">
      <c r="A88" s="15">
        <v>86</v>
      </c>
      <c r="B88" s="16">
        <v>50</v>
      </c>
      <c r="C88" s="8">
        <f t="shared" si="208"/>
        <v>3.912023005428146</v>
      </c>
      <c r="D88" s="8">
        <f t="shared" si="209"/>
        <v>5.8073118279569895</v>
      </c>
      <c r="E88" s="7">
        <f t="shared" si="210"/>
        <v>1.0813953488372092</v>
      </c>
      <c r="F88" s="8"/>
      <c r="G88" s="8"/>
      <c r="H88" s="8">
        <f t="shared" si="211"/>
        <v>7.4782139800746994E-2</v>
      </c>
      <c r="I88" s="8">
        <f t="shared" si="212"/>
        <v>-3.8541002579139796E-2</v>
      </c>
      <c r="J88" s="8">
        <f t="shared" si="213"/>
        <v>4.8817100248865548E-2</v>
      </c>
      <c r="K88" s="8">
        <f t="shared" si="214"/>
        <v>-6.8517647626549022E-2</v>
      </c>
      <c r="L88" s="8">
        <f t="shared" si="215"/>
        <v>1.2004208482057311E-2</v>
      </c>
      <c r="M88" s="8">
        <f t="shared" si="216"/>
        <v>-8.326869935157527E-2</v>
      </c>
      <c r="N88" s="8">
        <f t="shared" si="217"/>
        <v>-2.7476188706143653E-2</v>
      </c>
      <c r="O88" s="8">
        <f t="shared" si="218"/>
        <v>-7.9516264796380576E-2</v>
      </c>
      <c r="P88" s="8">
        <f t="shared" si="219"/>
        <v>-6.0850986975232037E-2</v>
      </c>
      <c r="Q88" s="8">
        <f t="shared" si="220"/>
        <v>-5.8094188152722034E-2</v>
      </c>
      <c r="R88" s="8">
        <f t="shared" si="221"/>
        <v>-8.0703832681087606E-2</v>
      </c>
      <c r="S88" s="8">
        <f t="shared" si="222"/>
        <v>-2.3762758753283368E-2</v>
      </c>
      <c r="T88" s="8">
        <f t="shared" si="223"/>
        <v>-8.2623141867166766E-2</v>
      </c>
      <c r="U88" s="8">
        <f t="shared" si="224"/>
        <v>1.5849092749484525E-2</v>
      </c>
      <c r="V88" s="8">
        <f t="shared" si="225"/>
        <v>-6.6182416804206737E-2</v>
      </c>
      <c r="W88" s="8">
        <f t="shared" si="226"/>
        <v>5.1939051001515059E-2</v>
      </c>
      <c r="X88" s="8">
        <f t="shared" si="227"/>
        <v>-3.5035019836140879E-2</v>
      </c>
      <c r="Y88" s="8">
        <f t="shared" si="228"/>
        <v>7.6487415292091965E-2</v>
      </c>
      <c r="Z88" s="8">
        <f t="shared" si="229"/>
        <v>3.8976555608355354E-3</v>
      </c>
      <c r="AA88" s="8">
        <f t="shared" si="230"/>
        <v>8.4039190822572871E-2</v>
      </c>
      <c r="AB88" s="8">
        <f t="shared" si="231"/>
        <v>4.1964216598436667E-2</v>
      </c>
      <c r="AC88" s="8">
        <f t="shared" si="232"/>
        <v>7.2916265937465696E-2</v>
      </c>
      <c r="AD88" s="8">
        <f t="shared" si="233"/>
        <v>7.0705733386085656E-2</v>
      </c>
      <c r="AE88" s="8">
        <f t="shared" si="234"/>
        <v>4.5590312340666184E-2</v>
      </c>
      <c r="AF88" s="8">
        <f t="shared" si="235"/>
        <v>8.3735433154490405E-2</v>
      </c>
      <c r="AG88" s="8">
        <f t="shared" si="236"/>
        <v>8.1335445786937677E-3</v>
      </c>
      <c r="AH88" s="8">
        <f t="shared" si="237"/>
        <v>7.8157931770387531E-2</v>
      </c>
      <c r="AI88" s="8">
        <f t="shared" si="238"/>
        <v>-3.1130612174500787E-2</v>
      </c>
      <c r="AJ88" s="8">
        <f t="shared" si="239"/>
        <v>5.5212629166071441E-2</v>
      </c>
      <c r="AK88" s="8">
        <f t="shared" si="240"/>
        <v>-6.3477105270747861E-2</v>
      </c>
      <c r="AL88" s="8">
        <f t="shared" si="241"/>
        <v>1.9998297091800663E-2</v>
      </c>
      <c r="AM88" s="8">
        <f t="shared" si="242"/>
        <v>-8.171808506329431E-2</v>
      </c>
      <c r="AN88" s="8">
        <f t="shared" si="243"/>
        <v>-1.965994030040406E-2</v>
      </c>
      <c r="AO88" s="8">
        <f t="shared" si="244"/>
        <v>-8.1800147068133544E-2</v>
      </c>
      <c r="AP88" s="8">
        <f t="shared" si="245"/>
        <v>-5.4949460053793822E-2</v>
      </c>
      <c r="AQ88" s="8">
        <f t="shared" si="246"/>
        <v>-6.370505594362387E-2</v>
      </c>
      <c r="AR88" s="8">
        <f t="shared" si="247"/>
        <v>-7.8028430247401553E-2</v>
      </c>
      <c r="AS88" s="8">
        <f t="shared" si="248"/>
        <v>-3.1453797642099116E-2</v>
      </c>
      <c r="AT88" s="8">
        <f t="shared" si="249"/>
        <v>-8.3768376296366742E-2</v>
      </c>
      <c r="AU88" s="8">
        <f t="shared" si="250"/>
        <v>7.7869407121173078E-3</v>
      </c>
      <c r="AV88" s="8">
        <f t="shared" si="251"/>
        <v>-7.0893800759353698E-2</v>
      </c>
      <c r="AW88" s="8">
        <f t="shared" si="252"/>
        <v>4.5297310371332083E-2</v>
      </c>
      <c r="AX88" s="8">
        <f t="shared" si="253"/>
        <v>-4.2265616964755115E-2</v>
      </c>
      <c r="AY88" s="8">
        <f t="shared" si="254"/>
        <v>7.2741975059605932E-2</v>
      </c>
      <c r="AZ88" s="8">
        <f t="shared" si="255"/>
        <v>-4.2454134830169268E-3</v>
      </c>
      <c r="BA88" s="8">
        <f t="shared" si="256"/>
        <v>8.4022340941811102E-2</v>
      </c>
      <c r="BB88" s="8">
        <f t="shared" si="257"/>
        <v>3.4718181101842834E-2</v>
      </c>
      <c r="BC88" s="8">
        <f t="shared" si="258"/>
        <v>7.6631750690972542E-2</v>
      </c>
      <c r="BD88" s="8">
        <f t="shared" si="259"/>
        <v>6.5966903319358366E-2</v>
      </c>
      <c r="BE88" s="8">
        <f t="shared" si="260"/>
        <v>5.2212498306805376E-2</v>
      </c>
      <c r="BF88" s="8">
        <f t="shared" si="261"/>
        <v>8.2556843785465489E-2</v>
      </c>
      <c r="BG88" s="8">
        <f t="shared" si="262"/>
        <v>1.6190888090712528E-2</v>
      </c>
      <c r="BH88" s="8">
        <f t="shared" si="263"/>
        <v>8.0801482376819889E-2</v>
      </c>
      <c r="BI88" s="8">
        <f t="shared" si="264"/>
        <v>-2.3428567149789459E-2</v>
      </c>
      <c r="BJ88" s="8">
        <f t="shared" si="265"/>
        <v>6.1090885300707505E-2</v>
      </c>
      <c r="BK88" s="8">
        <f t="shared" si="266"/>
        <v>-5.7841862402238813E-2</v>
      </c>
      <c r="BL88" s="8">
        <f t="shared" si="267"/>
        <v>2.780502685014238E-2</v>
      </c>
      <c r="BM88" s="8">
        <f t="shared" si="268"/>
        <v>-7.9401875260264404E-2</v>
      </c>
      <c r="BN88" s="8">
        <f t="shared" si="269"/>
        <v>-1.1659503020164393E-2</v>
      </c>
      <c r="BO88" s="8">
        <f t="shared" si="270"/>
        <v>-8.3317665007527103E-2</v>
      </c>
      <c r="BP88" s="8">
        <f t="shared" si="271"/>
        <v>-4.8533125912845594E-2</v>
      </c>
      <c r="BQ88" s="8">
        <f t="shared" si="272"/>
        <v>-6.8719087611169599E-2</v>
      </c>
      <c r="BR88" s="8">
        <f t="shared" si="273"/>
        <v>-7.4621999716641588E-2</v>
      </c>
      <c r="BS88" s="8">
        <f t="shared" si="274"/>
        <v>-3.8850154070135548E-2</v>
      </c>
      <c r="BT88" s="8">
        <f t="shared" si="275"/>
        <v>-8.4128806564766095E-2</v>
      </c>
      <c r="BU88" s="8">
        <f t="shared" si="276"/>
        <v>-3.4816515032055933E-4</v>
      </c>
      <c r="BV88" s="8">
        <f t="shared" si="277"/>
        <v>-7.4940999108061387E-2</v>
      </c>
      <c r="BW88" s="8">
        <f t="shared" si="278"/>
        <v>3.8231191005110861E-2</v>
      </c>
      <c r="BX88" s="8">
        <f t="shared" si="279"/>
        <v>-4.9100238505454044E-2</v>
      </c>
      <c r="BY88" s="8">
        <f t="shared" si="280"/>
        <v>6.8315034155676579E-2</v>
      </c>
      <c r="BZ88" s="8">
        <f t="shared" si="281"/>
        <v>-1.2348708350587125E-2</v>
      </c>
      <c r="CA88" s="8">
        <f t="shared" si="282"/>
        <v>8.3218307571446479E-2</v>
      </c>
      <c r="CB88" s="8">
        <f t="shared" si="283"/>
        <v>2.714687998367599E-2</v>
      </c>
      <c r="CC88" s="8">
        <f t="shared" si="284"/>
        <v>7.9629292475417751E-2</v>
      </c>
      <c r="CD88" s="8">
        <f t="shared" si="285"/>
        <v>6.0610046468669035E-2</v>
      </c>
      <c r="CE88" s="8">
        <f t="shared" si="286"/>
        <v>5.8345518937185821E-2</v>
      </c>
      <c r="CF88" s="8">
        <f t="shared" si="287"/>
        <v>8.0604800789069606E-2</v>
      </c>
      <c r="CG88" s="8">
        <f t="shared" si="288"/>
        <v>2.4096543377383661E-2</v>
      </c>
      <c r="CH88" s="8">
        <f t="shared" si="289"/>
        <v>8.2688024881008085E-2</v>
      </c>
      <c r="CI88" s="8">
        <f t="shared" si="290"/>
        <v>-1.5507025964430342E-2</v>
      </c>
      <c r="CJ88" s="8">
        <f t="shared" si="291"/>
        <v>6.6396796797774854E-2</v>
      </c>
      <c r="CK88" s="8">
        <f t="shared" si="292"/>
        <v>-5.1664714147846819E-2</v>
      </c>
      <c r="CL88" s="8">
        <f t="shared" si="293"/>
        <v>3.5351258533579726E-2</v>
      </c>
      <c r="CM88" s="8">
        <f t="shared" si="294"/>
        <v>-7.6341769910552471E-2</v>
      </c>
      <c r="CN88" s="8">
        <f t="shared" si="295"/>
        <v>-3.549830884389071E-3</v>
      </c>
      <c r="CO88" s="8">
        <f t="shared" si="296"/>
        <v>-8.4054601383124566E-2</v>
      </c>
      <c r="CP88" s="8">
        <f t="shared" si="297"/>
        <v>-4.1662097520473583E-2</v>
      </c>
      <c r="CQ88" s="8">
        <f t="shared" si="298"/>
        <v>-7.3089307994933683E-2</v>
      </c>
      <c r="CR88" s="8">
        <f t="shared" si="299"/>
        <v>-7.0516455051717455E-2</v>
      </c>
      <c r="CS88" s="8">
        <f t="shared" si="300"/>
        <v>-4.5882533495033163E-2</v>
      </c>
      <c r="CT88" s="8">
        <f t="shared" si="301"/>
        <v>-8.3701055894793069E-2</v>
      </c>
      <c r="CU88" s="8">
        <f t="shared" si="207"/>
        <v>-8.4800091438897995E-3</v>
      </c>
      <c r="DA88" s="20">
        <v>3.6931500863520029E-3</v>
      </c>
    </row>
    <row r="89" spans="1:105">
      <c r="A89" s="15">
        <v>87</v>
      </c>
      <c r="B89" s="16">
        <v>33</v>
      </c>
      <c r="C89" s="8">
        <f t="shared" si="208"/>
        <v>3.4965075614664802</v>
      </c>
      <c r="D89" s="8">
        <f t="shared" si="209"/>
        <v>5.8748387096774195</v>
      </c>
      <c r="E89" s="7">
        <f t="shared" si="210"/>
        <v>1.0689655172413792</v>
      </c>
      <c r="F89" s="8"/>
      <c r="G89" s="8"/>
      <c r="H89" s="8">
        <f t="shared" si="211"/>
        <v>6.901118110992116E-2</v>
      </c>
      <c r="I89" s="8">
        <f t="shared" si="212"/>
        <v>-2.9858852215997454E-2</v>
      </c>
      <c r="J89" s="8">
        <f t="shared" si="213"/>
        <v>5.1480263589686E-2</v>
      </c>
      <c r="K89" s="8">
        <f t="shared" si="214"/>
        <v>-5.4807632995592541E-2</v>
      </c>
      <c r="L89" s="8">
        <f t="shared" si="215"/>
        <v>2.5483790529618175E-2</v>
      </c>
      <c r="M89" s="8">
        <f t="shared" si="216"/>
        <v>-7.0743696497183803E-2</v>
      </c>
      <c r="N89" s="8">
        <f t="shared" si="217"/>
        <v>-4.7033068406399777E-3</v>
      </c>
      <c r="O89" s="8">
        <f t="shared" si="218"/>
        <v>-7.5046472792569693E-2</v>
      </c>
      <c r="P89" s="8">
        <f t="shared" si="219"/>
        <v>-3.4116979552515261E-2</v>
      </c>
      <c r="Q89" s="8">
        <f t="shared" si="220"/>
        <v>-6.7008401563209738E-2</v>
      </c>
      <c r="R89" s="8">
        <f t="shared" si="221"/>
        <v>-5.7920362706529442E-2</v>
      </c>
      <c r="S89" s="8">
        <f t="shared" si="222"/>
        <v>-4.7951285256885329E-2</v>
      </c>
      <c r="T89" s="8">
        <f t="shared" si="223"/>
        <v>-7.2199162783668808E-2</v>
      </c>
      <c r="U89" s="8">
        <f t="shared" si="224"/>
        <v>-2.100892827300832E-2</v>
      </c>
      <c r="V89" s="8">
        <f t="shared" si="225"/>
        <v>-7.4605334792193875E-2</v>
      </c>
      <c r="W89" s="8">
        <f t="shared" si="226"/>
        <v>9.3881944157425262E-3</v>
      </c>
      <c r="X89" s="8">
        <f t="shared" si="227"/>
        <v>-6.4743201216952248E-2</v>
      </c>
      <c r="Y89" s="8">
        <f t="shared" si="228"/>
        <v>3.8241496702199666E-2</v>
      </c>
      <c r="Z89" s="8">
        <f t="shared" si="229"/>
        <v>-4.4234518313659384E-2</v>
      </c>
      <c r="AA89" s="8">
        <f t="shared" si="230"/>
        <v>6.0806262534393994E-2</v>
      </c>
      <c r="AB89" s="8">
        <f t="shared" si="231"/>
        <v>-1.645179006851142E-2</v>
      </c>
      <c r="AC89" s="8">
        <f t="shared" si="232"/>
        <v>7.3371880018061039E-2</v>
      </c>
      <c r="AD89" s="8">
        <f t="shared" si="233"/>
        <v>1.403631559398439E-2</v>
      </c>
      <c r="AE89" s="8">
        <f t="shared" si="234"/>
        <v>7.3872024599229619E-2</v>
      </c>
      <c r="AF89" s="8">
        <f t="shared" si="235"/>
        <v>4.2216251077271935E-2</v>
      </c>
      <c r="AG89" s="8">
        <f t="shared" si="236"/>
        <v>6.2224451133166707E-2</v>
      </c>
      <c r="AH89" s="8">
        <f t="shared" si="237"/>
        <v>6.3454030610725382E-2</v>
      </c>
      <c r="AI89" s="8">
        <f t="shared" si="238"/>
        <v>4.0344518501231857E-2</v>
      </c>
      <c r="AJ89" s="8">
        <f t="shared" si="239"/>
        <v>7.4257255561421029E-2</v>
      </c>
      <c r="AK89" s="8">
        <f t="shared" si="240"/>
        <v>1.183022275060445E-2</v>
      </c>
      <c r="AL89" s="8">
        <f t="shared" si="241"/>
        <v>7.2849414030384391E-2</v>
      </c>
      <c r="AM89" s="8">
        <f t="shared" si="242"/>
        <v>-1.8629467229975941E-2</v>
      </c>
      <c r="AN89" s="8">
        <f t="shared" si="243"/>
        <v>5.9462015334802831E-2</v>
      </c>
      <c r="AO89" s="8">
        <f t="shared" si="244"/>
        <v>-4.6025676596512806E-2</v>
      </c>
      <c r="AP89" s="8">
        <f t="shared" si="245"/>
        <v>3.6296519981845063E-2</v>
      </c>
      <c r="AQ89" s="8">
        <f t="shared" si="246"/>
        <v>-6.5853297647503098E-2</v>
      </c>
      <c r="AR89" s="8">
        <f t="shared" si="247"/>
        <v>7.1623254734595613E-3</v>
      </c>
      <c r="AS89" s="8">
        <f t="shared" si="248"/>
        <v>-7.4851822073048746E-2</v>
      </c>
      <c r="AT89" s="8">
        <f t="shared" si="249"/>
        <v>-2.314966145209759E-2</v>
      </c>
      <c r="AU89" s="8">
        <f t="shared" si="250"/>
        <v>-7.1541507871279733E-2</v>
      </c>
      <c r="AV89" s="8">
        <f t="shared" si="251"/>
        <v>-4.9654854645729898E-2</v>
      </c>
      <c r="AW89" s="8">
        <f t="shared" si="252"/>
        <v>-5.6466712175887744E-2</v>
      </c>
      <c r="AX89" s="8">
        <f t="shared" si="253"/>
        <v>-6.7994667545739115E-2</v>
      </c>
      <c r="AY89" s="8">
        <f t="shared" si="254"/>
        <v>-3.2106375678165947E-2</v>
      </c>
      <c r="AZ89" s="8">
        <f t="shared" si="255"/>
        <v>-7.5153251089412329E-2</v>
      </c>
      <c r="BA89" s="8">
        <f t="shared" si="256"/>
        <v>-2.4663788303619311E-3</v>
      </c>
      <c r="BB89" s="8">
        <f t="shared" si="257"/>
        <v>-6.9953428192760445E-2</v>
      </c>
      <c r="BC89" s="8">
        <f t="shared" si="258"/>
        <v>2.7579196107272996E-2</v>
      </c>
      <c r="BD89" s="8">
        <f t="shared" si="259"/>
        <v>-5.3250271974284717E-2</v>
      </c>
      <c r="BE89" s="8">
        <f t="shared" si="260"/>
        <v>5.3089572502590589E-2</v>
      </c>
      <c r="BF89" s="8">
        <f t="shared" si="261"/>
        <v>-2.7790495189479597E-2</v>
      </c>
      <c r="BG89" s="8">
        <f t="shared" si="262"/>
        <v>6.9869754192831007E-2</v>
      </c>
      <c r="BH89" s="8">
        <f t="shared" si="263"/>
        <v>2.2392267374309336E-3</v>
      </c>
      <c r="BI89" s="8">
        <f t="shared" si="264"/>
        <v>7.5160362142963955E-2</v>
      </c>
      <c r="BJ89" s="8">
        <f t="shared" si="265"/>
        <v>3.1900724086800697E-2</v>
      </c>
      <c r="BK89" s="8">
        <f t="shared" si="266"/>
        <v>6.809139429164987E-2</v>
      </c>
      <c r="BL89" s="8">
        <f t="shared" si="267"/>
        <v>5.6316378997014901E-2</v>
      </c>
      <c r="BM89" s="8">
        <f t="shared" si="268"/>
        <v>4.9825291072985139E-2</v>
      </c>
      <c r="BN89" s="8">
        <f t="shared" si="269"/>
        <v>7.1471214304568584E-2</v>
      </c>
      <c r="BO89" s="8">
        <f t="shared" si="270"/>
        <v>2.3365780527804875E-2</v>
      </c>
      <c r="BP89" s="8">
        <f t="shared" si="271"/>
        <v>7.4873127385130633E-2</v>
      </c>
      <c r="BQ89" s="8">
        <f t="shared" si="272"/>
        <v>-6.9360629620206591E-3</v>
      </c>
      <c r="BR89" s="8">
        <f t="shared" si="273"/>
        <v>6.5962698334507894E-2</v>
      </c>
      <c r="BS89" s="8">
        <f t="shared" si="274"/>
        <v>-3.6097321261747708E-2</v>
      </c>
      <c r="BT89" s="8">
        <f t="shared" si="275"/>
        <v>4.6205182509840736E-2</v>
      </c>
      <c r="BU89" s="8">
        <f t="shared" si="276"/>
        <v>-5.9322637189149152E-2</v>
      </c>
      <c r="BV89" s="8">
        <f t="shared" si="277"/>
        <v>1.8849559925605053E-2</v>
      </c>
      <c r="BW89" s="8">
        <f t="shared" si="278"/>
        <v>-7.2792776183177255E-2</v>
      </c>
      <c r="BX89" s="8">
        <f t="shared" si="279"/>
        <v>-1.1605735918337547E-2</v>
      </c>
      <c r="BY89" s="8">
        <f t="shared" si="280"/>
        <v>-7.4292671695376011E-2</v>
      </c>
      <c r="BZ89" s="8">
        <f t="shared" si="281"/>
        <v>-4.0152552761854025E-2</v>
      </c>
      <c r="CA89" s="8">
        <f t="shared" si="282"/>
        <v>-6.3575676799776534E-2</v>
      </c>
      <c r="CB89" s="8">
        <f t="shared" si="283"/>
        <v>-6.2096573858620711E-2</v>
      </c>
      <c r="CC89" s="8">
        <f t="shared" si="284"/>
        <v>-4.2404123488924722E-2</v>
      </c>
      <c r="CD89" s="8">
        <f t="shared" si="285"/>
        <v>-7.3829264278774578E-2</v>
      </c>
      <c r="CE89" s="8">
        <f t="shared" si="286"/>
        <v>-1.4259519974318039E-2</v>
      </c>
      <c r="CF89" s="8">
        <f t="shared" si="287"/>
        <v>-7.3421268275905366E-2</v>
      </c>
      <c r="CG89" s="8">
        <f t="shared" si="288"/>
        <v>1.6229958059115462E-2</v>
      </c>
      <c r="CH89" s="8">
        <f t="shared" si="289"/>
        <v>-6.0939677830152264E-2</v>
      </c>
      <c r="CI89" s="8">
        <f t="shared" si="290"/>
        <v>4.4050537338384002E-2</v>
      </c>
      <c r="CJ89" s="8">
        <f t="shared" si="291"/>
        <v>-3.843699985923698E-2</v>
      </c>
      <c r="CK89" s="8">
        <f t="shared" si="292"/>
        <v>6.4627325611262387E-2</v>
      </c>
      <c r="CL89" s="8">
        <f t="shared" si="293"/>
        <v>-9.6136363594678271E-3</v>
      </c>
      <c r="CM89" s="8">
        <f t="shared" si="294"/>
        <v>7.4576619458051552E-2</v>
      </c>
      <c r="CN89" s="8">
        <f t="shared" si="295"/>
        <v>2.0790619833265991E-2</v>
      </c>
      <c r="CO89" s="8">
        <f t="shared" si="296"/>
        <v>7.2262329749266468E-2</v>
      </c>
      <c r="CP89" s="8">
        <f t="shared" si="297"/>
        <v>4.7776009558864588E-2</v>
      </c>
      <c r="CQ89" s="8">
        <f t="shared" si="298"/>
        <v>5.8065024623041306E-2</v>
      </c>
      <c r="CR89" s="8">
        <f t="shared" si="299"/>
        <v>6.6904981422741594E-2</v>
      </c>
      <c r="CS89" s="8">
        <f t="shared" si="300"/>
        <v>3.4319347818187275E-2</v>
      </c>
      <c r="CT89" s="8">
        <f t="shared" si="301"/>
        <v>7.5031914900801827E-2</v>
      </c>
      <c r="CU89" s="8">
        <f t="shared" si="207"/>
        <v>4.9301034636148825E-3</v>
      </c>
      <c r="CX89">
        <v>0.10287074437390265</v>
      </c>
      <c r="CY89">
        <v>0.41897288879329941</v>
      </c>
      <c r="DA89" s="21"/>
    </row>
    <row r="90" spans="1:105">
      <c r="A90" s="15">
        <v>88</v>
      </c>
      <c r="B90" s="16">
        <v>35</v>
      </c>
      <c r="C90" s="8">
        <f t="shared" si="208"/>
        <v>3.5553480614894135</v>
      </c>
      <c r="D90" s="8">
        <f t="shared" si="209"/>
        <v>5.9423655913978495</v>
      </c>
      <c r="E90" s="7">
        <f t="shared" si="210"/>
        <v>1.0568181818181819</v>
      </c>
      <c r="F90" s="8"/>
      <c r="G90" s="8"/>
      <c r="H90" s="8">
        <f t="shared" si="211"/>
        <v>7.2061246024473891E-2</v>
      </c>
      <c r="I90" s="8">
        <f t="shared" si="212"/>
        <v>-2.5557200612304376E-2</v>
      </c>
      <c r="J90" s="8">
        <f t="shared" si="213"/>
        <v>5.9373610053964632E-2</v>
      </c>
      <c r="K90" s="8">
        <f t="shared" si="214"/>
        <v>-4.8174351172559401E-2</v>
      </c>
      <c r="L90" s="8">
        <f t="shared" si="215"/>
        <v>3.985575085292388E-2</v>
      </c>
      <c r="M90" s="8">
        <f t="shared" si="216"/>
        <v>-6.5249619199555367E-2</v>
      </c>
      <c r="N90" s="8">
        <f t="shared" si="217"/>
        <v>1.5752964525193335E-2</v>
      </c>
      <c r="O90" s="8">
        <f t="shared" si="218"/>
        <v>-7.4818699470154695E-2</v>
      </c>
      <c r="P90" s="8">
        <f t="shared" si="219"/>
        <v>-1.0162011833628831E-2</v>
      </c>
      <c r="Q90" s="8">
        <f t="shared" si="220"/>
        <v>-7.5780783825654063E-2</v>
      </c>
      <c r="R90" s="8">
        <f t="shared" si="221"/>
        <v>-3.4907970353853721E-2</v>
      </c>
      <c r="S90" s="8">
        <f t="shared" si="222"/>
        <v>-6.8025195975548611E-2</v>
      </c>
      <c r="T90" s="8">
        <f t="shared" si="223"/>
        <v>-5.5638184676869373E-2</v>
      </c>
      <c r="U90" s="8">
        <f t="shared" si="224"/>
        <v>-5.2444123480137439E-2</v>
      </c>
      <c r="V90" s="8">
        <f t="shared" si="225"/>
        <v>-6.9967891751981814E-2</v>
      </c>
      <c r="W90" s="8">
        <f t="shared" si="226"/>
        <v>-3.082998224975618E-2</v>
      </c>
      <c r="X90" s="8">
        <f t="shared" si="227"/>
        <v>-7.6248630283639734E-2</v>
      </c>
      <c r="Y90" s="8">
        <f t="shared" si="228"/>
        <v>-5.6692205466132911E-3</v>
      </c>
      <c r="Z90" s="8">
        <f t="shared" si="229"/>
        <v>-7.375787647406766E-2</v>
      </c>
      <c r="AA90" s="8">
        <f t="shared" si="230"/>
        <v>2.0143717129008296E-2</v>
      </c>
      <c r="AB90" s="8">
        <f t="shared" si="231"/>
        <v>-6.2782161738758058E-2</v>
      </c>
      <c r="AC90" s="8">
        <f t="shared" si="232"/>
        <v>4.3639361236683445E-2</v>
      </c>
      <c r="AD90" s="8">
        <f t="shared" si="233"/>
        <v>-4.4584110696438285E-2</v>
      </c>
      <c r="AE90" s="8">
        <f t="shared" si="234"/>
        <v>6.2114819126719373E-2</v>
      </c>
      <c r="AF90" s="8">
        <f t="shared" si="235"/>
        <v>-2.1257191318259035E-2</v>
      </c>
      <c r="AG90" s="8">
        <f t="shared" si="236"/>
        <v>7.3444710490247408E-2</v>
      </c>
      <c r="AH90" s="8">
        <f t="shared" si="237"/>
        <v>4.5151135068530546E-3</v>
      </c>
      <c r="AI90" s="8">
        <f t="shared" si="238"/>
        <v>7.6325666926385635E-2</v>
      </c>
      <c r="AJ90" s="8">
        <f t="shared" si="239"/>
        <v>2.9768008561613889E-2</v>
      </c>
      <c r="AK90" s="8">
        <f t="shared" si="240"/>
        <v>7.0426268877550283E-2</v>
      </c>
      <c r="AL90" s="8">
        <f t="shared" si="241"/>
        <v>5.1596450506325692E-2</v>
      </c>
      <c r="AM90" s="8">
        <f t="shared" si="242"/>
        <v>5.642517148299693E-2</v>
      </c>
      <c r="AN90" s="8">
        <f t="shared" si="243"/>
        <v>6.7489338346428118E-2</v>
      </c>
      <c r="AO90" s="8">
        <f t="shared" si="244"/>
        <v>3.5933033427456046E-2</v>
      </c>
      <c r="AP90" s="8">
        <f t="shared" si="245"/>
        <v>7.5618385548105058E-2</v>
      </c>
      <c r="AQ90" s="8">
        <f t="shared" si="246"/>
        <v>1.1307229936437228E-2</v>
      </c>
      <c r="AR90" s="8">
        <f t="shared" si="247"/>
        <v>7.5048442522364409E-2</v>
      </c>
      <c r="AS90" s="8">
        <f t="shared" si="248"/>
        <v>-1.4619335029497455E-2</v>
      </c>
      <c r="AT90" s="8">
        <f t="shared" si="249"/>
        <v>6.5845074393020009E-2</v>
      </c>
      <c r="AU90" s="8">
        <f t="shared" si="250"/>
        <v>-3.8864120470106948E-2</v>
      </c>
      <c r="AV90" s="8">
        <f t="shared" si="251"/>
        <v>4.9067018513908003E-2</v>
      </c>
      <c r="AW90" s="8">
        <f t="shared" si="252"/>
        <v>-5.8638053991355611E-2</v>
      </c>
      <c r="AX90" s="8">
        <f t="shared" si="253"/>
        <v>2.6644389407698789E-2</v>
      </c>
      <c r="AY90" s="8">
        <f t="shared" si="254"/>
        <v>-7.1666381203659466E-2</v>
      </c>
      <c r="AZ90" s="8">
        <f t="shared" si="255"/>
        <v>1.1566421904262404E-3</v>
      </c>
      <c r="BA90" s="8">
        <f t="shared" si="256"/>
        <v>-7.6450348989266573E-2</v>
      </c>
      <c r="BB90" s="8">
        <f t="shared" si="257"/>
        <v>-2.4464162867718759E-2</v>
      </c>
      <c r="BC90" s="8">
        <f t="shared" si="258"/>
        <v>-7.2439619110808803E-2</v>
      </c>
      <c r="BD90" s="8">
        <f t="shared" si="259"/>
        <v>-4.7270658784433227E-2</v>
      </c>
      <c r="BE90" s="8">
        <f t="shared" si="260"/>
        <v>-6.0095578038845854E-2</v>
      </c>
      <c r="BF90" s="8">
        <f t="shared" si="261"/>
        <v>-6.4639231161404728E-2</v>
      </c>
      <c r="BG90" s="8">
        <f t="shared" si="262"/>
        <v>-4.0838259960480815E-2</v>
      </c>
      <c r="BH90" s="8">
        <f t="shared" si="263"/>
        <v>-7.4571833620410019E-2</v>
      </c>
      <c r="BI90" s="8">
        <f t="shared" si="264"/>
        <v>-1.6882988841648031E-2</v>
      </c>
      <c r="BJ90" s="8">
        <f t="shared" si="265"/>
        <v>-7.5925839125742967E-2</v>
      </c>
      <c r="BK90" s="8">
        <f t="shared" si="266"/>
        <v>9.0144680813193344E-3</v>
      </c>
      <c r="BL90" s="8">
        <f t="shared" si="267"/>
        <v>-6.8545485549274074E-2</v>
      </c>
      <c r="BM90" s="8">
        <f t="shared" si="268"/>
        <v>3.387491834014638E-2</v>
      </c>
      <c r="BN90" s="8">
        <f t="shared" si="269"/>
        <v>-5.3279794239067674E-2</v>
      </c>
      <c r="BO90" s="8">
        <f t="shared" si="270"/>
        <v>5.4838464671979441E-2</v>
      </c>
      <c r="BP90" s="8">
        <f t="shared" si="271"/>
        <v>-3.1884900274704489E-2</v>
      </c>
      <c r="BQ90" s="8">
        <f t="shared" si="272"/>
        <v>6.9493501971115798E-2</v>
      </c>
      <c r="BR90" s="8">
        <f t="shared" si="273"/>
        <v>-6.8220301444734564E-3</v>
      </c>
      <c r="BS90" s="8">
        <f t="shared" si="274"/>
        <v>7.615414359340679E-2</v>
      </c>
      <c r="BT90" s="8">
        <f t="shared" si="275"/>
        <v>1.9025632905201404E-2</v>
      </c>
      <c r="BU90" s="8">
        <f t="shared" si="276"/>
        <v>7.4054162437325863E-2</v>
      </c>
      <c r="BV90" s="8">
        <f t="shared" si="277"/>
        <v>4.2684624595217241E-2</v>
      </c>
      <c r="BW90" s="8">
        <f t="shared" si="278"/>
        <v>6.3435136201498779E-2</v>
      </c>
      <c r="BX90" s="8">
        <f t="shared" si="279"/>
        <v>6.1433261091540237E-2</v>
      </c>
      <c r="BY90" s="8">
        <f t="shared" si="280"/>
        <v>4.5518656761771588E-2</v>
      </c>
      <c r="BZ90" s="8">
        <f t="shared" si="281"/>
        <v>7.3114736156152757E-2</v>
      </c>
      <c r="CA90" s="8">
        <f t="shared" si="282"/>
        <v>2.2365800646377373E-2</v>
      </c>
      <c r="CB90" s="8">
        <f t="shared" si="283"/>
        <v>7.6385235891254732E-2</v>
      </c>
      <c r="CC90" s="8">
        <f t="shared" si="284"/>
        <v>-3.3599731508890565E-3</v>
      </c>
      <c r="CD90" s="8">
        <f t="shared" si="285"/>
        <v>7.0868528444918782E-2</v>
      </c>
      <c r="CE90" s="8">
        <f t="shared" si="286"/>
        <v>-2.8699222250595298E-2</v>
      </c>
      <c r="CF90" s="8">
        <f t="shared" si="287"/>
        <v>5.7199244982771555E-2</v>
      </c>
      <c r="CG90" s="8">
        <f t="shared" si="288"/>
        <v>-5.0736969313688901E-2</v>
      </c>
      <c r="CH90" s="8">
        <f t="shared" si="289"/>
        <v>3.6949872967896792E-2</v>
      </c>
      <c r="CI90" s="8">
        <f t="shared" si="290"/>
        <v>-6.6938035296784854E-2</v>
      </c>
      <c r="CJ90" s="8">
        <f t="shared" si="291"/>
        <v>1.2449860298341602E-2</v>
      </c>
      <c r="CK90" s="8">
        <f t="shared" si="292"/>
        <v>-7.5438681459110243E-2</v>
      </c>
      <c r="CL90" s="8">
        <f t="shared" si="293"/>
        <v>-1.348235979382427E-2</v>
      </c>
      <c r="CM90" s="8">
        <f t="shared" si="294"/>
        <v>-7.5261010198689179E-2</v>
      </c>
      <c r="CN90" s="8">
        <f t="shared" si="295"/>
        <v>-3.7863595753774841E-2</v>
      </c>
      <c r="CO90" s="8">
        <f t="shared" si="296"/>
        <v>-6.6425460467595177E-2</v>
      </c>
      <c r="CP90" s="8">
        <f t="shared" si="297"/>
        <v>-5.7889078188316498E-2</v>
      </c>
      <c r="CQ90" s="8">
        <f t="shared" si="298"/>
        <v>-4.9948456515134729E-2</v>
      </c>
      <c r="CR90" s="8">
        <f t="shared" si="299"/>
        <v>-7.1255115016018042E-2</v>
      </c>
      <c r="CS90" s="8">
        <f t="shared" si="300"/>
        <v>-2.7725480442931306E-2</v>
      </c>
      <c r="CT90" s="8">
        <f t="shared" si="301"/>
        <v>-7.6424103669722798E-2</v>
      </c>
      <c r="CU90" s="8">
        <f t="shared" si="207"/>
        <v>-2.3130196749676221E-3</v>
      </c>
      <c r="DA90" s="20">
        <v>2.1140080982113996E-3</v>
      </c>
    </row>
    <row r="91" spans="1:105">
      <c r="A91" s="15">
        <v>89</v>
      </c>
      <c r="B91" s="16">
        <v>37</v>
      </c>
      <c r="C91" s="8">
        <f t="shared" si="208"/>
        <v>3.6109179126442243</v>
      </c>
      <c r="D91" s="8">
        <f t="shared" si="209"/>
        <v>6.0098924731182803</v>
      </c>
      <c r="E91" s="7">
        <f t="shared" si="210"/>
        <v>1.044943820224719</v>
      </c>
      <c r="F91" s="8"/>
      <c r="G91" s="8"/>
      <c r="H91" s="8">
        <f t="shared" si="211"/>
        <v>7.4772199020903582E-2</v>
      </c>
      <c r="I91" s="8">
        <f t="shared" si="212"/>
        <v>-2.0959128262761237E-2</v>
      </c>
      <c r="J91" s="8">
        <f t="shared" si="213"/>
        <v>6.6340263564123716E-2</v>
      </c>
      <c r="K91" s="8">
        <f t="shared" si="214"/>
        <v>-4.0362559807315131E-2</v>
      </c>
      <c r="L91" s="8">
        <f t="shared" si="215"/>
        <v>5.2984204879609878E-2</v>
      </c>
      <c r="M91" s="8">
        <f t="shared" si="216"/>
        <v>-5.6770069906879772E-2</v>
      </c>
      <c r="N91" s="8">
        <f t="shared" si="217"/>
        <v>3.5695379878928013E-2</v>
      </c>
      <c r="O91" s="8">
        <f t="shared" si="218"/>
        <v>-6.896380687908342E-2</v>
      </c>
      <c r="P91" s="8">
        <f t="shared" si="219"/>
        <v>1.5757056071013978E-2</v>
      </c>
      <c r="Q91" s="8">
        <f t="shared" si="220"/>
        <v>-7.6038687442192304E-2</v>
      </c>
      <c r="R91" s="8">
        <f t="shared" si="221"/>
        <v>-5.3508393007062009E-3</v>
      </c>
      <c r="S91" s="8">
        <f t="shared" si="222"/>
        <v>-7.7469576755875652E-2</v>
      </c>
      <c r="T91" s="8">
        <f t="shared" si="223"/>
        <v>-2.6061567240870335E-2</v>
      </c>
      <c r="U91" s="8">
        <f t="shared" si="224"/>
        <v>-7.3150266690601234E-2</v>
      </c>
      <c r="V91" s="8">
        <f t="shared" si="225"/>
        <v>-4.4837868609487276E-2</v>
      </c>
      <c r="W91" s="8">
        <f t="shared" si="226"/>
        <v>-6.3401359153529568E-2</v>
      </c>
      <c r="X91" s="8">
        <f t="shared" si="227"/>
        <v>-6.0286067579345251E-2</v>
      </c>
      <c r="Y91" s="8">
        <f t="shared" si="228"/>
        <v>-4.8946469329003796E-2</v>
      </c>
      <c r="Z91" s="8">
        <f t="shared" si="229"/>
        <v>-7.1259517584884219E-2</v>
      </c>
      <c r="AA91" s="8">
        <f t="shared" si="230"/>
        <v>-3.0858515154266051E-2</v>
      </c>
      <c r="AB91" s="8">
        <f t="shared" si="231"/>
        <v>-7.6943711460205025E-2</v>
      </c>
      <c r="AC91" s="8">
        <f t="shared" si="232"/>
        <v>-1.0480079707960518E-2</v>
      </c>
      <c r="AD91" s="8">
        <f t="shared" si="233"/>
        <v>-7.6916738444200022E-2</v>
      </c>
      <c r="AE91" s="8">
        <f t="shared" si="234"/>
        <v>1.0676242366254795E-2</v>
      </c>
      <c r="AF91" s="8">
        <f t="shared" si="235"/>
        <v>-7.1180600615961126E-2</v>
      </c>
      <c r="AG91" s="8">
        <f t="shared" si="236"/>
        <v>3.1040117588493878E-2</v>
      </c>
      <c r="AH91" s="8">
        <f t="shared" si="237"/>
        <v>-6.0161064289941106E-2</v>
      </c>
      <c r="AI91" s="8">
        <f t="shared" si="238"/>
        <v>4.9100032051497336E-2</v>
      </c>
      <c r="AJ91" s="8">
        <f t="shared" si="239"/>
        <v>-4.4676057401100644E-2</v>
      </c>
      <c r="AK91" s="8">
        <f t="shared" si="240"/>
        <v>6.3515483931479669E-2</v>
      </c>
      <c r="AL91" s="8">
        <f t="shared" si="241"/>
        <v>-2.5874958592311152E-2</v>
      </c>
      <c r="AM91" s="8">
        <f t="shared" si="242"/>
        <v>7.321648258283564E-2</v>
      </c>
      <c r="AN91" s="8">
        <f t="shared" si="243"/>
        <v>-5.1532842871958948E-3</v>
      </c>
      <c r="AO91" s="8">
        <f t="shared" si="244"/>
        <v>7.748296887066107E-2</v>
      </c>
      <c r="AP91" s="8">
        <f t="shared" si="245"/>
        <v>1.5950893877483337E-2</v>
      </c>
      <c r="AQ91" s="8">
        <f t="shared" si="246"/>
        <v>7.5998261746343623E-2</v>
      </c>
      <c r="AR91" s="8">
        <f t="shared" si="247"/>
        <v>3.5871112817017409E-2</v>
      </c>
      <c r="AS91" s="8">
        <f t="shared" si="248"/>
        <v>6.8872563980334728E-2</v>
      </c>
      <c r="AT91" s="8">
        <f t="shared" si="249"/>
        <v>5.312878912652106E-2</v>
      </c>
      <c r="AU91" s="8">
        <f t="shared" si="250"/>
        <v>5.6634782332998776E-2</v>
      </c>
      <c r="AV91" s="8">
        <f t="shared" si="251"/>
        <v>6.6442967316721002E-2</v>
      </c>
      <c r="AW91" s="8">
        <f t="shared" si="252"/>
        <v>4.0193269313476311E-2</v>
      </c>
      <c r="AX91" s="8">
        <f t="shared" si="253"/>
        <v>7.4825399066576273E-2</v>
      </c>
      <c r="AY91" s="8">
        <f t="shared" si="254"/>
        <v>2.0768400479673384E-2</v>
      </c>
      <c r="AZ91" s="8">
        <f t="shared" si="255"/>
        <v>7.7653896210609558E-2</v>
      </c>
      <c r="BA91" s="8">
        <f t="shared" si="256"/>
        <v>-1.9800825329082937E-4</v>
      </c>
      <c r="BB91" s="8">
        <f t="shared" si="257"/>
        <v>7.4718512816466673E-2</v>
      </c>
      <c r="BC91" s="8">
        <f t="shared" si="258"/>
        <v>-2.1149719772422453E-2</v>
      </c>
      <c r="BD91" s="8">
        <f t="shared" si="259"/>
        <v>6.6237128476071633E-2</v>
      </c>
      <c r="BE91" s="8">
        <f t="shared" si="260"/>
        <v>-4.0531587869227052E-2</v>
      </c>
      <c r="BF91" s="8">
        <f t="shared" si="261"/>
        <v>5.2839276136537244E-2</v>
      </c>
      <c r="BG91" s="8">
        <f t="shared" si="262"/>
        <v>-5.6904988369415009E-2</v>
      </c>
      <c r="BH91" s="8">
        <f t="shared" si="263"/>
        <v>3.551941485428748E-2</v>
      </c>
      <c r="BI91" s="8">
        <f t="shared" si="264"/>
        <v>-6.9054601384451658E-2</v>
      </c>
      <c r="BJ91" s="8">
        <f t="shared" si="265"/>
        <v>1.5563115814290112E-2</v>
      </c>
      <c r="BK91" s="8">
        <f t="shared" si="266"/>
        <v>-7.6078618744739868E-2</v>
      </c>
      <c r="BL91" s="8">
        <f t="shared" si="267"/>
        <v>-5.5483595237803048E-3</v>
      </c>
      <c r="BM91" s="8">
        <f t="shared" si="268"/>
        <v>-7.7455680944339828E-2</v>
      </c>
      <c r="BN91" s="8">
        <f t="shared" si="269"/>
        <v>-2.6248006440631695E-2</v>
      </c>
      <c r="BO91" s="8">
        <f t="shared" si="270"/>
        <v>-7.3083575185188154E-2</v>
      </c>
      <c r="BP91" s="8">
        <f t="shared" si="271"/>
        <v>-4.4999388288092412E-2</v>
      </c>
      <c r="BQ91" s="8">
        <f t="shared" si="272"/>
        <v>-6.3286822148485092E-2</v>
      </c>
      <c r="BR91" s="8">
        <f t="shared" si="273"/>
        <v>-6.0410678896860463E-2</v>
      </c>
      <c r="BS91" s="8">
        <f t="shared" si="274"/>
        <v>-4.8792588363161353E-2</v>
      </c>
      <c r="BT91" s="8">
        <f t="shared" si="275"/>
        <v>-7.1337971234025382E-2</v>
      </c>
      <c r="BU91" s="8">
        <f t="shared" si="276"/>
        <v>-3.0676712082129312E-2</v>
      </c>
      <c r="BV91" s="8">
        <f t="shared" si="277"/>
        <v>-7.6970184198564898E-2</v>
      </c>
      <c r="BW91" s="8">
        <f t="shared" si="278"/>
        <v>-1.0283848909599984E-2</v>
      </c>
      <c r="BX91" s="8">
        <f t="shared" si="279"/>
        <v>-7.6889265325924827E-2</v>
      </c>
      <c r="BY91" s="8">
        <f t="shared" si="280"/>
        <v>1.087233560905964E-2</v>
      </c>
      <c r="BZ91" s="8">
        <f t="shared" si="281"/>
        <v>-7.1101220840362689E-2</v>
      </c>
      <c r="CA91" s="8">
        <f t="shared" si="282"/>
        <v>3.1221518204060262E-2</v>
      </c>
      <c r="CB91" s="8">
        <f t="shared" si="283"/>
        <v>-6.0035669841402579E-2</v>
      </c>
      <c r="CC91" s="8">
        <f t="shared" si="284"/>
        <v>4.9253275532197827E-2</v>
      </c>
      <c r="CD91" s="8">
        <f t="shared" si="285"/>
        <v>-4.4513955715008553E-2</v>
      </c>
      <c r="CE91" s="8">
        <f t="shared" si="286"/>
        <v>6.3629195740310507E-2</v>
      </c>
      <c r="CF91" s="8">
        <f t="shared" si="287"/>
        <v>-2.568818170825635E-2</v>
      </c>
      <c r="CG91" s="8">
        <f t="shared" si="288"/>
        <v>7.3282222431365271E-2</v>
      </c>
      <c r="CH91" s="8">
        <f t="shared" si="289"/>
        <v>-4.9556957677254661E-3</v>
      </c>
      <c r="CI91" s="8">
        <f t="shared" si="290"/>
        <v>7.7495857201622331E-2</v>
      </c>
      <c r="CJ91" s="8">
        <f t="shared" si="291"/>
        <v>1.614462797338926E-2</v>
      </c>
      <c r="CK91" s="8">
        <f t="shared" si="292"/>
        <v>7.59573419200366E-2</v>
      </c>
      <c r="CL91" s="8">
        <f t="shared" si="293"/>
        <v>3.6046612525964992E-2</v>
      </c>
      <c r="CM91" s="8">
        <f t="shared" si="294"/>
        <v>6.8780873281454019E-2</v>
      </c>
      <c r="CN91" s="8">
        <f t="shared" si="295"/>
        <v>5.3273027937205106E-2</v>
      </c>
      <c r="CO91" s="8">
        <f t="shared" si="296"/>
        <v>5.649912652739205E-2</v>
      </c>
      <c r="CP91" s="8">
        <f t="shared" si="297"/>
        <v>6.6545239066095302E-2</v>
      </c>
      <c r="CQ91" s="8">
        <f t="shared" si="298"/>
        <v>4.0023717488418223E-2</v>
      </c>
      <c r="CR91" s="8">
        <f t="shared" si="299"/>
        <v>7.4878112607585839E-2</v>
      </c>
      <c r="CS91" s="8">
        <f t="shared" si="300"/>
        <v>2.0577537663243058E-2</v>
      </c>
      <c r="CT91" s="8">
        <f t="shared" si="301"/>
        <v>7.7653138867032845E-2</v>
      </c>
      <c r="CU91" s="8">
        <f t="shared" si="207"/>
        <v>-3.9601521915867395E-4</v>
      </c>
      <c r="CX91">
        <v>0.16879228573882712</v>
      </c>
      <c r="CY91">
        <v>0.69158497216986548</v>
      </c>
      <c r="DA91" s="21"/>
    </row>
    <row r="92" spans="1:105">
      <c r="A92" s="15">
        <v>90</v>
      </c>
      <c r="B92" s="16">
        <v>71</v>
      </c>
      <c r="C92" s="8">
        <f t="shared" si="208"/>
        <v>4.2626798770413155</v>
      </c>
      <c r="D92" s="8">
        <f t="shared" si="209"/>
        <v>6.0774193548387103</v>
      </c>
      <c r="E92" s="7">
        <f t="shared" si="210"/>
        <v>1.0333333333333332</v>
      </c>
      <c r="F92" s="8"/>
      <c r="G92" s="8"/>
      <c r="H92" s="8">
        <f t="shared" si="211"/>
        <v>8.9736724391329334E-2</v>
      </c>
      <c r="I92" s="8">
        <f t="shared" si="212"/>
        <v>-1.8729849996524685E-2</v>
      </c>
      <c r="J92" s="8">
        <f t="shared" si="213"/>
        <v>8.4016880935862778E-2</v>
      </c>
      <c r="K92" s="8">
        <f t="shared" si="214"/>
        <v>-3.6669479178013602E-2</v>
      </c>
      <c r="L92" s="8">
        <f t="shared" si="215"/>
        <v>7.475232739770897E-2</v>
      </c>
      <c r="M92" s="8">
        <f t="shared" si="216"/>
        <v>-5.3062006501860097E-2</v>
      </c>
      <c r="N92" s="8">
        <f t="shared" si="217"/>
        <v>6.2333939467234943E-2</v>
      </c>
      <c r="O92" s="8">
        <f t="shared" si="218"/>
        <v>-6.721582385028696E-2</v>
      </c>
      <c r="P92" s="8">
        <f t="shared" si="219"/>
        <v>4.7285654529613037E-2</v>
      </c>
      <c r="Q92" s="8">
        <f t="shared" si="220"/>
        <v>-7.8533775288622168E-2</v>
      </c>
      <c r="R92" s="8">
        <f t="shared" si="221"/>
        <v>3.0242366510342115E-2</v>
      </c>
      <c r="S92" s="8">
        <f t="shared" si="222"/>
        <v>-8.6538351343389094E-2</v>
      </c>
      <c r="T92" s="8">
        <f t="shared" si="223"/>
        <v>1.1923139414311503E-2</v>
      </c>
      <c r="U92" s="8">
        <f t="shared" si="224"/>
        <v>-9.0891835342260585E-2</v>
      </c>
      <c r="V92" s="8">
        <f t="shared" si="225"/>
        <v>-6.8991303087295027E-3</v>
      </c>
      <c r="W92" s="8">
        <f t="shared" si="226"/>
        <v>-9.1410551832711781E-2</v>
      </c>
      <c r="X92" s="8">
        <f t="shared" si="227"/>
        <v>-2.5430322613819282E-2</v>
      </c>
      <c r="Y92" s="8">
        <f t="shared" si="228"/>
        <v>-8.807261593216581E-2</v>
      </c>
      <c r="Z92" s="8">
        <f t="shared" si="229"/>
        <v>-4.2888598143481407E-2</v>
      </c>
      <c r="AA92" s="8">
        <f t="shared" si="230"/>
        <v>-8.1018856661055641E-2</v>
      </c>
      <c r="AB92" s="8">
        <f t="shared" si="231"/>
        <v>-5.8537384382680871E-2</v>
      </c>
      <c r="AC92" s="8">
        <f t="shared" si="232"/>
        <v>-7.0546875302964246E-2</v>
      </c>
      <c r="AD92" s="8">
        <f t="shared" si="233"/>
        <v>-7.1716451985290752E-2</v>
      </c>
      <c r="AE92" s="8">
        <f t="shared" si="234"/>
        <v>-5.7098489472307438E-2</v>
      </c>
      <c r="AF92" s="8">
        <f t="shared" si="235"/>
        <v>-8.1869770147846077E-2</v>
      </c>
      <c r="AG92" s="8">
        <f t="shared" si="236"/>
        <v>-4.1241092630003959E-2</v>
      </c>
      <c r="AH92" s="8">
        <f t="shared" si="237"/>
        <v>-8.8568965799808635E-2</v>
      </c>
      <c r="AI92" s="8">
        <f t="shared" si="238"/>
        <v>-2.3643715497570317E-2</v>
      </c>
      <c r="AJ92" s="8">
        <f t="shared" si="239"/>
        <v>-9.1531396856529529E-2</v>
      </c>
      <c r="AK92" s="8">
        <f t="shared" si="240"/>
        <v>-5.0487993493714359E-3</v>
      </c>
      <c r="AL92" s="8">
        <f t="shared" si="241"/>
        <v>-9.0632077016219725E-2</v>
      </c>
      <c r="AM92" s="8">
        <f t="shared" si="242"/>
        <v>1.3759127919447884E-2</v>
      </c>
      <c r="AN92" s="8">
        <f t="shared" si="243"/>
        <v>-8.5908948988368095E-2</v>
      </c>
      <c r="AO92" s="8">
        <f t="shared" si="244"/>
        <v>3.1986551378535413E-2</v>
      </c>
      <c r="AP92" s="8">
        <f t="shared" si="245"/>
        <v>-7.7561283673722836E-2</v>
      </c>
      <c r="AQ92" s="8">
        <f t="shared" si="246"/>
        <v>4.8864447814970874E-2</v>
      </c>
      <c r="AR92" s="8">
        <f t="shared" si="247"/>
        <v>-6.594127283515494E-2</v>
      </c>
      <c r="AS92" s="8">
        <f t="shared" si="248"/>
        <v>6.3680731169305616E-2</v>
      </c>
      <c r="AT92" s="8">
        <f t="shared" si="249"/>
        <v>-5.1539169968409529E-2</v>
      </c>
      <c r="AU92" s="8">
        <f t="shared" si="250"/>
        <v>7.58102957674293E-2</v>
      </c>
      <c r="AV92" s="8">
        <f t="shared" si="251"/>
        <v>-3.4962606286107076E-2</v>
      </c>
      <c r="AW92" s="8">
        <f t="shared" si="252"/>
        <v>8.4741389810767107E-2</v>
      </c>
      <c r="AX92" s="8">
        <f t="shared" si="253"/>
        <v>-1.6910954482954293E-2</v>
      </c>
      <c r="AY92" s="8">
        <f t="shared" si="254"/>
        <v>9.0097206415366532E-2</v>
      </c>
      <c r="AZ92" s="8">
        <f t="shared" si="255"/>
        <v>1.8541781135314923E-3</v>
      </c>
      <c r="BA92" s="8">
        <f t="shared" si="256"/>
        <v>9.1651781264201385E-2</v>
      </c>
      <c r="BB92" s="8">
        <f t="shared" si="257"/>
        <v>2.054108209952011E-2</v>
      </c>
      <c r="BC92" s="8">
        <f t="shared" si="258"/>
        <v>8.9339526143574835E-2</v>
      </c>
      <c r="BD92" s="8">
        <f t="shared" si="259"/>
        <v>3.8361348571518301E-2</v>
      </c>
      <c r="BE92" s="8">
        <f t="shared" si="260"/>
        <v>8.3257996139423071E-2</v>
      </c>
      <c r="BF92" s="8">
        <f t="shared" si="261"/>
        <v>5.4563132453441042E-2</v>
      </c>
      <c r="BG92" s="8">
        <f t="shared" si="262"/>
        <v>7.3663773744262959E-2</v>
      </c>
      <c r="BH92" s="8">
        <f t="shared" si="263"/>
        <v>6.8462873179318373E-2</v>
      </c>
      <c r="BI92" s="8">
        <f t="shared" si="264"/>
        <v>6.0961643526157384E-2</v>
      </c>
      <c r="BJ92" s="8">
        <f t="shared" si="265"/>
        <v>7.947413442172635E-2</v>
      </c>
      <c r="BK92" s="8">
        <f t="shared" si="266"/>
        <v>4.5687514085306594E-2</v>
      </c>
      <c r="BL92" s="8">
        <f t="shared" si="267"/>
        <v>8.7132346104812672E-2</v>
      </c>
      <c r="BM92" s="8">
        <f t="shared" si="268"/>
        <v>2.8485807828616212E-2</v>
      </c>
      <c r="BN92" s="8">
        <f t="shared" si="269"/>
        <v>9.1114404825237E-2</v>
      </c>
      <c r="BO92" s="8">
        <f t="shared" si="270"/>
        <v>1.008227249783219E-2</v>
      </c>
      <c r="BP92" s="8">
        <f t="shared" si="271"/>
        <v>9.1252305730417343E-2</v>
      </c>
      <c r="BQ92" s="8">
        <f t="shared" si="272"/>
        <v>-8.7466384548669559E-3</v>
      </c>
      <c r="BR92" s="8">
        <f t="shared" si="273"/>
        <v>8.7540230718995679E-2</v>
      </c>
      <c r="BS92" s="8">
        <f t="shared" si="274"/>
        <v>-2.7206524788048962E-2</v>
      </c>
      <c r="BT92" s="8">
        <f t="shared" si="275"/>
        <v>8.0134793909159743E-2</v>
      </c>
      <c r="BU92" s="8">
        <f t="shared" si="276"/>
        <v>-4.4518555575335239E-2</v>
      </c>
      <c r="BV92" s="8">
        <f t="shared" si="277"/>
        <v>6.9348434018394356E-2</v>
      </c>
      <c r="BW92" s="8">
        <f t="shared" si="278"/>
        <v>-5.9952328433298757E-2</v>
      </c>
      <c r="BX92" s="8">
        <f t="shared" si="279"/>
        <v>5.5636232433134314E-2</v>
      </c>
      <c r="BY92" s="8">
        <f t="shared" si="280"/>
        <v>-7.2856685527300583E-2</v>
      </c>
      <c r="BZ92" s="8">
        <f t="shared" si="281"/>
        <v>3.9576713119914543E-2</v>
      </c>
      <c r="CA92" s="8">
        <f t="shared" si="282"/>
        <v>-8.2687186214078542E-2</v>
      </c>
      <c r="CB92" s="8">
        <f t="shared" si="283"/>
        <v>2.1847434438420962E-2</v>
      </c>
      <c r="CC92" s="8">
        <f t="shared" si="284"/>
        <v>-8.9029077237926121E-2</v>
      </c>
      <c r="CD92" s="8">
        <f t="shared" si="285"/>
        <v>3.1964026488391431E-3</v>
      </c>
      <c r="CE92" s="8">
        <f t="shared" si="286"/>
        <v>-9.1614791357532491E-2</v>
      </c>
      <c r="CF92" s="8">
        <f t="shared" si="287"/>
        <v>-1.5589486809480893E-2</v>
      </c>
      <c r="CG92" s="8">
        <f t="shared" si="288"/>
        <v>-9.0335236128515961E-2</v>
      </c>
      <c r="CH92" s="8">
        <f t="shared" si="289"/>
        <v>-3.3717648791349378E-2</v>
      </c>
      <c r="CI92" s="8">
        <f t="shared" si="290"/>
        <v>-8.5244396562829464E-2</v>
      </c>
      <c r="CJ92" s="8">
        <f t="shared" si="291"/>
        <v>-5.0423247970315679E-2</v>
      </c>
      <c r="CK92" s="8">
        <f t="shared" si="292"/>
        <v>-7.6557057476771995E-2</v>
      </c>
      <c r="CL92" s="8">
        <f t="shared" si="293"/>
        <v>-6.5001467585895881E-2</v>
      </c>
      <c r="CM92" s="8">
        <f t="shared" si="294"/>
        <v>-6.4639741622762106E-2</v>
      </c>
      <c r="CN92" s="8">
        <f t="shared" si="295"/>
        <v>-7.6837245980442725E-2</v>
      </c>
      <c r="CO92" s="8">
        <f t="shared" si="296"/>
        <v>-4.9995245929174648E-2</v>
      </c>
      <c r="CP92" s="8">
        <f t="shared" si="297"/>
        <v>-8.5431226327754295E-2</v>
      </c>
      <c r="CQ92" s="8">
        <f t="shared" si="298"/>
        <v>-3.3241428271266242E-2</v>
      </c>
      <c r="CR92" s="8">
        <f t="shared" si="299"/>
        <v>-9.0420824722687212E-2</v>
      </c>
      <c r="CS92" s="8">
        <f t="shared" si="300"/>
        <v>-1.5085139768884934E-2</v>
      </c>
      <c r="CT92" s="8">
        <f t="shared" si="301"/>
        <v>-9.1595527759577619E-2</v>
      </c>
      <c r="CU92" s="8">
        <f t="shared" si="207"/>
        <v>3.7075975809357739E-3</v>
      </c>
      <c r="DA92" s="20">
        <v>8.409482525361734E-4</v>
      </c>
    </row>
    <row r="93" spans="1:105">
      <c r="A93" s="15">
        <v>91</v>
      </c>
      <c r="B93" s="16">
        <v>79</v>
      </c>
      <c r="C93" s="8">
        <f t="shared" si="208"/>
        <v>4.3694478524670215</v>
      </c>
      <c r="D93" s="8">
        <f t="shared" si="209"/>
        <v>6.1449462365591403</v>
      </c>
      <c r="E93" s="7">
        <f t="shared" si="210"/>
        <v>1.0219780219780219</v>
      </c>
      <c r="F93" s="8"/>
      <c r="G93" s="8"/>
      <c r="H93" s="8">
        <f t="shared" si="211"/>
        <v>9.3070196438159281E-2</v>
      </c>
      <c r="I93" s="8">
        <f t="shared" si="212"/>
        <v>-1.2948525012100786E-2</v>
      </c>
      <c r="J93" s="8">
        <f t="shared" si="213"/>
        <v>9.0398027739762118E-2</v>
      </c>
      <c r="K93" s="8">
        <f t="shared" si="214"/>
        <v>-2.5649996993913158E-2</v>
      </c>
      <c r="L93" s="8">
        <f t="shared" si="215"/>
        <v>8.6001098370606488E-2</v>
      </c>
      <c r="M93" s="8">
        <f t="shared" si="216"/>
        <v>-3.7862076594870266E-2</v>
      </c>
      <c r="N93" s="8">
        <f t="shared" si="217"/>
        <v>7.9963300103971374E-2</v>
      </c>
      <c r="O93" s="8">
        <f t="shared" si="218"/>
        <v>-4.9351761888596926E-2</v>
      </c>
      <c r="P93" s="8">
        <f t="shared" si="219"/>
        <v>7.2399831880017848E-2</v>
      </c>
      <c r="Q93" s="8">
        <f t="shared" si="220"/>
        <v>-5.9899833962805828E-2</v>
      </c>
      <c r="R93" s="8">
        <f t="shared" si="221"/>
        <v>6.3455001852954579E-2</v>
      </c>
      <c r="S93" s="8">
        <f t="shared" si="222"/>
        <v>-6.9305039534424087E-2</v>
      </c>
      <c r="T93" s="8">
        <f t="shared" si="223"/>
        <v>5.329947404524947E-2</v>
      </c>
      <c r="U93" s="8">
        <f t="shared" si="224"/>
        <v>-7.7387930787212122E-2</v>
      </c>
      <c r="V93" s="8">
        <f t="shared" si="225"/>
        <v>4.212701214170371E-2</v>
      </c>
      <c r="W93" s="8">
        <f t="shared" si="226"/>
        <v>-8.3994289169200681E-2</v>
      </c>
      <c r="X93" s="8">
        <f t="shared" si="227"/>
        <v>3.0150782550573609E-2</v>
      </c>
      <c r="Y93" s="8">
        <f t="shared" si="228"/>
        <v>-8.8998067825175747E-2</v>
      </c>
      <c r="Z93" s="8">
        <f t="shared" si="229"/>
        <v>1.7599287267966425E-2</v>
      </c>
      <c r="AA93" s="8">
        <f t="shared" si="230"/>
        <v>-9.2303796523686671E-2</v>
      </c>
      <c r="AB93" s="8">
        <f t="shared" si="231"/>
        <v>4.7120041449369267E-3</v>
      </c>
      <c r="AC93" s="8">
        <f t="shared" si="232"/>
        <v>-9.3848403193472887E-2</v>
      </c>
      <c r="AD93" s="8">
        <f t="shared" si="233"/>
        <v>-8.2651822606389005E-3</v>
      </c>
      <c r="AE93" s="8">
        <f t="shared" si="234"/>
        <v>-9.3602417315072448E-2</v>
      </c>
      <c r="AF93" s="8">
        <f t="shared" si="235"/>
        <v>-2.1084672069772162E-2</v>
      </c>
      <c r="AG93" s="8">
        <f t="shared" si="236"/>
        <v>-9.1570532207346733E-2</v>
      </c>
      <c r="AH93" s="8">
        <f t="shared" si="237"/>
        <v>-3.3501874195744054E-2</v>
      </c>
      <c r="AI93" s="8">
        <f t="shared" si="238"/>
        <v>-8.7791515480706309E-2</v>
      </c>
      <c r="AJ93" s="8">
        <f t="shared" si="239"/>
        <v>-4.5279873050866136E-2</v>
      </c>
      <c r="AK93" s="8">
        <f t="shared" si="240"/>
        <v>-8.233746936555679E-2</v>
      </c>
      <c r="AL93" s="8">
        <f t="shared" si="241"/>
        <v>-5.6193948807579587E-2</v>
      </c>
      <c r="AM93" s="8">
        <f t="shared" si="242"/>
        <v>-7.5312455028618483E-2</v>
      </c>
      <c r="AN93" s="8">
        <f t="shared" si="243"/>
        <v>-6.6035864968986904E-2</v>
      </c>
      <c r="AO93" s="8">
        <f t="shared" si="244"/>
        <v>-6.6850507124660508E-2</v>
      </c>
      <c r="AP93" s="8">
        <f t="shared" si="245"/>
        <v>-7.4617841443590488E-2</v>
      </c>
      <c r="AQ93" s="8">
        <f t="shared" si="246"/>
        <v>-5.711307646525219E-2</v>
      </c>
      <c r="AR93" s="8">
        <f t="shared" si="247"/>
        <v>-8.177613731944014E-2</v>
      </c>
      <c r="AS93" s="8">
        <f t="shared" si="248"/>
        <v>-4.6285949597460206E-2</v>
      </c>
      <c r="AT93" s="8">
        <f t="shared" si="249"/>
        <v>-8.7374174979688371E-2</v>
      </c>
      <c r="AU93" s="8">
        <f t="shared" si="250"/>
        <v>-3.4575704065793862E-2</v>
      </c>
      <c r="AV93" s="8">
        <f t="shared" si="251"/>
        <v>-9.1305145952610064E-2</v>
      </c>
      <c r="AW93" s="8">
        <f t="shared" si="252"/>
        <v>-2.2205766989661202E-2</v>
      </c>
      <c r="AX93" s="8">
        <f t="shared" si="253"/>
        <v>-9.3494048777427549E-2</v>
      </c>
      <c r="AY93" s="8">
        <f t="shared" si="254"/>
        <v>-9.4121521572141306E-3</v>
      </c>
      <c r="AZ93" s="8">
        <f t="shared" si="255"/>
        <v>-9.3899120004220155E-2</v>
      </c>
      <c r="BA93" s="8">
        <f t="shared" si="256"/>
        <v>3.5610430297341985E-3</v>
      </c>
      <c r="BB93" s="8">
        <f t="shared" si="257"/>
        <v>-9.2512631024983444E-2</v>
      </c>
      <c r="BC93" s="8">
        <f t="shared" si="258"/>
        <v>1.6466294843158438E-2</v>
      </c>
      <c r="BD93" s="8">
        <f t="shared" si="259"/>
        <v>-8.9361035532586008E-2</v>
      </c>
      <c r="BE93" s="8">
        <f t="shared" si="260"/>
        <v>2.9057375889272149E-2</v>
      </c>
      <c r="BF93" s="8">
        <f t="shared" si="261"/>
        <v>-8.450446479417445E-2</v>
      </c>
      <c r="BG93" s="8">
        <f t="shared" si="262"/>
        <v>4.1094053035405094E-2</v>
      </c>
      <c r="BH93" s="8">
        <f t="shared" si="263"/>
        <v>-7.803558036900797E-2</v>
      </c>
      <c r="BI93" s="8">
        <f t="shared" si="264"/>
        <v>5.2346670968636141E-2</v>
      </c>
      <c r="BJ93" s="8">
        <f t="shared" si="265"/>
        <v>-7.0077806160450548E-2</v>
      </c>
      <c r="BK93" s="8">
        <f t="shared" si="266"/>
        <v>6.2600533933544644E-2</v>
      </c>
      <c r="BL93" s="8">
        <f t="shared" si="267"/>
        <v>-6.0782973533910996E-2</v>
      </c>
      <c r="BM93" s="8">
        <f t="shared" si="268"/>
        <v>7.1660002047184104E-2</v>
      </c>
      <c r="BN93" s="8">
        <f t="shared" si="269"/>
        <v>-5.0328424430980685E-2</v>
      </c>
      <c r="BO93" s="8">
        <f t="shared" si="270"/>
        <v>7.9352224035130994E-2</v>
      </c>
      <c r="BP93" s="8">
        <f t="shared" si="271"/>
        <v>-3.8913627751301277E-2</v>
      </c>
      <c r="BQ93" s="8">
        <f t="shared" si="272"/>
        <v>8.5530435169357752E-2</v>
      </c>
      <c r="BR93" s="8">
        <f t="shared" si="273"/>
        <v>-2.6756373560325446E-2</v>
      </c>
      <c r="BS93" s="8">
        <f t="shared" si="274"/>
        <v>9.0076757484530229E-2</v>
      </c>
      <c r="BT93" s="8">
        <f t="shared" si="275"/>
        <v>-1.408861773604167E-2</v>
      </c>
      <c r="BU93" s="8">
        <f t="shared" si="276"/>
        <v>9.2904448845651355E-2</v>
      </c>
      <c r="BV93" s="8">
        <f t="shared" si="277"/>
        <v>-1.1520563372970571E-3</v>
      </c>
      <c r="BW93" s="8">
        <f t="shared" si="278"/>
        <v>9.3959557955655845E-2</v>
      </c>
      <c r="BX93" s="8">
        <f t="shared" si="279"/>
        <v>1.1806485866897753E-2</v>
      </c>
      <c r="BY93" s="8">
        <f t="shared" si="280"/>
        <v>9.3221953726047274E-2</v>
      </c>
      <c r="BZ93" s="8">
        <f t="shared" si="281"/>
        <v>2.4539764721966065E-2</v>
      </c>
      <c r="CA93" s="8">
        <f t="shared" si="282"/>
        <v>9.0705709370563353E-2</v>
      </c>
      <c r="CB93" s="8">
        <f t="shared" si="283"/>
        <v>3.6804834014058825E-2</v>
      </c>
      <c r="CC93" s="8">
        <f t="shared" si="284"/>
        <v>8.6458833893501785E-2</v>
      </c>
      <c r="CD93" s="8">
        <f t="shared" si="285"/>
        <v>4.8367680793242197E-2</v>
      </c>
      <c r="CE93" s="8">
        <f t="shared" si="286"/>
        <v>8.0562356095819257E-2</v>
      </c>
      <c r="CF93" s="8">
        <f t="shared" si="287"/>
        <v>5.9007690253362256E-2</v>
      </c>
      <c r="CG93" s="8">
        <f t="shared" si="288"/>
        <v>7.3128778575809766E-2</v>
      </c>
      <c r="CH93" s="8">
        <f t="shared" si="289"/>
        <v>6.8521854980297323E-2</v>
      </c>
      <c r="CI93" s="8">
        <f t="shared" si="290"/>
        <v>6.4299931221469098E-2</v>
      </c>
      <c r="CJ93" s="8">
        <f t="shared" si="291"/>
        <v>7.6728648257737592E-2</v>
      </c>
      <c r="CK93" s="8">
        <f t="shared" si="292"/>
        <v>5.4244265149109905E-2</v>
      </c>
      <c r="CL93" s="8">
        <f t="shared" si="293"/>
        <v>8.3471487529274455E-2</v>
      </c>
      <c r="CM93" s="8">
        <f t="shared" si="294"/>
        <v>4.3153638718846601E-2</v>
      </c>
      <c r="CN93" s="8">
        <f t="shared" si="295"/>
        <v>8.8621721935198988E-2</v>
      </c>
      <c r="CO93" s="8">
        <f t="shared" si="296"/>
        <v>3.123965694860981E-2</v>
      </c>
      <c r="CP93" s="8">
        <f t="shared" si="297"/>
        <v>9.208108692294556E-2</v>
      </c>
      <c r="CQ93" s="8">
        <f t="shared" si="298"/>
        <v>1.8729634169291742E-2</v>
      </c>
      <c r="CR93" s="8">
        <f t="shared" si="299"/>
        <v>9.3783579098127318E-2</v>
      </c>
      <c r="CS93" s="8">
        <f t="shared" si="300"/>
        <v>5.8622569520492872E-3</v>
      </c>
      <c r="CT93" s="8">
        <f t="shared" si="301"/>
        <v>9.3696715544697121E-2</v>
      </c>
      <c r="CU93" s="8">
        <f t="shared" si="207"/>
        <v>-7.1169699425153174E-3</v>
      </c>
      <c r="CX93">
        <v>0.16111790628315859</v>
      </c>
      <c r="CY93">
        <v>0.65968013201174935</v>
      </c>
      <c r="DA93" s="21"/>
    </row>
    <row r="94" spans="1:105">
      <c r="A94" s="15">
        <v>92</v>
      </c>
      <c r="B94" s="16">
        <v>70</v>
      </c>
      <c r="C94" s="8">
        <f t="shared" si="208"/>
        <v>4.2484952420493594</v>
      </c>
      <c r="D94" s="8">
        <f>(2*3.14*A94)/93</f>
        <v>6.2124731182795694</v>
      </c>
      <c r="E94" s="7">
        <f t="shared" si="210"/>
        <v>1.0108695652173914</v>
      </c>
      <c r="F94" s="8"/>
      <c r="G94" s="8"/>
      <c r="H94" s="8">
        <f t="shared" si="211"/>
        <v>9.1137160757764249E-2</v>
      </c>
      <c r="I94" s="8">
        <f t="shared" si="212"/>
        <v>-6.4552709602673066E-3</v>
      </c>
      <c r="J94" s="8">
        <f t="shared" si="213"/>
        <v>9.0453317016797916E-2</v>
      </c>
      <c r="K94" s="8">
        <f t="shared" si="214"/>
        <v>-1.2878277633895379E-2</v>
      </c>
      <c r="L94" s="8">
        <f t="shared" si="215"/>
        <v>8.9317375793686815E-2</v>
      </c>
      <c r="M94" s="8">
        <f t="shared" si="216"/>
        <v>-1.9236916995359857E-2</v>
      </c>
      <c r="N94" s="8">
        <f t="shared" si="217"/>
        <v>8.7735014670898476E-2</v>
      </c>
      <c r="O94" s="8">
        <f t="shared" si="218"/>
        <v>-2.5499407735362488E-2</v>
      </c>
      <c r="P94" s="8">
        <f t="shared" si="219"/>
        <v>8.5714142495814674E-2</v>
      </c>
      <c r="Q94" s="8">
        <f t="shared" si="220"/>
        <v>-3.1634449107961593E-2</v>
      </c>
      <c r="R94" s="8">
        <f t="shared" si="221"/>
        <v>8.3264859851280071E-2</v>
      </c>
      <c r="S94" s="8">
        <f t="shared" si="222"/>
        <v>-3.7611377375785134E-2</v>
      </c>
      <c r="T94" s="8">
        <f t="shared" si="223"/>
        <v>8.0399408571570671E-2</v>
      </c>
      <c r="U94" s="8">
        <f t="shared" si="224"/>
        <v>-4.3400319071392572E-2</v>
      </c>
      <c r="V94" s="8">
        <f t="shared" si="225"/>
        <v>7.7132110556109287E-2</v>
      </c>
      <c r="W94" s="8">
        <f t="shared" si="226"/>
        <v>-4.8972340308761721E-2</v>
      </c>
      <c r="X94" s="8">
        <f t="shared" si="227"/>
        <v>7.3479296186742871E-2</v>
      </c>
      <c r="Y94" s="8">
        <f t="shared" si="228"/>
        <v>-5.4299591398627944E-2</v>
      </c>
      <c r="Z94" s="8">
        <f t="shared" si="229"/>
        <v>6.945922270636308E-2</v>
      </c>
      <c r="AA94" s="8">
        <f t="shared" si="230"/>
        <v>-5.9355446044865097E-2</v>
      </c>
      <c r="AB94" s="8">
        <f t="shared" si="231"/>
        <v>6.5091982966823864E-2</v>
      </c>
      <c r="AC94" s="8">
        <f t="shared" si="232"/>
        <v>-6.411463442618813E-2</v>
      </c>
      <c r="AD94" s="8">
        <f t="shared" si="233"/>
        <v>6.0399405002246366E-2</v>
      </c>
      <c r="AE94" s="8">
        <f t="shared" si="234"/>
        <v>-6.8553369498017019E-2</v>
      </c>
      <c r="AF94" s="8">
        <f t="shared" si="235"/>
        <v>5.5404942929653492E-2</v>
      </c>
      <c r="AG94" s="8">
        <f t="shared" si="236"/>
        <v>-7.2649465883231887E-2</v>
      </c>
      <c r="AH94" s="8">
        <f t="shared" si="237"/>
        <v>5.0133559722237785E-2</v>
      </c>
      <c r="AI94" s="8">
        <f t="shared" si="238"/>
        <v>-7.6382450757578157E-2</v>
      </c>
      <c r="AJ94" s="8">
        <f t="shared" si="239"/>
        <v>4.4611602441156334E-2</v>
      </c>
      <c r="AK94" s="8">
        <f t="shared" si="240"/>
        <v>-7.9733666175519927E-2</v>
      </c>
      <c r="AL94" s="8">
        <f t="shared" si="241"/>
        <v>3.8866670549489342E-2</v>
      </c>
      <c r="AM94" s="8">
        <f t="shared" si="242"/>
        <v>-8.2686362325080504E-2</v>
      </c>
      <c r="AN94" s="8">
        <f t="shared" si="243"/>
        <v>3.2927477966514497E-2</v>
      </c>
      <c r="AO94" s="8">
        <f t="shared" si="244"/>
        <v>-8.5225781245593393E-2</v>
      </c>
      <c r="AP94" s="8">
        <f t="shared" si="245"/>
        <v>2.6823709551794479E-2</v>
      </c>
      <c r="AQ94" s="8">
        <f t="shared" si="246"/>
        <v>-8.7339230589913067E-2</v>
      </c>
      <c r="AR94" s="8">
        <f t="shared" si="247"/>
        <v>2.0585872736379029E-2</v>
      </c>
      <c r="AS94" s="8">
        <f t="shared" si="248"/>
        <v>-8.9016147062421447E-2</v>
      </c>
      <c r="AT94" s="8">
        <f t="shared" si="249"/>
        <v>1.4245145042674882E-2</v>
      </c>
      <c r="AU94" s="8">
        <f t="shared" si="250"/>
        <v>-9.024814921576059E-2</v>
      </c>
      <c r="AV94" s="8">
        <f t="shared" si="251"/>
        <v>7.8332182551289209E-3</v>
      </c>
      <c r="AW94" s="8">
        <f t="shared" si="252"/>
        <v>-9.1029079342397776E-2</v>
      </c>
      <c r="AX94" s="8">
        <f t="shared" si="253"/>
        <v>1.3821400205502304E-3</v>
      </c>
      <c r="AY94" s="8">
        <f t="shared" si="254"/>
        <v>-9.1355034251652645E-2</v>
      </c>
      <c r="AZ94" s="8">
        <f t="shared" si="255"/>
        <v>-5.0758463302133672E-3</v>
      </c>
      <c r="BA94" s="8">
        <f t="shared" si="256"/>
        <v>-9.1224384778353512E-2</v>
      </c>
      <c r="BB94" s="8">
        <f t="shared" si="257"/>
        <v>-1.15084629386466E-2</v>
      </c>
      <c r="BC94" s="8">
        <f t="shared" si="258"/>
        <v>-9.0637783925616972E-2</v>
      </c>
      <c r="BD94" s="8">
        <f t="shared" si="259"/>
        <v>-1.7883558747516983E-2</v>
      </c>
      <c r="BE94" s="8">
        <f t="shared" si="260"/>
        <v>-8.9598163601053465E-2</v>
      </c>
      <c r="BF94" s="8">
        <f t="shared" si="261"/>
        <v>-2.4169270196056924E-2</v>
      </c>
      <c r="BG94" s="8">
        <f t="shared" si="262"/>
        <v>-8.8110719962709569E-2</v>
      </c>
      <c r="BH94" s="8">
        <f t="shared" si="263"/>
        <v>-3.0334180478188404E-2</v>
      </c>
      <c r="BI94" s="8">
        <f t="shared" si="264"/>
        <v>-8.6182887447994738E-2</v>
      </c>
      <c r="BJ94" s="8">
        <f t="shared" si="265"/>
        <v>-3.6347476567834658E-2</v>
      </c>
      <c r="BK94" s="8">
        <f t="shared" si="266"/>
        <v>-8.382430161538923E-2</v>
      </c>
      <c r="BL94" s="8">
        <f t="shared" si="267"/>
        <v>-4.2179103226435269E-2</v>
      </c>
      <c r="BM94" s="8">
        <f t="shared" si="268"/>
        <v>-8.1046750984667806E-2</v>
      </c>
      <c r="BN94" s="8">
        <f t="shared" si="269"/>
        <v>-4.7799913222955341E-2</v>
      </c>
      <c r="BO94" s="8">
        <f t="shared" si="270"/>
        <v>-7.7864118116337588E-2</v>
      </c>
      <c r="BP94" s="8">
        <f t="shared" si="271"/>
        <v>-5.3181813015540834E-2</v>
      </c>
      <c r="BQ94" s="8">
        <f t="shared" si="272"/>
        <v>-7.4292310224794378E-2</v>
      </c>
      <c r="BR94" s="8">
        <f t="shared" si="273"/>
        <v>-5.829790316672033E-2</v>
      </c>
      <c r="BS94" s="8">
        <f t="shared" si="274"/>
        <v>-7.0349179671981482E-2</v>
      </c>
      <c r="BT94" s="8">
        <f t="shared" si="275"/>
        <v>-6.3122612790294672E-2</v>
      </c>
      <c r="BU94" s="8">
        <f t="shared" si="276"/>
        <v>-6.6054434738960263E-2</v>
      </c>
      <c r="BV94" s="8">
        <f t="shared" si="277"/>
        <v>-6.763182735796533E-2</v>
      </c>
      <c r="BW94" s="8">
        <f t="shared" si="278"/>
        <v>-6.1429541121348172E-2</v>
      </c>
      <c r="BX94" s="8">
        <f t="shared" si="279"/>
        <v>-7.1803009226895267E-2</v>
      </c>
      <c r="BY94" s="8">
        <f t="shared" si="280"/>
        <v>-5.6497614640968932E-2</v>
      </c>
      <c r="BZ94" s="8">
        <f t="shared" si="281"/>
        <v>-7.5615310285782347E-2</v>
      </c>
      <c r="CA94" s="8">
        <f t="shared" si="282"/>
        <v>-5.1283305709966608E-2</v>
      </c>
      <c r="CB94" s="8">
        <f t="shared" si="283"/>
        <v>-7.9049676156450227E-2</v>
      </c>
      <c r="CC94" s="8">
        <f t="shared" si="284"/>
        <v>-4.5812676124817021E-2</v>
      </c>
      <c r="CD94" s="8">
        <f t="shared" si="285"/>
        <v>-8.2088941430110141E-2</v>
      </c>
      <c r="CE94" s="8">
        <f t="shared" si="286"/>
        <v>-4.0113068806075916E-2</v>
      </c>
      <c r="CF94" s="8">
        <f t="shared" si="287"/>
        <v>-8.4717915462316773E-2</v>
      </c>
      <c r="CG94" s="8">
        <f t="shared" si="288"/>
        <v>-3.4212971134889525E-2</v>
      </c>
      <c r="CH94" s="8">
        <f t="shared" si="289"/>
        <v>-8.6923458297787373E-2</v>
      </c>
      <c r="CI94" s="8">
        <f t="shared" si="290"/>
        <v>-2.8141872569355728E-2</v>
      </c>
      <c r="CJ94" s="8">
        <f t="shared" si="291"/>
        <v>-8.8694546345619324E-2</v>
      </c>
      <c r="CK94" s="8">
        <f t="shared" si="292"/>
        <v>-2.1930117252349991E-2</v>
      </c>
      <c r="CL94" s="8">
        <f t="shared" si="293"/>
        <v>-9.002232747663215E-2</v>
      </c>
      <c r="CM94" s="8">
        <f t="shared" si="294"/>
        <v>-1.5608752347546431E-2</v>
      </c>
      <c r="CN94" s="8">
        <f t="shared" si="295"/>
        <v>-9.0900165267463015E-2</v>
      </c>
      <c r="CO94" s="8">
        <f t="shared" si="296"/>
        <v>-9.209372861652668E-3</v>
      </c>
      <c r="CP94" s="8">
        <f t="shared" si="297"/>
        <v>-9.132367217028145E-2</v>
      </c>
      <c r="CQ94" s="8">
        <f t="shared" si="298"/>
        <v>-2.7639637284152026E-3</v>
      </c>
      <c r="CR94" s="8">
        <f t="shared" si="299"/>
        <v>-9.1290731442320999E-2</v>
      </c>
      <c r="CS94" s="8">
        <f t="shared" si="300"/>
        <v>3.6952600562148194E-3</v>
      </c>
      <c r="CT94" s="8">
        <f t="shared" si="301"/>
        <v>-9.0801507725638567E-2</v>
      </c>
      <c r="CU94" s="8">
        <f t="shared" si="207"/>
        <v>1.0136014448876535E-2</v>
      </c>
      <c r="DA94" s="20">
        <v>1.2315149419058467E-3</v>
      </c>
    </row>
    <row r="95" spans="1:105">
      <c r="A95" s="15">
        <v>93</v>
      </c>
      <c r="B95" s="16">
        <v>51</v>
      </c>
      <c r="C95" s="8">
        <f t="shared" si="208"/>
        <v>3.9318256327243257</v>
      </c>
      <c r="D95" s="8">
        <f>(2*3.14*A95)/93</f>
        <v>6.2800000000000011</v>
      </c>
      <c r="E95" s="7">
        <f>2*3.14/D95</f>
        <v>0.99999999999999989</v>
      </c>
      <c r="F95" s="8"/>
      <c r="G95" s="8"/>
      <c r="H95" s="8">
        <f t="shared" si="211"/>
        <v>8.4554960994242964E-2</v>
      </c>
      <c r="I95" s="8">
        <f t="shared" si="212"/>
        <v>-2.6933443523052082E-4</v>
      </c>
      <c r="J95" s="8">
        <f t="shared" si="213"/>
        <v>8.4553674128141784E-2</v>
      </c>
      <c r="K95" s="8">
        <f t="shared" si="214"/>
        <v>-5.3866613774719975E-4</v>
      </c>
      <c r="L95" s="8">
        <f t="shared" si="215"/>
        <v>8.4551529365814018E-2</v>
      </c>
      <c r="M95" s="8">
        <f t="shared" si="216"/>
        <v>-8.0799237486392137E-4</v>
      </c>
      <c r="N95" s="8">
        <f t="shared" si="217"/>
        <v>8.4548526729020801E-2</v>
      </c>
      <c r="O95" s="8">
        <f t="shared" si="218"/>
        <v>-1.0773104139500231E-3</v>
      </c>
      <c r="P95" s="8">
        <f t="shared" si="219"/>
        <v>8.4544666248227388E-2</v>
      </c>
      <c r="Q95" s="8">
        <f t="shared" si="220"/>
        <v>-1.3466175224580215E-3</v>
      </c>
      <c r="R95" s="8">
        <f t="shared" si="221"/>
        <v>8.453994796260289E-2</v>
      </c>
      <c r="S95" s="8">
        <f t="shared" si="222"/>
        <v>-1.6159109679513362E-3</v>
      </c>
      <c r="T95" s="8">
        <f t="shared" si="223"/>
        <v>8.4534371920019849E-2</v>
      </c>
      <c r="U95" s="8">
        <f t="shared" si="224"/>
        <v>-1.885188018132014E-3</v>
      </c>
      <c r="V95" s="8">
        <f t="shared" si="225"/>
        <v>8.4527938177053771E-2</v>
      </c>
      <c r="W95" s="8">
        <f t="shared" si="226"/>
        <v>-2.1544459408684522E-3</v>
      </c>
      <c r="X95" s="8">
        <f t="shared" si="227"/>
        <v>8.4520646798982524E-2</v>
      </c>
      <c r="Y95" s="8">
        <f t="shared" si="228"/>
        <v>-2.423682004223117E-3</v>
      </c>
      <c r="Z95" s="8">
        <f t="shared" si="229"/>
        <v>8.4512497859785679E-2</v>
      </c>
      <c r="AA95" s="8">
        <f t="shared" si="230"/>
        <v>-2.6928934764802654E-3</v>
      </c>
      <c r="AB95" s="8">
        <f t="shared" si="231"/>
        <v>8.4503491442143808E-2</v>
      </c>
      <c r="AC95" s="8">
        <f t="shared" si="232"/>
        <v>-2.9620776261736594E-3</v>
      </c>
      <c r="AD95" s="8">
        <f t="shared" si="233"/>
        <v>8.4493627637437563E-2</v>
      </c>
      <c r="AE95" s="8">
        <f t="shared" si="234"/>
        <v>-3.2312317221142787E-3</v>
      </c>
      <c r="AF95" s="8">
        <f t="shared" si="235"/>
        <v>8.4482906545746819E-2</v>
      </c>
      <c r="AG95" s="8">
        <f t="shared" si="236"/>
        <v>-3.500353033418036E-3</v>
      </c>
      <c r="AH95" s="8">
        <f t="shared" si="237"/>
        <v>8.4471328275849633E-2</v>
      </c>
      <c r="AI95" s="8">
        <f t="shared" si="238"/>
        <v>-3.7694388295334809E-3</v>
      </c>
      <c r="AJ95" s="8">
        <f t="shared" si="239"/>
        <v>8.4458892945221159E-2</v>
      </c>
      <c r="AK95" s="8">
        <f t="shared" si="240"/>
        <v>-4.0384863802695094E-3</v>
      </c>
      <c r="AL95" s="8">
        <f t="shared" si="241"/>
        <v>8.4445600680032373E-2</v>
      </c>
      <c r="AM95" s="8">
        <f t="shared" si="242"/>
        <v>-4.3074929558230566E-3</v>
      </c>
      <c r="AN95" s="8">
        <f t="shared" si="243"/>
        <v>8.4431451615148936E-2</v>
      </c>
      <c r="AO95" s="8">
        <f t="shared" si="244"/>
        <v>-4.5764558268068028E-3</v>
      </c>
      <c r="AP95" s="8">
        <f t="shared" si="245"/>
        <v>8.4416445894129707E-2</v>
      </c>
      <c r="AQ95" s="8">
        <f t="shared" si="246"/>
        <v>-4.8453722642768614E-3</v>
      </c>
      <c r="AR95" s="8">
        <f t="shared" si="247"/>
        <v>8.4400583669225301E-2</v>
      </c>
      <c r="AS95" s="8">
        <f t="shared" si="248"/>
        <v>-5.1142395397604677E-3</v>
      </c>
      <c r="AT95" s="8">
        <f t="shared" si="249"/>
        <v>8.4383865101376618E-2</v>
      </c>
      <c r="AU95" s="8">
        <f t="shared" si="250"/>
        <v>-5.3830549252836639E-3</v>
      </c>
      <c r="AV95" s="8">
        <f t="shared" si="251"/>
        <v>8.4366290360213175E-2</v>
      </c>
      <c r="AW95" s="8">
        <f t="shared" si="252"/>
        <v>-5.6518156933989764E-3</v>
      </c>
      <c r="AX95" s="8">
        <f t="shared" si="253"/>
        <v>8.4347859624051294E-2</v>
      </c>
      <c r="AY95" s="8">
        <f t="shared" si="254"/>
        <v>-5.920519117213089E-3</v>
      </c>
      <c r="AZ95" s="8">
        <f t="shared" si="255"/>
        <v>8.4328573079892444E-2</v>
      </c>
      <c r="BA95" s="8">
        <f t="shared" si="256"/>
        <v>-6.189162470414511E-3</v>
      </c>
      <c r="BB95" s="8">
        <f t="shared" si="257"/>
        <v>8.4308430923421246E-2</v>
      </c>
      <c r="BC95" s="8">
        <f t="shared" si="258"/>
        <v>-6.4577430273012387E-3</v>
      </c>
      <c r="BD95" s="8">
        <f t="shared" si="259"/>
        <v>8.4287433359003489E-2</v>
      </c>
      <c r="BE95" s="8">
        <f t="shared" si="260"/>
        <v>-6.7262580628084092E-3</v>
      </c>
      <c r="BF95" s="8">
        <f t="shared" si="261"/>
        <v>8.4265580599684115E-2</v>
      </c>
      <c r="BG95" s="8">
        <f t="shared" si="262"/>
        <v>-6.9947048525359542E-3</v>
      </c>
      <c r="BH95" s="8">
        <f t="shared" si="263"/>
        <v>8.4242872867185001E-2</v>
      </c>
      <c r="BI95" s="8">
        <f t="shared" si="264"/>
        <v>-7.2630806727762348E-3</v>
      </c>
      <c r="BJ95" s="8">
        <f t="shared" si="265"/>
        <v>8.4219310391902724E-2</v>
      </c>
      <c r="BK95" s="8">
        <f t="shared" si="266"/>
        <v>-7.5313828005416847E-3</v>
      </c>
      <c r="BL95" s="8">
        <f t="shared" si="267"/>
        <v>8.4194893412906258E-2</v>
      </c>
      <c r="BM95" s="8">
        <f t="shared" si="268"/>
        <v>-7.7996085135924303E-3</v>
      </c>
      <c r="BN95" s="8">
        <f t="shared" si="269"/>
        <v>8.41696221779345E-2</v>
      </c>
      <c r="BO95" s="8">
        <f t="shared" si="270"/>
        <v>-8.0677550904639187E-3</v>
      </c>
      <c r="BP95" s="8">
        <f t="shared" si="271"/>
        <v>8.4143496943393764E-2</v>
      </c>
      <c r="BQ95" s="8">
        <f t="shared" si="272"/>
        <v>-8.3358198104945252E-3</v>
      </c>
      <c r="BR95" s="8">
        <f t="shared" si="273"/>
        <v>8.4116517974355223E-2</v>
      </c>
      <c r="BS95" s="8">
        <f t="shared" si="274"/>
        <v>-8.6037999538531567E-3</v>
      </c>
      <c r="BT95" s="8">
        <f t="shared" si="275"/>
        <v>8.4088685544552177E-2</v>
      </c>
      <c r="BU95" s="8">
        <f t="shared" si="276"/>
        <v>-8.8716928015668516E-3</v>
      </c>
      <c r="BV95" s="8">
        <f t="shared" si="277"/>
        <v>8.4059999936377236E-2</v>
      </c>
      <c r="BW95" s="8">
        <f t="shared" si="278"/>
        <v>-9.1394956355483649E-3</v>
      </c>
      <c r="BX95" s="8">
        <f t="shared" si="279"/>
        <v>8.4030461440879611E-2</v>
      </c>
      <c r="BY95" s="8">
        <f t="shared" si="280"/>
        <v>-9.4072057386237438E-3</v>
      </c>
      <c r="BZ95" s="8">
        <f t="shared" si="281"/>
        <v>8.4000070357761955E-2</v>
      </c>
      <c r="CA95" s="8">
        <f t="shared" si="282"/>
        <v>-9.674820394559908E-3</v>
      </c>
      <c r="CB95" s="8">
        <f t="shared" si="283"/>
        <v>8.3968826995377457E-2</v>
      </c>
      <c r="CC95" s="8">
        <f t="shared" si="284"/>
        <v>-9.9423368880921879E-3</v>
      </c>
      <c r="CD95" s="8">
        <f t="shared" si="285"/>
        <v>8.3936731670726725E-2</v>
      </c>
      <c r="CE95" s="8">
        <f t="shared" si="286"/>
        <v>-1.0209752504951899E-2</v>
      </c>
      <c r="CF95" s="8">
        <f t="shared" si="287"/>
        <v>8.3903784709454449E-2</v>
      </c>
      <c r="CG95" s="8">
        <f t="shared" si="288"/>
        <v>-1.0477064531893857E-2</v>
      </c>
      <c r="CH95" s="8">
        <f t="shared" si="289"/>
        <v>8.3869986445846215E-2</v>
      </c>
      <c r="CI95" s="8">
        <f t="shared" si="290"/>
        <v>-1.0744270256723929E-2</v>
      </c>
      <c r="CJ95" s="8">
        <f t="shared" si="291"/>
        <v>8.3835337222824755E-2</v>
      </c>
      <c r="CK95" s="8">
        <f t="shared" si="292"/>
        <v>-1.1011366968328917E-2</v>
      </c>
      <c r="CL95" s="8">
        <f t="shared" si="293"/>
        <v>8.3799837391948004E-2</v>
      </c>
      <c r="CM95" s="8">
        <f t="shared" si="294"/>
        <v>-1.1278351956692165E-2</v>
      </c>
      <c r="CN95" s="8">
        <f t="shared" si="295"/>
        <v>8.3763487313402829E-2</v>
      </c>
      <c r="CO95" s="8">
        <f t="shared" si="296"/>
        <v>-1.1545222512942493E-2</v>
      </c>
      <c r="CP95" s="8">
        <f t="shared" si="297"/>
        <v>8.372628735600271E-2</v>
      </c>
      <c r="CQ95" s="8">
        <f t="shared" si="298"/>
        <v>-1.1811975929369757E-2</v>
      </c>
      <c r="CR95" s="8">
        <f t="shared" si="299"/>
        <v>8.3688237897185519E-2</v>
      </c>
      <c r="CS95" s="8">
        <f t="shared" si="300"/>
        <v>-1.2078609499442826E-2</v>
      </c>
      <c r="CT95" s="8">
        <f t="shared" si="301"/>
        <v>8.3649339323008359E-2</v>
      </c>
      <c r="CU95" s="8">
        <f>(2/93)*($C95*SIN(CU$1*$D95))</f>
        <v>-1.2345120517846539E-2</v>
      </c>
      <c r="DA95" s="21"/>
    </row>
    <row r="96" spans="1:105">
      <c r="C96" s="4"/>
      <c r="D96" s="4"/>
      <c r="H96" s="14">
        <f>SUM(H3:H95)^2</f>
        <v>1.0209136222121126E-2</v>
      </c>
      <c r="I96" s="14">
        <f t="shared" ref="I96:BT96" si="302">SUM(I3:I95)^2</f>
        <v>1.0545423734012455E-5</v>
      </c>
      <c r="J96" s="14">
        <f t="shared" si="302"/>
        <v>3.776066451411314E-2</v>
      </c>
      <c r="K96" s="14">
        <f t="shared" si="302"/>
        <v>4.9228799582201185E-3</v>
      </c>
      <c r="L96" s="14">
        <f t="shared" si="302"/>
        <v>4.7009226849084144E-3</v>
      </c>
      <c r="M96" s="14">
        <f t="shared" si="302"/>
        <v>1.5273303009179444E-2</v>
      </c>
      <c r="N96" s="14">
        <f t="shared" si="302"/>
        <v>1.6831969364586408E-2</v>
      </c>
      <c r="O96" s="14">
        <f t="shared" si="302"/>
        <v>5.5876782177800653E-3</v>
      </c>
      <c r="P96" s="14">
        <f t="shared" si="302"/>
        <v>1.3070182876969685E-3</v>
      </c>
      <c r="Q96" s="14">
        <f t="shared" si="302"/>
        <v>1.8395177206974754E-3</v>
      </c>
      <c r="R96" s="14">
        <f t="shared" si="302"/>
        <v>1.9333419320904563E-3</v>
      </c>
      <c r="S96" s="14">
        <f t="shared" si="302"/>
        <v>3.2344910395890455E-3</v>
      </c>
      <c r="T96" s="14">
        <f t="shared" si="302"/>
        <v>8.2875615445121582E-3</v>
      </c>
      <c r="U96" s="14">
        <f t="shared" si="302"/>
        <v>3.9529549782708531E-3</v>
      </c>
      <c r="V96" s="14">
        <f t="shared" si="302"/>
        <v>5.7250859291077252E-3</v>
      </c>
      <c r="W96" s="14">
        <f t="shared" si="302"/>
        <v>1.6620382700259322E-2</v>
      </c>
      <c r="X96" s="14">
        <f t="shared" si="302"/>
        <v>2.96692700532408E-3</v>
      </c>
      <c r="Y96" s="14">
        <f t="shared" si="302"/>
        <v>1.9407110944371334E-3</v>
      </c>
      <c r="Z96" s="14">
        <f t="shared" si="302"/>
        <v>5.4146263781904699E-3</v>
      </c>
      <c r="AA96" s="14">
        <f t="shared" si="302"/>
        <v>1.5270416958903838E-3</v>
      </c>
      <c r="AB96" s="14">
        <f t="shared" si="302"/>
        <v>3.3606034247704732E-4</v>
      </c>
      <c r="AC96" s="14">
        <f t="shared" si="302"/>
        <v>4.5706229755704169E-3</v>
      </c>
      <c r="AD96" s="14">
        <f t="shared" si="302"/>
        <v>6.847157336279877E-4</v>
      </c>
      <c r="AE96" s="14">
        <f t="shared" si="302"/>
        <v>3.6925814129625338E-5</v>
      </c>
      <c r="AF96" s="14">
        <f t="shared" si="302"/>
        <v>9.5526615192575464E-5</v>
      </c>
      <c r="AG96" s="14">
        <f t="shared" si="302"/>
        <v>6.4479775489547017E-3</v>
      </c>
      <c r="AH96" s="14">
        <f t="shared" si="302"/>
        <v>4.175212032845323E-3</v>
      </c>
      <c r="AI96" s="14">
        <f t="shared" si="302"/>
        <v>5.1003336713725334E-3</v>
      </c>
      <c r="AJ96" s="14">
        <f t="shared" si="302"/>
        <v>1.3016504720257708E-3</v>
      </c>
      <c r="AK96" s="14">
        <f t="shared" si="302"/>
        <v>1.1144248578716807E-4</v>
      </c>
      <c r="AL96" s="14">
        <f t="shared" si="302"/>
        <v>1.3661830097115013E-3</v>
      </c>
      <c r="AM96" s="14">
        <f t="shared" si="302"/>
        <v>1.2390086987705164E-5</v>
      </c>
      <c r="AN96" s="14">
        <f t="shared" si="302"/>
        <v>6.3262247663740598E-3</v>
      </c>
      <c r="AO96" s="14">
        <f t="shared" si="302"/>
        <v>1.8824386738575608E-3</v>
      </c>
      <c r="AP96" s="14">
        <f t="shared" si="302"/>
        <v>6.5253338884996874E-3</v>
      </c>
      <c r="AQ96" s="14">
        <f t="shared" si="302"/>
        <v>2.8200630253815084E-3</v>
      </c>
      <c r="AR96" s="14">
        <f t="shared" si="302"/>
        <v>1.7390375206246432E-4</v>
      </c>
      <c r="AS96" s="14">
        <f t="shared" si="302"/>
        <v>4.1061126730508818E-3</v>
      </c>
      <c r="AT96" s="14">
        <f t="shared" si="302"/>
        <v>6.6057491829993138E-3</v>
      </c>
      <c r="AU96" s="14">
        <f t="shared" si="302"/>
        <v>1.1607087120435378E-4</v>
      </c>
      <c r="AV96" s="14">
        <f t="shared" si="302"/>
        <v>1.3792324490851582E-3</v>
      </c>
      <c r="AW96" s="14">
        <f t="shared" si="302"/>
        <v>5.7336140062714928E-4</v>
      </c>
      <c r="AX96" s="14">
        <f t="shared" si="302"/>
        <v>2.1495597427586988E-3</v>
      </c>
      <c r="AY96" s="14">
        <f t="shared" si="302"/>
        <v>4.7174478688241948E-4</v>
      </c>
      <c r="AZ96" s="14">
        <f t="shared" si="302"/>
        <v>1.2527601241577977E-3</v>
      </c>
      <c r="BA96" s="14">
        <f t="shared" si="302"/>
        <v>1.8929901929012729E-3</v>
      </c>
      <c r="BB96" s="14">
        <f t="shared" si="302"/>
        <v>2.3170203522787216E-4</v>
      </c>
      <c r="BC96" s="14">
        <f t="shared" si="302"/>
        <v>3.6433150267125188E-5</v>
      </c>
      <c r="BD96" s="14">
        <f t="shared" si="302"/>
        <v>3.6924705330413667E-4</v>
      </c>
      <c r="BE96" s="14">
        <f t="shared" si="302"/>
        <v>4.5580732584636619E-4</v>
      </c>
      <c r="BF96" s="14">
        <f t="shared" si="302"/>
        <v>3.7796834157884915E-4</v>
      </c>
      <c r="BG96" s="14">
        <f t="shared" si="302"/>
        <v>8.6139401964215504E-5</v>
      </c>
      <c r="BH96" s="14">
        <f t="shared" si="302"/>
        <v>5.9303828955024581E-4</v>
      </c>
      <c r="BI96" s="14">
        <f t="shared" si="302"/>
        <v>2.5034907318962122E-3</v>
      </c>
      <c r="BJ96" s="14">
        <f t="shared" si="302"/>
        <v>6.6287205219575475E-5</v>
      </c>
      <c r="BK96" s="14">
        <f t="shared" si="302"/>
        <v>1.3073368293152818E-4</v>
      </c>
      <c r="BL96" s="14">
        <f t="shared" si="302"/>
        <v>1.0970152335387179E-4</v>
      </c>
      <c r="BM96" s="14">
        <f t="shared" si="302"/>
        <v>1.8260942595581494E-4</v>
      </c>
      <c r="BN96" s="14">
        <f t="shared" si="302"/>
        <v>6.2517953250191372E-5</v>
      </c>
      <c r="BO96" s="14">
        <f t="shared" si="302"/>
        <v>5.4957221971545666E-5</v>
      </c>
      <c r="BP96" s="14">
        <f t="shared" si="302"/>
        <v>2.510464796445354E-4</v>
      </c>
      <c r="BQ96" s="14">
        <f t="shared" si="302"/>
        <v>1.2126554022800579E-4</v>
      </c>
      <c r="BR96" s="14">
        <f t="shared" si="302"/>
        <v>1.4140406042758276E-6</v>
      </c>
      <c r="BS96" s="14">
        <f t="shared" si="302"/>
        <v>1.1735732276082311E-4</v>
      </c>
      <c r="BT96" s="14">
        <f t="shared" si="302"/>
        <v>2.3359390555652474E-4</v>
      </c>
      <c r="BU96" s="14">
        <f t="shared" ref="BU96:CU96" si="303">SUM(BU3:BU95)^2</f>
        <v>1.0910078297174917E-3</v>
      </c>
      <c r="BV96" s="14">
        <f t="shared" si="303"/>
        <v>9.9011463004296772E-4</v>
      </c>
      <c r="BW96" s="14">
        <f t="shared" si="303"/>
        <v>9.0030115579900296E-5</v>
      </c>
      <c r="BX96" s="14">
        <f t="shared" si="303"/>
        <v>1.4320323914887417E-5</v>
      </c>
      <c r="BY96" s="14">
        <f t="shared" si="303"/>
        <v>7.2471159216359069E-4</v>
      </c>
      <c r="BZ96" s="14">
        <f t="shared" si="303"/>
        <v>1.0769058816776083E-3</v>
      </c>
      <c r="CA96" s="14">
        <f t="shared" si="303"/>
        <v>4.5277243754254255E-7</v>
      </c>
      <c r="CB96" s="14">
        <f t="shared" si="303"/>
        <v>1.0214378823882359E-3</v>
      </c>
      <c r="CC96" s="14">
        <f t="shared" si="303"/>
        <v>4.8370773364401625E-5</v>
      </c>
      <c r="CD96" s="14">
        <f t="shared" si="303"/>
        <v>5.7693421194920068E-4</v>
      </c>
      <c r="CE96" s="14">
        <f t="shared" si="303"/>
        <v>2.9200912005874309E-4</v>
      </c>
      <c r="CF96" s="14">
        <f t="shared" si="303"/>
        <v>1.4470821072371876E-4</v>
      </c>
      <c r="CG96" s="14">
        <f t="shared" si="303"/>
        <v>1.8317722705377216E-5</v>
      </c>
      <c r="CH96" s="14">
        <f t="shared" si="303"/>
        <v>3.4273788826412596E-3</v>
      </c>
      <c r="CI96" s="14">
        <f t="shared" si="303"/>
        <v>2.657712037107433E-4</v>
      </c>
      <c r="CJ96" s="14">
        <f t="shared" si="303"/>
        <v>4.1077622513580096E-4</v>
      </c>
      <c r="CK96" s="14">
        <f t="shared" si="303"/>
        <v>1.7032318730755987E-3</v>
      </c>
      <c r="CL96" s="14">
        <f t="shared" si="303"/>
        <v>6.6399679871673078E-5</v>
      </c>
      <c r="CM96" s="14">
        <f t="shared" si="303"/>
        <v>7.7454857266450036E-4</v>
      </c>
      <c r="CN96" s="14">
        <f t="shared" si="303"/>
        <v>1.208238687513486E-3</v>
      </c>
      <c r="CO96" s="14">
        <f t="shared" si="303"/>
        <v>2.3276254392360718E-5</v>
      </c>
      <c r="CP96" s="14">
        <f t="shared" si="303"/>
        <v>3.1171063873275921E-4</v>
      </c>
      <c r="CQ96" s="14">
        <f t="shared" si="303"/>
        <v>1.9005634338242869E-3</v>
      </c>
      <c r="CR96" s="14">
        <f t="shared" si="303"/>
        <v>3.5902868738525869E-3</v>
      </c>
      <c r="CS96" s="14">
        <f t="shared" si="303"/>
        <v>3.9654754939393982E-5</v>
      </c>
      <c r="CT96" s="14">
        <f t="shared" si="303"/>
        <v>3.3242009919420652E-3</v>
      </c>
      <c r="CU96" s="14">
        <f t="shared" si="303"/>
        <v>1.4070021844844198E-4</v>
      </c>
      <c r="DA96" s="20">
        <v>2.2122740725570461E-3</v>
      </c>
    </row>
    <row r="97" spans="2:105">
      <c r="H97" s="38">
        <f>H96+I96</f>
        <v>1.0219681645855138E-2</v>
      </c>
      <c r="I97" s="39"/>
      <c r="J97" s="38">
        <f t="shared" ref="J97" si="304">J96+K96</f>
        <v>4.268354447233326E-2</v>
      </c>
      <c r="K97" s="39"/>
      <c r="L97" s="38">
        <f t="shared" ref="L97" si="305">L96+M96</f>
        <v>1.9974225694087858E-2</v>
      </c>
      <c r="M97" s="39"/>
      <c r="N97" s="38">
        <f t="shared" ref="N97" si="306">N96+O96</f>
        <v>2.2419647582366475E-2</v>
      </c>
      <c r="O97" s="39"/>
      <c r="P97" s="38">
        <f t="shared" ref="P97" si="307">P96+Q96</f>
        <v>3.1465360083944441E-3</v>
      </c>
      <c r="Q97" s="39"/>
      <c r="R97" s="38">
        <f t="shared" ref="R97" si="308">R96+S96</f>
        <v>5.1678329716795014E-3</v>
      </c>
      <c r="S97" s="39"/>
      <c r="T97" s="38">
        <f t="shared" ref="T97" si="309">T96+U96</f>
        <v>1.2240516522783011E-2</v>
      </c>
      <c r="U97" s="39"/>
      <c r="V97" s="38">
        <f t="shared" ref="V97" si="310">V96+W96</f>
        <v>2.2345468629367048E-2</v>
      </c>
      <c r="W97" s="39"/>
      <c r="X97" s="38">
        <f t="shared" ref="X97" si="311">X96+Y96</f>
        <v>4.9076380997612138E-3</v>
      </c>
      <c r="Y97" s="39"/>
      <c r="Z97" s="38">
        <f t="shared" ref="Z97" si="312">Z96+AA96</f>
        <v>6.9416680740808541E-3</v>
      </c>
      <c r="AA97" s="39"/>
      <c r="AB97" s="38">
        <f t="shared" ref="AB97" si="313">AB96+AC96</f>
        <v>4.9066833180474645E-3</v>
      </c>
      <c r="AC97" s="39"/>
      <c r="AD97" s="38">
        <f t="shared" ref="AD97" si="314">AD96+AE96</f>
        <v>7.21641547757613E-4</v>
      </c>
      <c r="AE97" s="39"/>
      <c r="AF97" s="38">
        <f t="shared" ref="AF97" si="315">AF96+AG96</f>
        <v>6.5435041641472768E-3</v>
      </c>
      <c r="AG97" s="39"/>
      <c r="AH97" s="38">
        <f t="shared" ref="AH97" si="316">AH96+AI96</f>
        <v>9.2755457042178573E-3</v>
      </c>
      <c r="AI97" s="39"/>
      <c r="AJ97" s="38">
        <f t="shared" ref="AJ97" si="317">AJ96+AK96</f>
        <v>1.4130929578129389E-3</v>
      </c>
      <c r="AK97" s="39"/>
      <c r="AL97" s="38">
        <f t="shared" ref="AL97" si="318">AL96+AM96</f>
        <v>1.3785730966992065E-3</v>
      </c>
      <c r="AM97" s="39"/>
      <c r="AN97" s="38">
        <f t="shared" ref="AN97" si="319">AN96+AO96</f>
        <v>8.20866344023162E-3</v>
      </c>
      <c r="AO97" s="39"/>
      <c r="AP97" s="38">
        <f t="shared" ref="AP97" si="320">AP96+AQ96</f>
        <v>9.3453969138811953E-3</v>
      </c>
      <c r="AQ97" s="39"/>
      <c r="AR97" s="38">
        <f t="shared" ref="AR97" si="321">AR96+AS96</f>
        <v>4.2800164251133458E-3</v>
      </c>
      <c r="AS97" s="39"/>
      <c r="AT97" s="38">
        <f t="shared" ref="AT97" si="322">AT96+AU96</f>
        <v>6.7218200542036675E-3</v>
      </c>
      <c r="AU97" s="39"/>
      <c r="AV97" s="38">
        <f t="shared" ref="AV97" si="323">AV96+AW96</f>
        <v>1.9525938497123073E-3</v>
      </c>
      <c r="AW97" s="39"/>
      <c r="AX97" s="38">
        <f t="shared" ref="AX97" si="324">AX96+AY96</f>
        <v>2.6213045296411184E-3</v>
      </c>
      <c r="AY97" s="39"/>
      <c r="AZ97" s="38">
        <f t="shared" ref="AZ97" si="325">AZ96+BA96</f>
        <v>3.1457503170590705E-3</v>
      </c>
      <c r="BA97" s="39"/>
      <c r="BB97" s="38">
        <f t="shared" ref="BB97" si="326">BB96+BC96</f>
        <v>2.6813518549499737E-4</v>
      </c>
      <c r="BC97" s="39"/>
      <c r="BD97" s="38">
        <f t="shared" ref="BD97" si="327">BD96+BE96</f>
        <v>8.2505437915050286E-4</v>
      </c>
      <c r="BE97" s="39"/>
      <c r="BF97" s="38">
        <f t="shared" ref="BF97" si="328">BF96+BG96</f>
        <v>4.6410774354306464E-4</v>
      </c>
      <c r="BG97" s="39"/>
      <c r="BH97" s="38">
        <f t="shared" ref="BH97" si="329">BH96+BI96</f>
        <v>3.0965290214464581E-3</v>
      </c>
      <c r="BI97" s="39"/>
      <c r="BJ97" s="38">
        <f t="shared" ref="BJ97" si="330">BJ96+BK96</f>
        <v>1.9702088815110367E-4</v>
      </c>
      <c r="BK97" s="39"/>
      <c r="BL97" s="38">
        <f t="shared" ref="BL97" si="331">BL96+BM96</f>
        <v>2.9231094930968674E-4</v>
      </c>
      <c r="BM97" s="39"/>
      <c r="BN97" s="38">
        <f t="shared" ref="BN97" si="332">BN96+BO96</f>
        <v>1.1747517522173705E-4</v>
      </c>
      <c r="BO97" s="39"/>
      <c r="BP97" s="38">
        <f t="shared" ref="BP97" si="333">BP96+BQ96</f>
        <v>3.7231201987254119E-4</v>
      </c>
      <c r="BQ97" s="39"/>
      <c r="BR97" s="38">
        <f t="shared" ref="BR97" si="334">BR96+BS96</f>
        <v>1.1877136336509893E-4</v>
      </c>
      <c r="BS97" s="39"/>
      <c r="BT97" s="38">
        <f t="shared" ref="BT97" si="335">BT96+BU96</f>
        <v>1.3246017352740165E-3</v>
      </c>
      <c r="BU97" s="39"/>
      <c r="BV97" s="38">
        <f t="shared" ref="BV97" si="336">BV96+BW96</f>
        <v>1.080144745622868E-3</v>
      </c>
      <c r="BW97" s="39"/>
      <c r="BX97" s="38">
        <f t="shared" ref="BX97" si="337">BX96+BY96</f>
        <v>7.3903191607847807E-4</v>
      </c>
      <c r="BY97" s="39"/>
      <c r="BZ97" s="38">
        <f t="shared" ref="BZ97" si="338">BZ96+CA96</f>
        <v>1.0773586541151508E-3</v>
      </c>
      <c r="CA97" s="39"/>
      <c r="CB97" s="38">
        <f t="shared" ref="CB97" si="339">CB96+CC96</f>
        <v>1.0698086557526375E-3</v>
      </c>
      <c r="CC97" s="39"/>
      <c r="CD97" s="38">
        <f t="shared" ref="CD97" si="340">CD96+CE96</f>
        <v>8.6894333200794377E-4</v>
      </c>
      <c r="CE97" s="39"/>
      <c r="CF97" s="38">
        <f t="shared" ref="CF97" si="341">CF96+CG96</f>
        <v>1.6302593342909597E-4</v>
      </c>
      <c r="CG97" s="39"/>
      <c r="CH97" s="38">
        <f t="shared" ref="CH97" si="342">CH96+CI96</f>
        <v>3.6931500863520029E-3</v>
      </c>
      <c r="CI97" s="39"/>
      <c r="CJ97" s="38">
        <f t="shared" ref="CJ97" si="343">CJ96+CK96</f>
        <v>2.1140080982113996E-3</v>
      </c>
      <c r="CK97" s="39"/>
      <c r="CL97" s="38">
        <f t="shared" ref="CL97" si="344">CL96+CM96</f>
        <v>8.409482525361734E-4</v>
      </c>
      <c r="CM97" s="39"/>
      <c r="CN97" s="38">
        <f t="shared" ref="CN97" si="345">CN96+CO96</f>
        <v>1.2315149419058467E-3</v>
      </c>
      <c r="CO97" s="39"/>
      <c r="CP97" s="38">
        <f t="shared" ref="CP97" si="346">CP96+CQ96</f>
        <v>2.2122740725570461E-3</v>
      </c>
      <c r="CQ97" s="39"/>
      <c r="CR97" s="38">
        <f t="shared" ref="CR97" si="347">CR96+CS96</f>
        <v>3.629941628791981E-3</v>
      </c>
      <c r="CS97" s="39"/>
      <c r="CT97" s="38">
        <f t="shared" ref="CT97" si="348">CT96+CU96</f>
        <v>3.4649012103905074E-3</v>
      </c>
      <c r="CU97" s="39"/>
      <c r="DA97" s="21"/>
    </row>
    <row r="98" spans="2:105">
      <c r="C98">
        <f>2*SUM(H97:CU97)</f>
        <v>0.4796454320156277</v>
      </c>
      <c r="F98" s="31" t="s">
        <v>60</v>
      </c>
      <c r="G98" s="31"/>
      <c r="H98" s="30">
        <f>$A$95/2*H97</f>
        <v>0.47521519653226391</v>
      </c>
      <c r="I98" s="30"/>
      <c r="J98" s="30">
        <f t="shared" ref="J98" si="349">$A$95/2*J97</f>
        <v>1.9847848179634966</v>
      </c>
      <c r="K98" s="30"/>
      <c r="L98" s="30">
        <f t="shared" ref="L98" si="350">$A$95/2*L97</f>
        <v>0.92880149477508545</v>
      </c>
      <c r="M98" s="30"/>
      <c r="N98" s="30">
        <f t="shared" ref="N98" si="351">$A$95/2*N97</f>
        <v>1.0425136125800412</v>
      </c>
      <c r="O98" s="30"/>
      <c r="P98" s="30">
        <f t="shared" ref="P98" si="352">$A$95/2*P97</f>
        <v>0.14631392439034166</v>
      </c>
      <c r="Q98" s="30"/>
      <c r="R98" s="30">
        <f t="shared" ref="R98" si="353">$A$95/2*R97</f>
        <v>0.24030423318309682</v>
      </c>
      <c r="S98" s="30"/>
      <c r="T98" s="30">
        <f t="shared" ref="T98" si="354">$A$95/2*T97</f>
        <v>0.56918401830941001</v>
      </c>
      <c r="U98" s="30"/>
      <c r="V98" s="30">
        <f t="shared" ref="V98" si="355">$A$95/2*V97</f>
        <v>1.0390642912655677</v>
      </c>
      <c r="W98" s="30"/>
      <c r="X98" s="30">
        <f t="shared" ref="X98" si="356">$A$95/2*X97</f>
        <v>0.22820517163889645</v>
      </c>
      <c r="Y98" s="30"/>
      <c r="Z98" s="30">
        <f t="shared" ref="Z98" si="357">$A$95/2*Z97</f>
        <v>0.32278756544475973</v>
      </c>
      <c r="AA98" s="30"/>
      <c r="AB98" s="30">
        <f t="shared" ref="AB98" si="358">$A$95/2*AB97</f>
        <v>0.22816077428920709</v>
      </c>
      <c r="AC98" s="30"/>
      <c r="AD98" s="30">
        <f t="shared" ref="AD98" si="359">$A$95/2*AD97</f>
        <v>3.3556331970729006E-2</v>
      </c>
      <c r="AE98" s="30"/>
      <c r="AF98" s="30">
        <f t="shared" ref="AF98" si="360">$A$95/2*AF97</f>
        <v>0.30427294363284835</v>
      </c>
      <c r="AG98" s="30"/>
      <c r="AH98" s="30">
        <f t="shared" ref="AH98" si="361">$A$95/2*AH97</f>
        <v>0.43131287524613038</v>
      </c>
      <c r="AI98" s="30"/>
      <c r="AJ98" s="30">
        <f t="shared" ref="AJ98" si="362">$A$95/2*AJ97</f>
        <v>6.5708822538301653E-2</v>
      </c>
      <c r="AK98" s="30"/>
      <c r="AL98" s="30">
        <f t="shared" ref="AL98" si="363">$A$95/2*AL97</f>
        <v>6.4103648996513107E-2</v>
      </c>
      <c r="AM98" s="30"/>
      <c r="AN98" s="30">
        <f t="shared" ref="AN98" si="364">$A$95/2*AN97</f>
        <v>0.38170284997077031</v>
      </c>
      <c r="AO98" s="30"/>
      <c r="AP98" s="30">
        <f t="shared" ref="AP98" si="365">$A$95/2*AP97</f>
        <v>0.4345609564954756</v>
      </c>
      <c r="AQ98" s="30"/>
      <c r="AR98" s="30">
        <f t="shared" ref="AR98" si="366">$A$95/2*AR97</f>
        <v>0.19902076376777059</v>
      </c>
      <c r="AS98" s="30"/>
      <c r="AT98" s="30">
        <f t="shared" ref="AT98" si="367">$A$95/2*AT97</f>
        <v>0.31256463252047056</v>
      </c>
      <c r="AU98" s="30"/>
      <c r="AV98" s="30">
        <f t="shared" ref="AV98" si="368">$A$95/2*AV97</f>
        <v>9.0795614011622297E-2</v>
      </c>
      <c r="AW98" s="30"/>
      <c r="AX98" s="30">
        <f t="shared" ref="AX98" si="369">$A$95/2*AX97</f>
        <v>0.121890660628312</v>
      </c>
      <c r="AY98" s="30"/>
      <c r="AZ98" s="30">
        <f t="shared" ref="AZ98" si="370">$A$95/2*AZ97</f>
        <v>0.14627738974324678</v>
      </c>
      <c r="BA98" s="30"/>
      <c r="BB98" s="30">
        <f t="shared" ref="BB98" si="371">$A$95/2*BB97</f>
        <v>1.2468286125517378E-2</v>
      </c>
      <c r="BC98" s="30"/>
      <c r="BD98" s="30">
        <f t="shared" ref="BD98" si="372">$A$95/2*BD97</f>
        <v>3.8365028630498385E-2</v>
      </c>
      <c r="BE98" s="30"/>
      <c r="BF98" s="30">
        <f t="shared" ref="BF98" si="373">$A$95/2*BF97</f>
        <v>2.1581010074752504E-2</v>
      </c>
      <c r="BG98" s="30"/>
      <c r="BH98" s="30">
        <f>$A$95/2*BH97</f>
        <v>0.14398859949726031</v>
      </c>
      <c r="BI98" s="30"/>
      <c r="BJ98" s="30">
        <f t="shared" ref="BJ98" si="374">$A$95/2*BJ97</f>
        <v>9.1614712990263202E-3</v>
      </c>
      <c r="BK98" s="30"/>
      <c r="BL98" s="30">
        <f t="shared" ref="BL98" si="375">$A$95/2*BL97</f>
        <v>1.3592459142900434E-2</v>
      </c>
      <c r="BM98" s="30"/>
      <c r="BN98" s="30">
        <f t="shared" ref="BN98" si="376">$A$95/2*BN97</f>
        <v>5.4625956478107727E-3</v>
      </c>
      <c r="BO98" s="30"/>
      <c r="BP98" s="30">
        <f t="shared" ref="BP98" si="377">$A$95/2*BP97</f>
        <v>1.7312508924073166E-2</v>
      </c>
      <c r="BQ98" s="30"/>
      <c r="BR98" s="30">
        <f t="shared" ref="BR98" si="378">$A$95/2*BR97</f>
        <v>5.5228683964771005E-3</v>
      </c>
      <c r="BS98" s="30"/>
      <c r="BT98" s="30">
        <f t="shared" ref="BT98" si="379">$A$95/2*BT97</f>
        <v>6.1593980690241766E-2</v>
      </c>
      <c r="BU98" s="30"/>
      <c r="BV98" s="30">
        <f t="shared" ref="BV98" si="380">$A$95/2*BV97</f>
        <v>5.0226730671463361E-2</v>
      </c>
      <c r="BW98" s="30"/>
      <c r="BX98" s="30">
        <f t="shared" ref="BX98" si="381">$A$95/2*BX97</f>
        <v>3.436498409764923E-2</v>
      </c>
      <c r="BY98" s="30"/>
      <c r="BZ98" s="30">
        <f t="shared" ref="BZ98" si="382">$A$95/2*BZ97</f>
        <v>5.0097177416354513E-2</v>
      </c>
      <c r="CA98" s="30"/>
      <c r="CB98" s="30">
        <f t="shared" ref="CB98" si="383">$A$95/2*CB97</f>
        <v>4.9746102492497647E-2</v>
      </c>
      <c r="CC98" s="30"/>
      <c r="CD98" s="30">
        <f t="shared" ref="CD98" si="384">$A$95/2*CD97</f>
        <v>4.0405864938369382E-2</v>
      </c>
      <c r="CE98" s="30"/>
      <c r="CF98" s="30">
        <f t="shared" ref="CF98" si="385">$A$95/2*CF97</f>
        <v>7.5807059044529623E-3</v>
      </c>
      <c r="CG98" s="30"/>
      <c r="CH98" s="30">
        <f t="shared" ref="CH98" si="386">$A$95/2*CH97</f>
        <v>0.17173147901536814</v>
      </c>
      <c r="CI98" s="30"/>
      <c r="CJ98" s="30">
        <f t="shared" ref="CJ98" si="387">$A$95/2*CJ97</f>
        <v>9.8301376566830079E-2</v>
      </c>
      <c r="CK98" s="30"/>
      <c r="CL98" s="30">
        <f t="shared" ref="CL98" si="388">$A$95/2*CL97</f>
        <v>3.9104093742932063E-2</v>
      </c>
      <c r="CM98" s="30"/>
      <c r="CN98" s="30">
        <f t="shared" ref="CN98" si="389">$A$95/2*CN97</f>
        <v>5.7265444798621869E-2</v>
      </c>
      <c r="CO98" s="30"/>
      <c r="CP98" s="30">
        <f t="shared" ref="CP98" si="390">$A$95/2*CP97</f>
        <v>0.10287074437390265</v>
      </c>
      <c r="CQ98" s="30"/>
      <c r="CR98" s="30">
        <f t="shared" ref="CR98" si="391">$A$95/2*CR97</f>
        <v>0.16879228573882712</v>
      </c>
      <c r="CS98" s="30"/>
      <c r="CT98" s="30">
        <f t="shared" ref="CT98" si="392">$A$95/2*CT97</f>
        <v>0.16111790628315859</v>
      </c>
      <c r="CU98" s="30"/>
      <c r="DA98" s="20">
        <v>3.629941628791981E-3</v>
      </c>
    </row>
    <row r="99" spans="2:105">
      <c r="C99">
        <f>SUM(H97:CU97)</f>
        <v>0.23982271600781385</v>
      </c>
      <c r="F99" s="31" t="s">
        <v>61</v>
      </c>
      <c r="G99" s="32"/>
      <c r="H99" s="33">
        <f>($C$99-H$97)*2</f>
        <v>0.45920606872391745</v>
      </c>
      <c r="I99" s="34"/>
      <c r="J99" s="33">
        <f>($C$99-J$97)*2</f>
        <v>0.39427834307096121</v>
      </c>
      <c r="K99" s="34"/>
      <c r="L99" s="33">
        <f>($C$99-L$97)*2</f>
        <v>0.43969698062745199</v>
      </c>
      <c r="M99" s="34"/>
      <c r="N99" s="33">
        <f>($C$99-N$97)*2</f>
        <v>0.43480613685089475</v>
      </c>
      <c r="O99" s="34"/>
      <c r="P99" s="33">
        <f>($C$99-P$97)*2</f>
        <v>0.47335235999883879</v>
      </c>
      <c r="Q99" s="34"/>
      <c r="R99" s="33">
        <f>($C$99-R$97)*2</f>
        <v>0.46930976607226871</v>
      </c>
      <c r="S99" s="34"/>
      <c r="T99" s="33">
        <f>($C$99-T$97)*2</f>
        <v>0.45516439897006167</v>
      </c>
      <c r="U99" s="34"/>
      <c r="V99" s="33">
        <f>($C$99-V$97)*2</f>
        <v>0.43495449475689363</v>
      </c>
      <c r="W99" s="34"/>
      <c r="X99" s="33">
        <f>($C$99-X$97)*2</f>
        <v>0.46983015581610527</v>
      </c>
      <c r="Y99" s="34"/>
      <c r="Z99" s="33">
        <f>($C$99-Z$97)*2</f>
        <v>0.46576209586746598</v>
      </c>
      <c r="AA99" s="34"/>
      <c r="AB99" s="33">
        <f>($C$99-AB$97)*2</f>
        <v>0.46983206537953276</v>
      </c>
      <c r="AC99" s="34"/>
      <c r="AD99" s="33">
        <f>($C$99-AD$97)*2</f>
        <v>0.47820214892011248</v>
      </c>
      <c r="AE99" s="34"/>
      <c r="AF99" s="33">
        <f>($C$99-AF$97)*2</f>
        <v>0.46655842368733313</v>
      </c>
      <c r="AG99" s="34"/>
      <c r="AH99" s="33">
        <f>($C$99-AH$97)*2</f>
        <v>0.46109434060719201</v>
      </c>
      <c r="AI99" s="34"/>
      <c r="AJ99" s="33">
        <f>($C$99-AJ$97)*2</f>
        <v>0.47681924610000181</v>
      </c>
      <c r="AK99" s="34"/>
      <c r="AL99" s="33">
        <f>($C$99-AL$97)*2</f>
        <v>0.47688828582222931</v>
      </c>
      <c r="AM99" s="34"/>
      <c r="AN99" s="33">
        <f>($C$99-AN$97)*2</f>
        <v>0.46322810513516444</v>
      </c>
      <c r="AO99" s="34"/>
      <c r="AP99" s="33">
        <f>($C$99-AP$97)*2</f>
        <v>0.46095463818786531</v>
      </c>
      <c r="AQ99" s="34"/>
      <c r="AR99" s="33">
        <f>($C$99-AR$97)*2</f>
        <v>0.47108539916540099</v>
      </c>
      <c r="AS99" s="34"/>
      <c r="AT99" s="33">
        <f>($C$99-AT$97)*2</f>
        <v>0.46620179190722039</v>
      </c>
      <c r="AU99" s="34"/>
      <c r="AV99" s="33">
        <f>($C$99-AV$97)*2</f>
        <v>0.4757402443162031</v>
      </c>
      <c r="AW99" s="34"/>
      <c r="AX99" s="33">
        <f>($C$99-AX$97)*2</f>
        <v>0.47440282295634545</v>
      </c>
      <c r="AY99" s="34"/>
      <c r="AZ99" s="33">
        <f>($C$99-AZ$97)*2</f>
        <v>0.47335393138150955</v>
      </c>
      <c r="BA99" s="34"/>
      <c r="BB99" s="33">
        <f>($C$99-BB$97)*2</f>
        <v>0.47910916164463768</v>
      </c>
      <c r="BC99" s="34"/>
      <c r="BD99" s="33">
        <f>($C$99-BD$97)*2</f>
        <v>0.47799532325732669</v>
      </c>
      <c r="BE99" s="34"/>
      <c r="BF99" s="33">
        <f>($C$99-BF$97)*2</f>
        <v>0.4787172165285416</v>
      </c>
      <c r="BG99" s="34"/>
      <c r="BH99" s="33">
        <f>($C$99-BH$97)*2</f>
        <v>0.47345237397273476</v>
      </c>
      <c r="BI99" s="34"/>
      <c r="BJ99" s="33">
        <f t="shared" ref="BJ99" si="393">($C$99-BJ$97)*2</f>
        <v>0.4792513902393255</v>
      </c>
      <c r="BK99" s="34"/>
      <c r="BL99" s="33">
        <f t="shared" ref="BL99" si="394">($C$99-BL$97)*2</f>
        <v>0.47906081011700835</v>
      </c>
      <c r="BM99" s="34"/>
      <c r="BN99" s="33">
        <f t="shared" ref="BN99" si="395">($C$99-BN$97)*2</f>
        <v>0.47941048166518424</v>
      </c>
      <c r="BO99" s="34"/>
      <c r="BP99" s="33">
        <f t="shared" ref="BP99" si="396">($C$99-BP$97)*2</f>
        <v>0.47890080797588264</v>
      </c>
      <c r="BQ99" s="34"/>
      <c r="BR99" s="33">
        <f t="shared" ref="BR99" si="397">($C$99-BR$97)*2</f>
        <v>0.47940788928889749</v>
      </c>
      <c r="BS99" s="34"/>
      <c r="BT99" s="33">
        <f t="shared" ref="BT99" si="398">($C$99-BT$97)*2</f>
        <v>0.47699622854507967</v>
      </c>
      <c r="BU99" s="34"/>
      <c r="BV99" s="33">
        <f t="shared" ref="BV99" si="399">($C$99-BV$97)*2</f>
        <v>0.47748514252438196</v>
      </c>
      <c r="BW99" s="34"/>
      <c r="BX99" s="33">
        <f t="shared" ref="BX99" si="400">($C$99-BX$97)*2</f>
        <v>0.47816736818347072</v>
      </c>
      <c r="BY99" s="34"/>
      <c r="BZ99" s="33">
        <f t="shared" ref="BZ99" si="401">($C$99-BZ$97)*2</f>
        <v>0.4774907147073974</v>
      </c>
      <c r="CA99" s="34"/>
      <c r="CB99" s="33">
        <f t="shared" ref="CB99" si="402">($C$99-CB$97)*2</f>
        <v>0.47750581470412246</v>
      </c>
      <c r="CC99" s="34"/>
      <c r="CD99" s="33">
        <f t="shared" ref="CD99" si="403">($C$99-CD$97)*2</f>
        <v>0.47790754535161184</v>
      </c>
      <c r="CE99" s="34"/>
      <c r="CF99" s="33">
        <f t="shared" ref="CF99" si="404">($C$99-CF$97)*2</f>
        <v>0.47931938014876951</v>
      </c>
      <c r="CG99" s="34"/>
      <c r="CH99" s="33">
        <f t="shared" ref="CH99" si="405">($C$99-CH$97)*2</f>
        <v>0.47225913184292367</v>
      </c>
      <c r="CI99" s="34"/>
      <c r="CJ99" s="33">
        <f t="shared" ref="CJ99" si="406">($C$99-CJ$97)*2</f>
        <v>0.47541741581920488</v>
      </c>
      <c r="CK99" s="34"/>
      <c r="CL99" s="33">
        <f t="shared" ref="CL99" si="407">($C$99-CL$97)*2</f>
        <v>0.47796353551055537</v>
      </c>
      <c r="CM99" s="34"/>
      <c r="CN99" s="33">
        <f t="shared" ref="CN99" si="408">($C$99-CN$97)*2</f>
        <v>0.47718240213181601</v>
      </c>
      <c r="CO99" s="34"/>
      <c r="CP99" s="33">
        <f t="shared" ref="CP99" si="409">($C$99-CP$97)*2</f>
        <v>0.47522088387051359</v>
      </c>
      <c r="CQ99" s="34"/>
      <c r="CR99" s="33">
        <f t="shared" ref="CR99" si="410">($C$99-CR$97)*2</f>
        <v>0.47238554875804373</v>
      </c>
      <c r="CS99" s="34"/>
      <c r="CT99" s="33">
        <f>($C$99-CT$97)*2</f>
        <v>0.4727156295948467</v>
      </c>
      <c r="CU99" s="34"/>
      <c r="DA99" s="21"/>
    </row>
    <row r="100" spans="2:105">
      <c r="F100" s="31" t="s">
        <v>62</v>
      </c>
      <c r="G100" s="32"/>
      <c r="H100" s="33">
        <f>(($A$95-3)*H97)/H99</f>
        <v>2.002959914451707</v>
      </c>
      <c r="I100" s="34"/>
      <c r="J100" s="33">
        <f t="shared" ref="J100" si="411">(($A$95-3)*J97)/J99</f>
        <v>9.7431651269230546</v>
      </c>
      <c r="K100" s="34"/>
      <c r="L100" s="33">
        <f t="shared" ref="L100" si="412">(($A$95-3)*L97)/L99</f>
        <v>4.0884527110070197</v>
      </c>
      <c r="M100" s="34"/>
      <c r="N100" s="33">
        <f t="shared" ref="N100" si="413">(($A$95-3)*N97)/N99</f>
        <v>4.6406159237465481</v>
      </c>
      <c r="O100" s="34"/>
      <c r="P100" s="33">
        <f t="shared" ref="P100" si="414">(($A$95-3)*P97)/P99</f>
        <v>0.59826096727645905</v>
      </c>
      <c r="Q100" s="34"/>
      <c r="R100" s="33">
        <f t="shared" ref="R100" si="415">(($A$95-3)*R97)/R99</f>
        <v>0.99104046213164454</v>
      </c>
      <c r="S100" s="34"/>
      <c r="T100" s="33">
        <f t="shared" ref="T100" si="416">(($A$95-3)*T97)/T99</f>
        <v>2.420326566715802</v>
      </c>
      <c r="U100" s="34"/>
      <c r="V100" s="33">
        <f t="shared" ref="V100" si="417">(($A$95-3)*V97)/V99</f>
        <v>4.6236840885322534</v>
      </c>
      <c r="W100" s="34"/>
      <c r="X100" s="33">
        <f t="shared" ref="X100" si="418">(($A$95-3)*X97)/X99</f>
        <v>0.94010021176969483</v>
      </c>
      <c r="Y100" s="34"/>
      <c r="Z100" s="33">
        <f t="shared" ref="Z100" si="419">(($A$95-3)*Z97)/Z99</f>
        <v>1.3413502992417217</v>
      </c>
      <c r="AA100" s="34"/>
      <c r="AB100" s="33">
        <f t="shared" ref="AB100" si="420">(($A$95-3)*AB97)/AB99</f>
        <v>0.93991349497941101</v>
      </c>
      <c r="AC100" s="34"/>
      <c r="AD100" s="33">
        <f t="shared" ref="AD100" si="421">(($A$95-3)*AD97)/AD99</f>
        <v>0.13581649401796231</v>
      </c>
      <c r="AE100" s="34"/>
      <c r="AF100" s="33">
        <f t="shared" ref="AF100" si="422">(($A$95-3)*AF97)/AF99</f>
        <v>1.2622542962977774</v>
      </c>
      <c r="AG100" s="34"/>
      <c r="AH100" s="33">
        <f t="shared" ref="AH100" si="423">(($A$95-3)*AH97)/AH99</f>
        <v>1.8104735622655919</v>
      </c>
      <c r="AI100" s="34"/>
      <c r="AJ100" s="33">
        <f t="shared" ref="AJ100" si="424">(($A$95-3)*AJ97)/AJ99</f>
        <v>0.26672238430680245</v>
      </c>
      <c r="AK100" s="34"/>
      <c r="AL100" s="33">
        <f t="shared" ref="AL100" si="425">(($A$95-3)*AL97)/AL99</f>
        <v>0.26016906347156327</v>
      </c>
      <c r="AM100" s="34"/>
      <c r="AN100" s="33">
        <f t="shared" ref="AN100" si="426">(($A$95-3)*AN97)/AN99</f>
        <v>1.5948507904227416</v>
      </c>
      <c r="AO100" s="34"/>
      <c r="AP100" s="33">
        <f t="shared" ref="AP100" si="427">(($A$95-3)*AP97)/AP99</f>
        <v>1.8246605035928007</v>
      </c>
      <c r="AQ100" s="34"/>
      <c r="AR100" s="33">
        <f t="shared" ref="AR100" si="428">(($A$95-3)*AR97)/AR99</f>
        <v>0.81768927447686512</v>
      </c>
      <c r="AS100" s="34"/>
      <c r="AT100" s="33">
        <f t="shared" ref="AT100" si="429">(($A$95-3)*AT97)/AT99</f>
        <v>1.2976436714312867</v>
      </c>
      <c r="AU100" s="34"/>
      <c r="AV100" s="33">
        <f t="shared" ref="AV100" si="430">(($A$95-3)*AV97)/AV99</f>
        <v>0.36938949053321113</v>
      </c>
      <c r="AW100" s="34"/>
      <c r="AX100" s="33">
        <f t="shared" ref="AX100" si="431">(($A$95-3)*AX97)/AX99</f>
        <v>0.49729343134496856</v>
      </c>
      <c r="AY100" s="34"/>
      <c r="AZ100" s="33">
        <f t="shared" ref="AZ100" si="432">(($A$95-3)*AZ97)/AZ99</f>
        <v>0.59810959572897648</v>
      </c>
      <c r="BA100" s="34"/>
      <c r="BB100" s="33">
        <f t="shared" ref="BB100" si="433">(($A$95-3)*BB97)/BB99</f>
        <v>5.0368827454084344E-2</v>
      </c>
      <c r="BC100" s="34"/>
      <c r="BD100" s="33">
        <f t="shared" ref="BD100" si="434">(($A$95-3)*BD97)/BD99</f>
        <v>0.15534648669265425</v>
      </c>
      <c r="BE100" s="34"/>
      <c r="BF100" s="33">
        <f t="shared" ref="BF100" si="435">(($A$95-3)*BF97)/BF99</f>
        <v>8.7253383577411955E-2</v>
      </c>
      <c r="BG100" s="34"/>
      <c r="BH100" s="33">
        <f t="shared" ref="BH100" si="436">(($A$95-3)*BH97)/BH99</f>
        <v>0.58862860817808527</v>
      </c>
      <c r="BI100" s="34"/>
      <c r="BJ100" s="33">
        <f t="shared" ref="BJ100" si="437">(($A$95-3)*BJ97)/BJ99</f>
        <v>3.6999120492367261E-2</v>
      </c>
      <c r="BK100" s="34"/>
      <c r="BL100" s="33">
        <f t="shared" ref="BL100" si="438">(($A$95-3)*BL97)/BL99</f>
        <v>5.4915753662768213E-2</v>
      </c>
      <c r="BM100" s="34"/>
      <c r="BN100" s="33">
        <f t="shared" ref="BN100" si="439">(($A$95-3)*BN97)/BN99</f>
        <v>2.2053680873294412E-2</v>
      </c>
      <c r="BO100" s="34"/>
      <c r="BP100" s="33">
        <f t="shared" ref="BP100" si="440">(($A$95-3)*BP97)/BP99</f>
        <v>6.9968730957363875E-2</v>
      </c>
      <c r="BQ100" s="34"/>
      <c r="BR100" s="33">
        <f t="shared" ref="BR100" si="441">(($A$95-3)*BR97)/BR99</f>
        <v>2.2297135574290302E-2</v>
      </c>
      <c r="BS100" s="34"/>
      <c r="BT100" s="33">
        <f t="shared" ref="BT100" si="442">(($A$95-3)*BT97)/BT99</f>
        <v>0.24992683178708794</v>
      </c>
      <c r="BU100" s="34"/>
      <c r="BV100" s="33">
        <f t="shared" ref="BV100" si="443">(($A$95-3)*BV97)/BV99</f>
        <v>0.20359382617040092</v>
      </c>
      <c r="BW100" s="34"/>
      <c r="BX100" s="33">
        <f t="shared" ref="BX100" si="444">(($A$95-3)*BX97)/BX99</f>
        <v>0.13909956402868195</v>
      </c>
      <c r="BY100" s="34"/>
      <c r="BZ100" s="33">
        <f t="shared" ref="BZ100" si="445">(($A$95-3)*BZ97)/BZ99</f>
        <v>0.20306631288062074</v>
      </c>
      <c r="CA100" s="34"/>
      <c r="CB100" s="33">
        <f t="shared" ref="CB100" si="446">(($A$95-3)*CB97)/CB99</f>
        <v>0.20163687237483632</v>
      </c>
      <c r="CC100" s="34"/>
      <c r="CD100" s="33">
        <f t="shared" ref="CD100" si="447">(($A$95-3)*CD97)/CD99</f>
        <v>0.16364022841107709</v>
      </c>
      <c r="CE100" s="34"/>
      <c r="CF100" s="33">
        <f t="shared" ref="CF100" si="448">(($A$95-3)*CF97)/CF99</f>
        <v>3.0610767301052357E-2</v>
      </c>
      <c r="CG100" s="34"/>
      <c r="CH100" s="33">
        <f t="shared" ref="CH100" si="449">(($A$95-3)*CH97)/CH99</f>
        <v>0.7038159462890663</v>
      </c>
      <c r="CI100" s="34"/>
      <c r="CJ100" s="33">
        <f t="shared" ref="CJ100" si="450">(($A$95-3)*CJ97)/CJ99</f>
        <v>0.40019722144840331</v>
      </c>
      <c r="CK100" s="34"/>
      <c r="CL100" s="33">
        <f t="shared" ref="CL100" si="451">(($A$95-3)*CL97)/CL99</f>
        <v>0.15834961687487176</v>
      </c>
      <c r="CM100" s="34"/>
      <c r="CN100" s="33">
        <f t="shared" ref="CN100" si="452">(($A$95-3)*CN97)/CN99</f>
        <v>0.2322724900926019</v>
      </c>
      <c r="CO100" s="34"/>
      <c r="CP100" s="33">
        <f t="shared" ref="CP100" si="453">(($A$95-3)*CP97)/CP99</f>
        <v>0.41897288879329941</v>
      </c>
      <c r="CQ100" s="34"/>
      <c r="CR100" s="33">
        <f t="shared" ref="CR100" si="454">(($A$95-3)*CR97)/CR99</f>
        <v>0.69158497216986548</v>
      </c>
      <c r="CS100" s="34"/>
      <c r="CT100" s="33">
        <f>(($A$95-3)*CT97)/CT99</f>
        <v>0.65968013201174935</v>
      </c>
      <c r="CU100" s="34"/>
      <c r="DA100" s="20">
        <v>3.4649012103905074E-3</v>
      </c>
    </row>
    <row r="101" spans="2:105">
      <c r="F101" s="31" t="s">
        <v>63</v>
      </c>
      <c r="G101" s="31"/>
      <c r="H101" s="37">
        <f>_xlfn.F.INV.RT(0.05,2,A95-3)</f>
        <v>3.0976980352519248</v>
      </c>
      <c r="I101" s="37"/>
      <c r="DA101" s="21"/>
    </row>
    <row r="102" spans="2:105">
      <c r="H102" s="31" t="str">
        <f>IF(H100&gt;$H$101,"Signifikan","Tidak Signifikan")</f>
        <v>Tidak Signifikan</v>
      </c>
      <c r="I102" s="31"/>
      <c r="J102" s="31" t="str">
        <f>IF(J100&gt;$H$101,"Signifikan","Tidak Signifikan")</f>
        <v>Signifikan</v>
      </c>
      <c r="K102" s="31"/>
      <c r="L102" s="31" t="str">
        <f>IF(L100&gt;$H$101,"Signifikan","Tidak Signifikan")</f>
        <v>Signifikan</v>
      </c>
      <c r="M102" s="31"/>
      <c r="N102" s="31" t="str">
        <f>IF(N100&gt;$H$101,"Signifikan","Tidak Signifikan")</f>
        <v>Signifikan</v>
      </c>
      <c r="O102" s="31"/>
      <c r="P102" s="31" t="str">
        <f>IF(P100&gt;$H$101,"Signifikan","Tidak Signifikan")</f>
        <v>Tidak Signifikan</v>
      </c>
      <c r="Q102" s="31"/>
      <c r="R102" s="31" t="str">
        <f>IF(R100&gt;$H$101,"Signifikan","Tidak Signifikan")</f>
        <v>Tidak Signifikan</v>
      </c>
      <c r="S102" s="31"/>
      <c r="T102" s="31" t="str">
        <f>IF(T100&gt;$H$101,"Signifikan","Tidak Signifikan")</f>
        <v>Tidak Signifikan</v>
      </c>
      <c r="U102" s="31"/>
      <c r="V102" s="31" t="str">
        <f>IF(V100&gt;$H$101,"Signifikan","Tidak Signifikan")</f>
        <v>Signifikan</v>
      </c>
      <c r="W102" s="31"/>
      <c r="X102" s="31" t="str">
        <f>IF(X100&gt;$H$101,"Signifikan","Tidak Signifikan")</f>
        <v>Tidak Signifikan</v>
      </c>
      <c r="Y102" s="31"/>
      <c r="Z102" s="31" t="str">
        <f>IF(Z100&gt;$H$101,"Signifikan","Tidak Signifikan")</f>
        <v>Tidak Signifikan</v>
      </c>
      <c r="AA102" s="31"/>
      <c r="AB102" s="31" t="str">
        <f>IF(AB100&gt;$H$101,"Signifikan","Tidak Signifikan")</f>
        <v>Tidak Signifikan</v>
      </c>
      <c r="AC102" s="31"/>
      <c r="AD102" s="31" t="str">
        <f>IF(AD100&gt;$H$101,"Signifikan","Tidak Signifikan")</f>
        <v>Tidak Signifikan</v>
      </c>
      <c r="AE102" s="31"/>
      <c r="AF102" s="31" t="str">
        <f>IF(AF100&gt;$H$101,"Signifikan","Tidak Signifikan")</f>
        <v>Tidak Signifikan</v>
      </c>
      <c r="AG102" s="31"/>
      <c r="AH102" s="31" t="str">
        <f>IF(AH100&gt;$H$101,"Signifikan","Tidak Signifikan")</f>
        <v>Tidak Signifikan</v>
      </c>
      <c r="AI102" s="31"/>
      <c r="AJ102" s="31" t="str">
        <f>IF(AJ100&gt;$H$101,"Signifikan","Tidak Signifikan")</f>
        <v>Tidak Signifikan</v>
      </c>
      <c r="AK102" s="31"/>
      <c r="AL102" s="31" t="str">
        <f>IF(AL100&gt;$H$101,"Signifikan","Tidak Signifikan")</f>
        <v>Tidak Signifikan</v>
      </c>
      <c r="AM102" s="31"/>
      <c r="AN102" s="31" t="str">
        <f>IF(AN100&gt;$H$101,"Signifikan","Tidak Signifikan")</f>
        <v>Tidak Signifikan</v>
      </c>
      <c r="AO102" s="31"/>
      <c r="AP102" s="31" t="str">
        <f>IF(AP100&gt;$H$101,"Signifikan","Tidak Signifikan")</f>
        <v>Tidak Signifikan</v>
      </c>
      <c r="AQ102" s="31"/>
      <c r="AR102" s="31" t="str">
        <f>IF(AR100&gt;$H$101,"Signifikan","Tidak Signifikan")</f>
        <v>Tidak Signifikan</v>
      </c>
      <c r="AS102" s="31"/>
      <c r="AT102" s="31" t="str">
        <f>IF(AT100&gt;$H$101,"Signifikan","Tidak Signifikan")</f>
        <v>Tidak Signifikan</v>
      </c>
      <c r="AU102" s="31"/>
      <c r="AV102" s="31" t="str">
        <f>IF(AV100&gt;$H$101,"Signifikan","Tidak Signifikan")</f>
        <v>Tidak Signifikan</v>
      </c>
      <c r="AW102" s="31"/>
      <c r="AX102" s="31" t="str">
        <f>IF(AX100&gt;$H$101,"Signifikan","Tidak Signifikan")</f>
        <v>Tidak Signifikan</v>
      </c>
      <c r="AY102" s="31"/>
      <c r="AZ102" s="31" t="str">
        <f>IF(AZ100&gt;$H$101,"Signifikan","Tidak Signifikan")</f>
        <v>Tidak Signifikan</v>
      </c>
      <c r="BA102" s="31"/>
      <c r="BB102" s="31" t="str">
        <f>IF(BB100&gt;$H$101,"Signifikan","Tidak Signifikan")</f>
        <v>Tidak Signifikan</v>
      </c>
      <c r="BC102" s="31"/>
      <c r="BD102" s="31" t="str">
        <f>IF(BD100&gt;$H$101,"Signifikan","Tidak Signifikan")</f>
        <v>Tidak Signifikan</v>
      </c>
      <c r="BE102" s="31"/>
      <c r="BF102" s="31" t="str">
        <f>IF(BF100&gt;$H$101,"Signifikan","Tidak Signifikan")</f>
        <v>Tidak Signifikan</v>
      </c>
      <c r="BG102" s="31"/>
      <c r="BH102" s="31" t="str">
        <f>IF(BH100&gt;$H$101,"Signifikan","Tidak Signifikan")</f>
        <v>Tidak Signifikan</v>
      </c>
      <c r="BI102" s="31"/>
      <c r="BJ102" s="31" t="str">
        <f t="shared" ref="BJ102" si="455">IF(BJ100&gt;$H$101,"Signifikan","Tidak Signifikan")</f>
        <v>Tidak Signifikan</v>
      </c>
      <c r="BK102" s="31"/>
      <c r="BL102" s="31" t="str">
        <f t="shared" ref="BL102" si="456">IF(BL100&gt;$H$101,"Signifikan","Tidak Signifikan")</f>
        <v>Tidak Signifikan</v>
      </c>
      <c r="BM102" s="31"/>
      <c r="BN102" s="31" t="str">
        <f t="shared" ref="BN102" si="457">IF(BN100&gt;$H$101,"Signifikan","Tidak Signifikan")</f>
        <v>Tidak Signifikan</v>
      </c>
      <c r="BO102" s="31"/>
      <c r="BP102" s="31" t="str">
        <f t="shared" ref="BP102" si="458">IF(BP100&gt;$H$101,"Signifikan","Tidak Signifikan")</f>
        <v>Tidak Signifikan</v>
      </c>
      <c r="BQ102" s="31"/>
      <c r="BR102" s="31" t="str">
        <f t="shared" ref="BR102" si="459">IF(BR100&gt;$H$101,"Signifikan","Tidak Signifikan")</f>
        <v>Tidak Signifikan</v>
      </c>
      <c r="BS102" s="31"/>
      <c r="BT102" s="31" t="str">
        <f t="shared" ref="BT102" si="460">IF(BT100&gt;$H$101,"Signifikan","Tidak Signifikan")</f>
        <v>Tidak Signifikan</v>
      </c>
      <c r="BU102" s="31"/>
      <c r="BV102" s="31" t="str">
        <f t="shared" ref="BV102" si="461">IF(BV100&gt;$H$101,"Signifikan","Tidak Signifikan")</f>
        <v>Tidak Signifikan</v>
      </c>
      <c r="BW102" s="31"/>
      <c r="BX102" s="31" t="str">
        <f t="shared" ref="BX102" si="462">IF(BX100&gt;$H$101,"Signifikan","Tidak Signifikan")</f>
        <v>Tidak Signifikan</v>
      </c>
      <c r="BY102" s="31"/>
      <c r="BZ102" s="31" t="str">
        <f t="shared" ref="BZ102" si="463">IF(BZ100&gt;$H$101,"Signifikan","Tidak Signifikan")</f>
        <v>Tidak Signifikan</v>
      </c>
      <c r="CA102" s="31"/>
      <c r="CB102" s="31" t="str">
        <f t="shared" ref="CB102" si="464">IF(CB100&gt;$H$101,"Signifikan","Tidak Signifikan")</f>
        <v>Tidak Signifikan</v>
      </c>
      <c r="CC102" s="31"/>
      <c r="CD102" s="31" t="str">
        <f t="shared" ref="CD102" si="465">IF(CD100&gt;$H$101,"Signifikan","Tidak Signifikan")</f>
        <v>Tidak Signifikan</v>
      </c>
      <c r="CE102" s="31"/>
      <c r="CF102" s="31" t="str">
        <f t="shared" ref="CF102" si="466">IF(CF100&gt;$H$101,"Signifikan","Tidak Signifikan")</f>
        <v>Tidak Signifikan</v>
      </c>
      <c r="CG102" s="31"/>
      <c r="CH102" s="31" t="str">
        <f t="shared" ref="CH102" si="467">IF(CH100&gt;$H$101,"Signifikan","Tidak Signifikan")</f>
        <v>Tidak Signifikan</v>
      </c>
      <c r="CI102" s="31"/>
      <c r="CJ102" s="31" t="str">
        <f t="shared" ref="CJ102" si="468">IF(CJ100&gt;$H$101,"Signifikan","Tidak Signifikan")</f>
        <v>Tidak Signifikan</v>
      </c>
      <c r="CK102" s="31"/>
      <c r="CL102" s="31" t="str">
        <f t="shared" ref="CL102" si="469">IF(CL100&gt;$H$101,"Signifikan","Tidak Signifikan")</f>
        <v>Tidak Signifikan</v>
      </c>
      <c r="CM102" s="31"/>
      <c r="CN102" s="31" t="str">
        <f t="shared" ref="CN102" si="470">IF(CN100&gt;$H$101,"Signifikan","Tidak Signifikan")</f>
        <v>Tidak Signifikan</v>
      </c>
      <c r="CO102" s="31"/>
      <c r="CP102" s="31" t="str">
        <f t="shared" ref="CP102" si="471">IF(CP100&gt;$H$101,"Signifikan","Tidak Signifikan")</f>
        <v>Tidak Signifikan</v>
      </c>
      <c r="CQ102" s="31"/>
      <c r="CR102" s="31" t="str">
        <f t="shared" ref="CR102" si="472">IF(CR100&gt;$H$101,"Signifikan","Tidak Signifikan")</f>
        <v>Tidak Signifikan</v>
      </c>
      <c r="CS102" s="31"/>
      <c r="CT102" s="31" t="str">
        <f t="shared" ref="CT102" si="473">IF(CT100&gt;$H$101,"Signifikan","Tidak Signifikan")</f>
        <v>Tidak Signifikan</v>
      </c>
      <c r="CU102" s="31"/>
    </row>
    <row r="106" spans="2:105">
      <c r="B106" t="s">
        <v>108</v>
      </c>
    </row>
    <row r="107" spans="2:105">
      <c r="B107" s="7" t="s">
        <v>103</v>
      </c>
      <c r="C107" s="7">
        <f>F4/$F$49</f>
        <v>0.17797957250614474</v>
      </c>
    </row>
    <row r="108" spans="2:105">
      <c r="B108" s="7" t="s">
        <v>104</v>
      </c>
      <c r="C108" s="19">
        <f>1-(0.05/46)^(1/45)</f>
        <v>0.14071338225609209</v>
      </c>
    </row>
    <row r="109" spans="2:105">
      <c r="B109" s="7" t="s">
        <v>105</v>
      </c>
      <c r="C109" s="7" t="str">
        <f>IF(C107&gt;C108,"Signifikan","Tidak Signifikan")</f>
        <v>Signifikan</v>
      </c>
    </row>
    <row r="110" spans="2:105">
      <c r="B110" s="42" t="s">
        <v>107</v>
      </c>
      <c r="C110" s="8">
        <f>ROUNDUP(E4,0)</f>
        <v>47</v>
      </c>
    </row>
    <row r="112" spans="2:105">
      <c r="B112" s="43"/>
      <c r="C112" s="43"/>
    </row>
    <row r="113" spans="2:3">
      <c r="B113" s="44"/>
      <c r="C113" s="44"/>
    </row>
    <row r="114" spans="2:3">
      <c r="B114" s="44"/>
      <c r="C114" s="45"/>
    </row>
    <row r="115" spans="2:3">
      <c r="B115" s="44"/>
      <c r="C115" s="44"/>
    </row>
    <row r="116" spans="2:3">
      <c r="B116" s="43"/>
      <c r="C116" s="43"/>
    </row>
    <row r="117" spans="2:3">
      <c r="B117" s="43"/>
      <c r="C117" s="43"/>
    </row>
    <row r="118" spans="2:3">
      <c r="B118" s="43"/>
      <c r="C118" s="43"/>
    </row>
    <row r="119" spans="2:3">
      <c r="B119" s="44"/>
      <c r="C119" s="44"/>
    </row>
    <row r="120" spans="2:3">
      <c r="B120" s="44"/>
      <c r="C120" s="45"/>
    </row>
    <row r="121" spans="2:3">
      <c r="B121" s="44"/>
      <c r="C121" s="44"/>
    </row>
    <row r="122" spans="2:3">
      <c r="B122" s="43"/>
      <c r="C122" s="43"/>
    </row>
    <row r="123" spans="2:3">
      <c r="B123" s="43"/>
      <c r="C123" s="43"/>
    </row>
    <row r="124" spans="2:3">
      <c r="B124" s="43"/>
      <c r="C124" s="43"/>
    </row>
    <row r="125" spans="2:3">
      <c r="B125" s="44"/>
      <c r="C125" s="44"/>
    </row>
    <row r="126" spans="2:3">
      <c r="B126" s="44"/>
      <c r="C126" s="45"/>
    </row>
    <row r="127" spans="2:3">
      <c r="B127" s="44"/>
      <c r="C127" s="44"/>
    </row>
  </sheetData>
  <sortState xmlns:xlrd2="http://schemas.microsoft.com/office/spreadsheetml/2017/richdata2" ref="DA11:DA101">
    <sortCondition sortBy="icon" ref="DA11:DA101"/>
  </sortState>
  <mergeCells count="243">
    <mergeCell ref="CJ102:CK102"/>
    <mergeCell ref="CL102:CM102"/>
    <mergeCell ref="CN102:CO102"/>
    <mergeCell ref="CP102:CQ102"/>
    <mergeCell ref="CR102:CS102"/>
    <mergeCell ref="CT102:CU102"/>
    <mergeCell ref="BR102:BS102"/>
    <mergeCell ref="BT102:BU102"/>
    <mergeCell ref="BV102:BW102"/>
    <mergeCell ref="BX102:BY102"/>
    <mergeCell ref="BZ102:CA102"/>
    <mergeCell ref="CB102:CC102"/>
    <mergeCell ref="CD102:CE102"/>
    <mergeCell ref="CF102:CG102"/>
    <mergeCell ref="CH102:CI102"/>
    <mergeCell ref="A1:A2"/>
    <mergeCell ref="B1:B2"/>
    <mergeCell ref="C1:C2"/>
    <mergeCell ref="D1:D2"/>
    <mergeCell ref="E1:E2"/>
    <mergeCell ref="F1:F2"/>
    <mergeCell ref="BJ102:BK102"/>
    <mergeCell ref="BL102:BM102"/>
    <mergeCell ref="BN102:BO102"/>
    <mergeCell ref="X97:Y97"/>
    <mergeCell ref="Z97:AA97"/>
    <mergeCell ref="AB97:AC97"/>
    <mergeCell ref="AD97:AE97"/>
    <mergeCell ref="AF97:AG97"/>
    <mergeCell ref="AH97:AI97"/>
    <mergeCell ref="G1:G2"/>
    <mergeCell ref="F98:G98"/>
    <mergeCell ref="H98:I98"/>
    <mergeCell ref="J98:K98"/>
    <mergeCell ref="L98:M98"/>
    <mergeCell ref="N98:O98"/>
    <mergeCell ref="P98:Q98"/>
    <mergeCell ref="R98:S98"/>
    <mergeCell ref="T98:U98"/>
    <mergeCell ref="XFD1:XFD2"/>
    <mergeCell ref="H97:I97"/>
    <mergeCell ref="J97:K97"/>
    <mergeCell ref="L97:M97"/>
    <mergeCell ref="N97:O97"/>
    <mergeCell ref="P97:Q97"/>
    <mergeCell ref="R97:S97"/>
    <mergeCell ref="T97:U97"/>
    <mergeCell ref="V97:W97"/>
    <mergeCell ref="AV97:AW97"/>
    <mergeCell ref="AX97:AY97"/>
    <mergeCell ref="AZ97:BA97"/>
    <mergeCell ref="BB97:BC97"/>
    <mergeCell ref="BD97:BE97"/>
    <mergeCell ref="BF97:BG97"/>
    <mergeCell ref="AJ97:AK97"/>
    <mergeCell ref="AL97:AM97"/>
    <mergeCell ref="AN97:AO97"/>
    <mergeCell ref="AP97:AQ97"/>
    <mergeCell ref="AR97:AS97"/>
    <mergeCell ref="AT97:AU97"/>
    <mergeCell ref="CP97:CQ97"/>
    <mergeCell ref="CR97:CS97"/>
    <mergeCell ref="CT97:CU97"/>
    <mergeCell ref="V98:W98"/>
    <mergeCell ref="AN98:AO98"/>
    <mergeCell ref="AP98:AQ98"/>
    <mergeCell ref="AR98:AS98"/>
    <mergeCell ref="AT98:AU98"/>
    <mergeCell ref="X98:Y98"/>
    <mergeCell ref="Z98:AA98"/>
    <mergeCell ref="AB98:AC98"/>
    <mergeCell ref="AD98:AE98"/>
    <mergeCell ref="AF98:AG98"/>
    <mergeCell ref="AH98:AI98"/>
    <mergeCell ref="X99:Y99"/>
    <mergeCell ref="Z99:AA99"/>
    <mergeCell ref="AB99:AC99"/>
    <mergeCell ref="AD99:AE99"/>
    <mergeCell ref="AF99:AG99"/>
    <mergeCell ref="AH99:AI99"/>
    <mergeCell ref="BH98:BI98"/>
    <mergeCell ref="F99:G99"/>
    <mergeCell ref="H99:I99"/>
    <mergeCell ref="J99:K99"/>
    <mergeCell ref="L99:M99"/>
    <mergeCell ref="N99:O99"/>
    <mergeCell ref="P99:Q99"/>
    <mergeCell ref="R99:S99"/>
    <mergeCell ref="T99:U99"/>
    <mergeCell ref="V99:W99"/>
    <mergeCell ref="AV98:AW98"/>
    <mergeCell ref="AX98:AY98"/>
    <mergeCell ref="AZ98:BA98"/>
    <mergeCell ref="BB98:BC98"/>
    <mergeCell ref="BD98:BE98"/>
    <mergeCell ref="BF98:BG98"/>
    <mergeCell ref="AJ98:AK98"/>
    <mergeCell ref="AL98:AM98"/>
    <mergeCell ref="AV99:AW99"/>
    <mergeCell ref="AX99:AY99"/>
    <mergeCell ref="AZ99:BA99"/>
    <mergeCell ref="BB99:BC99"/>
    <mergeCell ref="BD99:BE99"/>
    <mergeCell ref="BF99:BG99"/>
    <mergeCell ref="AJ99:AK99"/>
    <mergeCell ref="AL99:AM99"/>
    <mergeCell ref="AN99:AO99"/>
    <mergeCell ref="AP99:AQ99"/>
    <mergeCell ref="AR99:AS99"/>
    <mergeCell ref="AT99:AU99"/>
    <mergeCell ref="F100:G100"/>
    <mergeCell ref="H100:I100"/>
    <mergeCell ref="J100:K100"/>
    <mergeCell ref="L100:M100"/>
    <mergeCell ref="N100:O100"/>
    <mergeCell ref="P100:Q100"/>
    <mergeCell ref="R100:S100"/>
    <mergeCell ref="T100:U100"/>
    <mergeCell ref="V100:W100"/>
    <mergeCell ref="AN100:AO100"/>
    <mergeCell ref="AP100:AQ100"/>
    <mergeCell ref="AR100:AS100"/>
    <mergeCell ref="AT100:AU100"/>
    <mergeCell ref="X100:Y100"/>
    <mergeCell ref="Z100:AA100"/>
    <mergeCell ref="AB100:AC100"/>
    <mergeCell ref="AD100:AE100"/>
    <mergeCell ref="AF100:AG100"/>
    <mergeCell ref="AH100:AI100"/>
    <mergeCell ref="V102:W102"/>
    <mergeCell ref="X102:Y102"/>
    <mergeCell ref="Z102:AA102"/>
    <mergeCell ref="AB102:AC102"/>
    <mergeCell ref="AD102:AE102"/>
    <mergeCell ref="AF102:AG102"/>
    <mergeCell ref="BH100:BI100"/>
    <mergeCell ref="F101:G101"/>
    <mergeCell ref="H101:I101"/>
    <mergeCell ref="H102:I102"/>
    <mergeCell ref="J102:K102"/>
    <mergeCell ref="L102:M102"/>
    <mergeCell ref="N102:O102"/>
    <mergeCell ref="P102:Q102"/>
    <mergeCell ref="R102:S102"/>
    <mergeCell ref="T102:U102"/>
    <mergeCell ref="AV100:AW100"/>
    <mergeCell ref="AX100:AY100"/>
    <mergeCell ref="AZ100:BA100"/>
    <mergeCell ref="BB100:BC100"/>
    <mergeCell ref="BD100:BE100"/>
    <mergeCell ref="BF100:BG100"/>
    <mergeCell ref="AJ100:AK100"/>
    <mergeCell ref="AL100:AM100"/>
    <mergeCell ref="AT102:AU102"/>
    <mergeCell ref="AV102:AW102"/>
    <mergeCell ref="AX102:AY102"/>
    <mergeCell ref="AZ102:BA102"/>
    <mergeCell ref="BB102:BC102"/>
    <mergeCell ref="BD102:BE102"/>
    <mergeCell ref="AH102:AI102"/>
    <mergeCell ref="AJ102:AK102"/>
    <mergeCell ref="AL102:AM102"/>
    <mergeCell ref="AN102:AO102"/>
    <mergeCell ref="AP102:AQ102"/>
    <mergeCell ref="AR102:AS102"/>
    <mergeCell ref="BF102:BG102"/>
    <mergeCell ref="BH102:BI102"/>
    <mergeCell ref="BJ97:BK97"/>
    <mergeCell ref="BL97:BM97"/>
    <mergeCell ref="BN97:BO97"/>
    <mergeCell ref="BP97:BQ97"/>
    <mergeCell ref="BJ99:BK99"/>
    <mergeCell ref="BL99:BM99"/>
    <mergeCell ref="BN99:BO99"/>
    <mergeCell ref="BP99:BQ99"/>
    <mergeCell ref="BH99:BI99"/>
    <mergeCell ref="BH97:BI97"/>
    <mergeCell ref="BP102:BQ102"/>
    <mergeCell ref="BJ98:BK98"/>
    <mergeCell ref="BL98:BM98"/>
    <mergeCell ref="BN98:BO98"/>
    <mergeCell ref="BP98:BQ98"/>
    <mergeCell ref="BR98:BS98"/>
    <mergeCell ref="BT98:BU98"/>
    <mergeCell ref="BV98:BW98"/>
    <mergeCell ref="CD97:CE97"/>
    <mergeCell ref="CF97:CG97"/>
    <mergeCell ref="CH97:CI97"/>
    <mergeCell ref="CJ97:CK97"/>
    <mergeCell ref="CL97:CM97"/>
    <mergeCell ref="CN97:CO97"/>
    <mergeCell ref="BR97:BS97"/>
    <mergeCell ref="BT97:BU97"/>
    <mergeCell ref="BV97:BW97"/>
    <mergeCell ref="BX97:BY97"/>
    <mergeCell ref="BZ97:CA97"/>
    <mergeCell ref="CB97:CC97"/>
    <mergeCell ref="CJ98:CK98"/>
    <mergeCell ref="CL98:CM98"/>
    <mergeCell ref="CN98:CO98"/>
    <mergeCell ref="CP98:CQ98"/>
    <mergeCell ref="CR98:CS98"/>
    <mergeCell ref="CT98:CU98"/>
    <mergeCell ref="BX98:BY98"/>
    <mergeCell ref="BZ98:CA98"/>
    <mergeCell ref="CB98:CC98"/>
    <mergeCell ref="CD98:CE98"/>
    <mergeCell ref="CF98:CG98"/>
    <mergeCell ref="CH98:CI98"/>
    <mergeCell ref="CP99:CQ99"/>
    <mergeCell ref="CR99:CS99"/>
    <mergeCell ref="CT99:CU99"/>
    <mergeCell ref="BJ100:BK100"/>
    <mergeCell ref="BL100:BM100"/>
    <mergeCell ref="BN100:BO100"/>
    <mergeCell ref="BP100:BQ100"/>
    <mergeCell ref="BR100:BS100"/>
    <mergeCell ref="BT100:BU100"/>
    <mergeCell ref="BV100:BW100"/>
    <mergeCell ref="CD99:CE99"/>
    <mergeCell ref="CF99:CG99"/>
    <mergeCell ref="CH99:CI99"/>
    <mergeCell ref="CJ99:CK99"/>
    <mergeCell ref="CL99:CM99"/>
    <mergeCell ref="CN99:CO99"/>
    <mergeCell ref="BR99:BS99"/>
    <mergeCell ref="BT99:BU99"/>
    <mergeCell ref="BV99:BW99"/>
    <mergeCell ref="BX99:BY99"/>
    <mergeCell ref="BZ99:CA99"/>
    <mergeCell ref="CB99:CC99"/>
    <mergeCell ref="CJ100:CK100"/>
    <mergeCell ref="CL100:CM100"/>
    <mergeCell ref="CN100:CO100"/>
    <mergeCell ref="CP100:CQ100"/>
    <mergeCell ref="CR100:CS100"/>
    <mergeCell ref="CT100:CU100"/>
    <mergeCell ref="BX100:BY100"/>
    <mergeCell ref="BZ100:CA100"/>
    <mergeCell ref="CB100:CC100"/>
    <mergeCell ref="CD100:CE100"/>
    <mergeCell ref="CF100:CG100"/>
    <mergeCell ref="CH100:CI100"/>
  </mergeCells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Defi Yusti</dc:creator>
  <cp:lastModifiedBy>Raymond Emmanuel</cp:lastModifiedBy>
  <dcterms:created xsi:type="dcterms:W3CDTF">2025-08-27T23:40:18Z</dcterms:created>
  <dcterms:modified xsi:type="dcterms:W3CDTF">2025-10-24T02:19:43Z</dcterms:modified>
</cp:coreProperties>
</file>